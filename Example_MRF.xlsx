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glenn\Notes\org\TFS\CMMS\tfs-cmms\"/>
    </mc:Choice>
  </mc:AlternateContent>
  <xr:revisionPtr revIDLastSave="0" documentId="8_{A9B83A7E-99FA-4AD8-8E5D-0150EAD56B6D}" xr6:coauthVersionLast="47" xr6:coauthVersionMax="47" xr10:uidLastSave="{00000000-0000-0000-0000-000000000000}"/>
  <bookViews>
    <workbookView xWindow="19185" yWindow="840" windowWidth="19230" windowHeight="20055" xr2:uid="{00000000-000D-0000-FFFF-FFFF00000000}"/>
  </bookViews>
  <sheets>
    <sheet name="SCM-457" sheetId="1" r:id="rId1"/>
  </sheets>
  <definedNames>
    <definedName name="_xlnm._FilterDatabase" localSheetId="0" hidden="1">'SCM-457'!$A$8:$H$33</definedName>
    <definedName name="_xlnm.Print_Area" localSheetId="0">'SCM-457'!$A$1:$I$44</definedName>
    <definedName name="_xlnm.Print_Titles" localSheetId="0">'SCM-457'!$7:$8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8" i="1"/>
  <c r="C38" i="1"/>
  <c r="A1" i="1"/>
  <c r="I5" i="1" s="1"/>
  <c r="I3" i="1" l="1"/>
</calcChain>
</file>

<file path=xl/sharedStrings.xml><?xml version="1.0" encoding="utf-8"?>
<sst xmlns="http://schemas.openxmlformats.org/spreadsheetml/2006/main" count="71" uniqueCount="56">
  <si>
    <t>**MATERIAL CONTROL USE ONLY**</t>
  </si>
  <si>
    <t xml:space="preserve">REQ#: </t>
  </si>
  <si>
    <t>W912DY-20-F-0262</t>
  </si>
  <si>
    <t>Site Support Location:</t>
  </si>
  <si>
    <t>#</t>
  </si>
  <si>
    <t>PART NUMBER</t>
  </si>
  <si>
    <r>
      <t>NOMENCLATURE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(W/UNIT OF MEASURE WHEN APPLICABLE)</t>
    </r>
  </si>
  <si>
    <t>QUANTITY</t>
  </si>
  <si>
    <t>U/I</t>
  </si>
  <si>
    <t>TYPE</t>
  </si>
  <si>
    <t>REMARKS</t>
  </si>
  <si>
    <t>MATERIALS</t>
  </si>
  <si>
    <t>TOOLS</t>
  </si>
  <si>
    <t>JUSTIFICATION:</t>
  </si>
  <si>
    <t>REQUESTOR:</t>
  </si>
  <si>
    <t>TEAM No:</t>
  </si>
  <si>
    <r>
      <rPr>
        <sz val="11"/>
        <color rgb="FFFF0000"/>
        <rFont val="Calibri"/>
        <family val="2"/>
        <scheme val="minor"/>
      </rPr>
      <t>LEGIBLY</t>
    </r>
    <r>
      <rPr>
        <sz val="11"/>
        <color theme="1"/>
        <rFont val="Calibri"/>
        <family val="2"/>
        <scheme val="minor"/>
      </rPr>
      <t xml:space="preserve"> PRINT NAME (DUTY POSITION):</t>
    </r>
  </si>
  <si>
    <t>DATE:</t>
  </si>
  <si>
    <t>COMMENTS:</t>
  </si>
  <si>
    <t>OPERATIONS/QA/SME REVIEW</t>
  </si>
  <si>
    <t>APPROVE</t>
  </si>
  <si>
    <t>DISAPPROVE</t>
  </si>
  <si>
    <t>Web Link</t>
  </si>
  <si>
    <t>DIGITAL SIGNATURE</t>
  </si>
  <si>
    <t>Team Number</t>
  </si>
  <si>
    <t>Date</t>
  </si>
  <si>
    <t>Base</t>
  </si>
  <si>
    <t>BLD # / Name</t>
  </si>
  <si>
    <t>Inspectors Name</t>
  </si>
  <si>
    <r>
      <rPr>
        <sz val="11"/>
        <color rgb="FFFF0000"/>
        <rFont val="Calibri"/>
        <family val="2"/>
        <scheme val="minor"/>
      </rPr>
      <t>LEGIBLY</t>
    </r>
    <r>
      <rPr>
        <sz val="11"/>
        <color theme="1"/>
        <rFont val="Calibri"/>
        <family val="2"/>
        <scheme val="minor"/>
      </rPr>
      <t xml:space="preserve"> PRINT NAME :</t>
    </r>
  </si>
  <si>
    <t>Hugh Crawford</t>
  </si>
  <si>
    <t>Materials / Tools Request</t>
  </si>
  <si>
    <t>Version 3</t>
  </si>
  <si>
    <t>Contract</t>
  </si>
  <si>
    <t>Subsiderary</t>
  </si>
  <si>
    <t>Tag ID:</t>
  </si>
  <si>
    <t>X</t>
  </si>
  <si>
    <t>Shower-21</t>
  </si>
  <si>
    <t>N/A</t>
  </si>
  <si>
    <t>Shaddadi</t>
  </si>
  <si>
    <t>SEA9PNI2504</t>
  </si>
  <si>
    <t>Schneider Electric SEA9PNI2504 Picture
Acti9 Isobar B - switch disconnector - 250A - 4P</t>
  </si>
  <si>
    <t>EA</t>
  </si>
  <si>
    <t>Inspection-Report_TFSAFE_DAD22_Aviation-Village-LSAU-1-SDP_130_15-11-23_1-12</t>
  </si>
  <si>
    <t>https://www.se.com/uk/en/product/SEA9PNI2504/acti9-isobar-b-switch-disconnector-250a-4p/</t>
  </si>
  <si>
    <t>RS PRO Steel Wall Box, IP66, 1200 mm x 800 mm x 400mm</t>
  </si>
  <si>
    <t>https://uk.rs-online.com/web/p/wall-boxes/1896604?gb=s</t>
  </si>
  <si>
    <t>RS PRO Black PVC Edge Protection, 20m</t>
  </si>
  <si>
    <t>ROLL</t>
  </si>
  <si>
    <t>https://uk.rs-online.com/web/p/door-seals/6191506</t>
  </si>
  <si>
    <t>EB0565</t>
  </si>
  <si>
    <t>SWITCH DISCONNECTOR, ACTI9, 415V AC 125A 50/60Hz, 5kA, 4P</t>
  </si>
  <si>
    <t>EB0731</t>
  </si>
  <si>
    <t>5x16MM XLPE/PVC/SWA/PVC 0.6/1kV BASEC BS5467</t>
  </si>
  <si>
    <t>D Forbes - Master Electrician</t>
  </si>
  <si>
    <t>Camp Name Within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</si>
</sst>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20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4" fillId="0" borderId="2" xfId="1" applyBorder="1" applyAlignment="1" applyProtection="1">
      <alignment horizontal="left" vertical="center" wrapText="1"/>
      <protection locked="0"/>
    </xf>
    <xf numFmtId="0" fontId="14" fillId="0" borderId="1" xfId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12" fillId="4" borderId="16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11" fillId="4" borderId="12" xfId="0" applyFont="1" applyFill="1" applyBorder="1" applyAlignment="1" applyProtection="1">
      <alignment horizontal="center" vertical="center"/>
      <protection locked="0"/>
    </xf>
    <xf numFmtId="1" fontId="0" fillId="2" borderId="2" xfId="0" applyNumberFormat="1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1" fontId="13" fillId="0" borderId="18" xfId="0" applyNumberFormat="1" applyFont="1" applyBorder="1" applyAlignment="1">
      <alignment vertical="center"/>
    </xf>
    <xf numFmtId="15" fontId="13" fillId="0" borderId="18" xfId="0" applyNumberFormat="1" applyFont="1" applyBorder="1" applyAlignment="1">
      <alignment vertical="center"/>
    </xf>
    <xf numFmtId="15" fontId="13" fillId="0" borderId="18" xfId="0" applyNumberFormat="1" applyFont="1" applyBorder="1" applyAlignment="1" applyProtection="1">
      <alignment vertical="center"/>
      <protection locked="0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4" fillId="0" borderId="24" xfId="1" applyBorder="1" applyAlignment="1" applyProtection="1">
      <alignment horizontal="left" vertical="center" wrapText="1"/>
      <protection locked="0"/>
    </xf>
    <xf numFmtId="0" fontId="4" fillId="5" borderId="1" xfId="0" applyFont="1" applyFill="1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18" fillId="0" borderId="0" xfId="0" applyFont="1" applyAlignment="1" applyProtection="1">
      <alignment horizontal="left" vertical="center"/>
      <protection locked="0"/>
    </xf>
    <xf numFmtId="0" fontId="15" fillId="0" borderId="30" xfId="1" applyFont="1" applyBorder="1" applyAlignment="1" applyProtection="1">
      <alignment horizontal="left" vertical="center" wrapText="1"/>
      <protection locked="0"/>
    </xf>
    <xf numFmtId="0" fontId="14" fillId="0" borderId="30" xfId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7" fillId="0" borderId="0" xfId="0" applyFont="1" applyAlignment="1">
      <alignment vertical="center"/>
    </xf>
    <xf numFmtId="0" fontId="23" fillId="0" borderId="24" xfId="0" applyFont="1" applyBorder="1" applyAlignment="1" applyProtection="1">
      <alignment horizontal="left" vertical="center"/>
      <protection locked="0"/>
    </xf>
    <xf numFmtId="164" fontId="0" fillId="3" borderId="14" xfId="0" applyNumberForma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left" vertical="center" shrinkToFit="1"/>
    </xf>
    <xf numFmtId="164" fontId="0" fillId="3" borderId="17" xfId="0" applyNumberFormat="1" applyFill="1" applyBorder="1" applyAlignment="1">
      <alignment horizontal="center" vertical="center"/>
    </xf>
    <xf numFmtId="164" fontId="1" fillId="3" borderId="17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7" fillId="3" borderId="0" xfId="0" applyFont="1" applyFill="1" applyAlignment="1">
      <alignment vertical="center" wrapText="1"/>
    </xf>
    <xf numFmtId="0" fontId="0" fillId="3" borderId="19" xfId="0" applyFill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 shrinkToFit="1"/>
    </xf>
    <xf numFmtId="0" fontId="0" fillId="3" borderId="20" xfId="0" applyFill="1" applyBorder="1" applyAlignment="1">
      <alignment vertical="center"/>
    </xf>
    <xf numFmtId="0" fontId="17" fillId="3" borderId="20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/>
    </xf>
    <xf numFmtId="0" fontId="23" fillId="0" borderId="32" xfId="0" applyFont="1" applyBorder="1" applyAlignment="1" applyProtection="1">
      <alignment horizontal="left" vertical="center"/>
      <protection locked="0"/>
    </xf>
    <xf numFmtId="0" fontId="17" fillId="3" borderId="13" xfId="0" applyFont="1" applyFill="1" applyBorder="1" applyAlignment="1">
      <alignment vertical="center" wrapText="1"/>
    </xf>
    <xf numFmtId="0" fontId="0" fillId="3" borderId="19" xfId="0" applyFill="1" applyBorder="1" applyAlignment="1">
      <alignment vertical="center"/>
    </xf>
    <xf numFmtId="0" fontId="17" fillId="3" borderId="21" xfId="0" applyFont="1" applyFill="1" applyBorder="1" applyAlignment="1">
      <alignment vertical="center" wrapText="1"/>
    </xf>
    <xf numFmtId="0" fontId="19" fillId="3" borderId="34" xfId="0" applyFont="1" applyFill="1" applyBorder="1" applyAlignment="1">
      <alignment vertical="center"/>
    </xf>
    <xf numFmtId="0" fontId="19" fillId="3" borderId="3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15" fontId="23" fillId="0" borderId="31" xfId="0" applyNumberFormat="1" applyFont="1" applyBorder="1" applyAlignment="1" applyProtection="1">
      <alignment horizontal="left" vertical="center"/>
      <protection locked="0"/>
    </xf>
    <xf numFmtId="1" fontId="23" fillId="0" borderId="24" xfId="0" applyNumberFormat="1" applyFont="1" applyBorder="1" applyAlignment="1" applyProtection="1">
      <alignment horizontal="left" vertical="center"/>
      <protection locked="0"/>
    </xf>
    <xf numFmtId="0" fontId="17" fillId="5" borderId="1" xfId="0" applyFont="1" applyFill="1" applyBorder="1" applyAlignment="1">
      <alignment horizontal="left" vertical="center" wrapText="1" shrinkToFit="1"/>
    </xf>
    <xf numFmtId="0" fontId="0" fillId="4" borderId="19" xfId="0" applyFill="1" applyBorder="1" applyAlignment="1">
      <alignment vertical="top"/>
    </xf>
    <xf numFmtId="0" fontId="0" fillId="4" borderId="20" xfId="0" applyFill="1" applyBorder="1" applyAlignment="1">
      <alignment vertical="top"/>
    </xf>
    <xf numFmtId="0" fontId="3" fillId="0" borderId="29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21" xfId="0" applyFont="1" applyBorder="1" applyAlignment="1" applyProtection="1">
      <alignment horizontal="left" vertical="top" wrapText="1"/>
      <protection locked="0"/>
    </xf>
    <xf numFmtId="0" fontId="0" fillId="4" borderId="17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17" xfId="0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0" fillId="5" borderId="19" xfId="0" applyFill="1" applyBorder="1" applyAlignment="1">
      <alignment horizontal="center" vertical="top"/>
    </xf>
    <xf numFmtId="0" fontId="0" fillId="5" borderId="20" xfId="0" applyFill="1" applyBorder="1" applyAlignment="1">
      <alignment horizontal="center" vertical="top"/>
    </xf>
    <xf numFmtId="0" fontId="13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7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top"/>
    </xf>
    <xf numFmtId="0" fontId="4" fillId="5" borderId="26" xfId="0" applyFont="1" applyFill="1" applyBorder="1" applyAlignment="1">
      <alignment horizontal="center" vertical="top"/>
    </xf>
    <xf numFmtId="0" fontId="3" fillId="0" borderId="27" xfId="0" applyFont="1" applyBorder="1" applyAlignment="1" applyProtection="1">
      <alignment horizontal="left" vertical="top" wrapText="1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21" fillId="3" borderId="36" xfId="0" applyFont="1" applyFill="1" applyBorder="1" applyAlignment="1">
      <alignment horizontal="right" vertical="center" wrapText="1"/>
    </xf>
    <xf numFmtId="0" fontId="21" fillId="3" borderId="7" xfId="0" applyFont="1" applyFill="1" applyBorder="1" applyAlignment="1">
      <alignment horizontal="right" vertical="center" wrapText="1"/>
    </xf>
    <xf numFmtId="0" fontId="19" fillId="3" borderId="17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font>
        <color theme="0"/>
      </font>
      <fill>
        <patternFill>
          <bgColor rgb="FFFF5B5B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00"/>
      <color rgb="FFFF5B5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1639031</xdr:colOff>
      <xdr:row>0</xdr:row>
      <xdr:rowOff>43224</xdr:rowOff>
    </xdr:from>
    <xdr:to>
      <xdr:col>2</xdr:col>
      <xdr:colOff>4749126</xdr:colOff>
      <xdr:row>4</xdr:row>
      <xdr:rowOff>112059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D6A611C-8EA8-B8CA-E313-56EEF896DDD9}"/>
            </a:ext>
          </a:extLst>
        </xdr:cNvPr>
        <xdr:cNvGrpSpPr/>
      </xdr:nvGrpSpPr>
      <xdr:grpSpPr>
        <a:xfrm>
          <a:off x="3174237" y="43224"/>
          <a:ext cx="3110095" cy="1357511"/>
          <a:chOff x="3468791" y="4626430"/>
          <a:chExt cx="3167245" cy="1401536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88FBABDF-595F-4D72-B1B5-4CE3E2B968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87785" y="4626430"/>
            <a:ext cx="948251" cy="1401536"/>
          </a:xfrm>
          <a:prstGeom prst="rect">
            <a:avLst/>
          </a:prstGeom>
        </xdr:spPr>
      </xdr:pic>
      <xdr:pic>
        <xdr:nvPicPr>
          <xdr:cNvPr id="3" name="imageSelected0">
            <a:extLst>
              <a:ext uri="{FF2B5EF4-FFF2-40B4-BE49-F238E27FC236}">
                <a16:creationId xmlns:a16="http://schemas.microsoft.com/office/drawing/2014/main" id="{748AC9B0-56ED-829E-53C7-557DFB491F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68791" y="4824224"/>
            <a:ext cx="2155666" cy="10059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rs-online.com/web/p/door-seals/6191506" TargetMode="External"/><Relationship Id="rId2" Type="http://schemas.openxmlformats.org/officeDocument/2006/relationships/hyperlink" Target="https://uk.rs-online.com/web/p/wall-boxes/1896604?gb=s" TargetMode="External"/><Relationship Id="rId1" Type="http://schemas.openxmlformats.org/officeDocument/2006/relationships/hyperlink" Target="https://www.se.com/uk/en/product/SEA9PNI2504/acti9-isobar-b-switch-disconnector-250a-4p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4"/>
  <sheetViews>
    <sheetView tabSelected="1" zoomScale="85" zoomScaleNormal="85" zoomScaleSheetLayoutView="40" zoomScalePageLayoutView="55" workbookViewId="0">
      <pane ySplit="8" topLeftCell="A9" activePane="bottomLeft" state="frozen"/>
      <selection pane="bottomLeft" activeCell="C14" sqref="C14"/>
    </sheetView>
  </sheetViews>
  <sheetFormatPr defaultColWidth="9.140625" defaultRowHeight="15" x14ac:dyDescent="0.25"/>
  <cols>
    <col min="1" max="1" width="3.85546875" style="11" customWidth="1"/>
    <col min="2" max="2" width="19.140625" style="14" customWidth="1"/>
    <col min="3" max="3" width="71.7109375" style="10" customWidth="1"/>
    <col min="4" max="4" width="12" style="23" customWidth="1"/>
    <col min="5" max="5" width="8" style="11" customWidth="1"/>
    <col min="6" max="6" width="11.5703125" style="11" customWidth="1"/>
    <col min="7" max="7" width="6" style="11" bestFit="1" customWidth="1"/>
    <col min="8" max="8" width="51.85546875" style="15" customWidth="1"/>
    <col min="9" max="9" width="64" style="10" customWidth="1"/>
    <col min="10" max="16384" width="9.140625" style="10"/>
  </cols>
  <sheetData>
    <row r="1" spans="1:15" ht="18.75" customHeight="1" x14ac:dyDescent="0.25">
      <c r="A1" s="44" t="str">
        <f>_xlfn.CONCAT(IF(C4="n/a",C3,C4),"-",C5,"-","MRF","-",TEXT(C1,"DD-MM-YY"))</f>
        <v>Shaddadi-Shower-21-MRF-14-02-24</v>
      </c>
      <c r="B1" s="45" t="s">
        <v>25</v>
      </c>
      <c r="C1" s="62">
        <v>45336</v>
      </c>
      <c r="D1" s="115" t="s">
        <v>0</v>
      </c>
      <c r="E1" s="116"/>
      <c r="F1" s="116"/>
      <c r="G1" s="117"/>
      <c r="H1" s="118" t="s">
        <v>31</v>
      </c>
      <c r="I1" s="105"/>
      <c r="J1" s="34"/>
      <c r="K1" s="34"/>
      <c r="L1" s="4"/>
      <c r="M1" s="33"/>
      <c r="N1" s="35"/>
      <c r="O1" s="35"/>
    </row>
    <row r="2" spans="1:15" ht="31.5" customHeight="1" thickBot="1" x14ac:dyDescent="0.3">
      <c r="A2" s="46"/>
      <c r="B2" s="32" t="s">
        <v>24</v>
      </c>
      <c r="C2" s="63">
        <v>230</v>
      </c>
      <c r="D2" s="24" t="s">
        <v>1</v>
      </c>
      <c r="E2" s="120"/>
      <c r="F2" s="120"/>
      <c r="G2" s="121"/>
      <c r="H2" s="119"/>
      <c r="I2" s="106"/>
      <c r="J2" s="34"/>
      <c r="K2" s="34"/>
      <c r="L2" s="36"/>
      <c r="M2" s="36"/>
      <c r="N2" s="36"/>
      <c r="O2" s="36"/>
    </row>
    <row r="3" spans="1:15" ht="18" customHeight="1" x14ac:dyDescent="0.25">
      <c r="A3" s="47" t="s">
        <v>36</v>
      </c>
      <c r="B3" s="32" t="s">
        <v>26</v>
      </c>
      <c r="C3" s="43" t="s">
        <v>39</v>
      </c>
      <c r="D3" s="59" t="s">
        <v>33</v>
      </c>
      <c r="E3" s="110" t="s">
        <v>2</v>
      </c>
      <c r="F3" s="110"/>
      <c r="G3" s="111"/>
      <c r="H3" s="122" t="s">
        <v>3</v>
      </c>
      <c r="I3" s="107" t="str">
        <f>C3</f>
        <v>Shaddadi</v>
      </c>
      <c r="J3" s="37"/>
      <c r="K3" s="37"/>
      <c r="L3" s="38"/>
      <c r="M3" s="38"/>
      <c r="N3" s="38"/>
      <c r="O3" s="38"/>
    </row>
    <row r="4" spans="1:15" ht="33.75" customHeight="1" thickBot="1" x14ac:dyDescent="0.3">
      <c r="A4" s="48"/>
      <c r="B4" s="64" t="s">
        <v>55</v>
      </c>
      <c r="C4" s="43" t="s">
        <v>38</v>
      </c>
      <c r="D4" s="60" t="s">
        <v>34</v>
      </c>
      <c r="E4" s="112"/>
      <c r="F4" s="113"/>
      <c r="G4" s="114"/>
      <c r="H4" s="122"/>
      <c r="I4" s="107"/>
      <c r="J4" s="37"/>
      <c r="K4" s="37"/>
      <c r="L4" s="38"/>
      <c r="M4" s="38"/>
      <c r="N4" s="38"/>
      <c r="O4" s="38"/>
    </row>
    <row r="5" spans="1:15" ht="18" customHeight="1" x14ac:dyDescent="0.25">
      <c r="A5" s="48"/>
      <c r="B5" s="32" t="s">
        <v>27</v>
      </c>
      <c r="C5" s="43" t="s">
        <v>37</v>
      </c>
      <c r="D5" s="124" t="s">
        <v>32</v>
      </c>
      <c r="E5" s="125"/>
      <c r="F5" s="49"/>
      <c r="G5" s="56"/>
      <c r="H5" s="122" t="s">
        <v>35</v>
      </c>
      <c r="I5" s="108" t="str">
        <f>$A$1</f>
        <v>Shaddadi-Shower-21-MRF-14-02-24</v>
      </c>
      <c r="J5" s="42"/>
      <c r="K5" s="42"/>
      <c r="L5" s="42"/>
      <c r="M5" s="42"/>
      <c r="N5" s="42"/>
      <c r="O5" s="42"/>
    </row>
    <row r="6" spans="1:15" ht="18" customHeight="1" thickBot="1" x14ac:dyDescent="0.3">
      <c r="A6" s="50"/>
      <c r="B6" s="51" t="s">
        <v>28</v>
      </c>
      <c r="C6" s="55" t="s">
        <v>54</v>
      </c>
      <c r="D6" s="57"/>
      <c r="E6" s="52"/>
      <c r="F6" s="53"/>
      <c r="G6" s="58"/>
      <c r="H6" s="123"/>
      <c r="I6" s="109"/>
      <c r="J6" s="42"/>
      <c r="K6" s="42"/>
      <c r="L6" s="42"/>
      <c r="M6" s="42"/>
      <c r="N6" s="42"/>
      <c r="O6" s="42"/>
    </row>
    <row r="7" spans="1:15" ht="15" customHeight="1" x14ac:dyDescent="0.25">
      <c r="A7" s="95" t="s">
        <v>4</v>
      </c>
      <c r="B7" s="97" t="s">
        <v>5</v>
      </c>
      <c r="C7" s="104" t="s">
        <v>6</v>
      </c>
      <c r="D7" s="101" t="s">
        <v>7</v>
      </c>
      <c r="E7" s="95" t="s">
        <v>8</v>
      </c>
      <c r="F7" s="99" t="s">
        <v>9</v>
      </c>
      <c r="G7" s="103"/>
      <c r="H7" s="99" t="s">
        <v>10</v>
      </c>
      <c r="I7" s="87" t="s">
        <v>22</v>
      </c>
      <c r="J7" s="42"/>
      <c r="K7" s="42"/>
      <c r="L7" s="42"/>
      <c r="M7" s="42"/>
      <c r="N7" s="42"/>
      <c r="O7" s="42"/>
    </row>
    <row r="8" spans="1:15" s="13" customFormat="1" ht="15" customHeight="1" thickBot="1" x14ac:dyDescent="0.3">
      <c r="A8" s="96"/>
      <c r="B8" s="98"/>
      <c r="C8" s="96"/>
      <c r="D8" s="102"/>
      <c r="E8" s="96"/>
      <c r="F8" s="12" t="s">
        <v>11</v>
      </c>
      <c r="G8" s="54" t="s">
        <v>12</v>
      </c>
      <c r="H8" s="100"/>
      <c r="I8" s="88"/>
      <c r="J8" s="33"/>
      <c r="K8" s="33"/>
      <c r="L8" s="33"/>
      <c r="M8" s="33"/>
      <c r="N8" s="33"/>
      <c r="O8" s="33"/>
    </row>
    <row r="9" spans="1:15" s="4" customFormat="1" ht="30" customHeight="1" x14ac:dyDescent="0.25">
      <c r="A9" s="20">
        <v>1</v>
      </c>
      <c r="B9" s="2" t="s">
        <v>40</v>
      </c>
      <c r="C9" s="3" t="s">
        <v>41</v>
      </c>
      <c r="D9" s="21">
        <v>1</v>
      </c>
      <c r="E9" s="1" t="s">
        <v>42</v>
      </c>
      <c r="F9" s="1" t="s">
        <v>36</v>
      </c>
      <c r="G9" s="1"/>
      <c r="H9" s="39" t="s">
        <v>43</v>
      </c>
      <c r="I9" s="7" t="s">
        <v>44</v>
      </c>
      <c r="J9" s="41"/>
      <c r="K9" s="41"/>
      <c r="L9" s="41"/>
      <c r="M9" s="41"/>
      <c r="N9" s="41"/>
      <c r="O9" s="41"/>
    </row>
    <row r="10" spans="1:15" s="4" customFormat="1" ht="30" customHeight="1" x14ac:dyDescent="0.25">
      <c r="A10" s="20">
        <v>2</v>
      </c>
      <c r="B10" s="2"/>
      <c r="C10" s="3" t="s">
        <v>45</v>
      </c>
      <c r="D10" s="21">
        <v>1</v>
      </c>
      <c r="E10" s="5" t="s">
        <v>42</v>
      </c>
      <c r="F10" s="1" t="s">
        <v>36</v>
      </c>
      <c r="G10" s="1"/>
      <c r="H10" s="39" t="s">
        <v>43</v>
      </c>
      <c r="I10" s="8" t="s">
        <v>46</v>
      </c>
      <c r="J10" s="41"/>
      <c r="K10" s="41"/>
      <c r="L10" s="41"/>
      <c r="M10" s="41"/>
      <c r="N10" s="41"/>
      <c r="O10" s="41"/>
    </row>
    <row r="11" spans="1:15" s="4" customFormat="1" ht="30" customHeight="1" x14ac:dyDescent="0.25">
      <c r="A11" s="20">
        <v>3</v>
      </c>
      <c r="B11" s="2"/>
      <c r="C11" s="3" t="s">
        <v>47</v>
      </c>
      <c r="D11" s="21">
        <v>2</v>
      </c>
      <c r="E11" s="5" t="s">
        <v>48</v>
      </c>
      <c r="F11" s="1" t="s">
        <v>36</v>
      </c>
      <c r="G11" s="1"/>
      <c r="H11" s="39" t="s">
        <v>43</v>
      </c>
      <c r="I11" s="8" t="s">
        <v>49</v>
      </c>
      <c r="J11" s="41"/>
      <c r="K11" s="41"/>
      <c r="L11" s="41"/>
      <c r="M11" s="41"/>
      <c r="N11" s="41"/>
      <c r="O11" s="41"/>
    </row>
    <row r="12" spans="1:15" s="4" customFormat="1" ht="30" customHeight="1" x14ac:dyDescent="0.25">
      <c r="A12" s="20">
        <v>1</v>
      </c>
      <c r="B12" s="2" t="s">
        <v>50</v>
      </c>
      <c r="C12" s="3" t="s">
        <v>51</v>
      </c>
      <c r="D12" s="21">
        <v>1</v>
      </c>
      <c r="E12" s="5" t="s">
        <v>42</v>
      </c>
      <c r="F12" s="1" t="s">
        <v>36</v>
      </c>
      <c r="G12" s="1"/>
      <c r="H12" s="39" t="s">
        <v>43</v>
      </c>
      <c r="I12" s="9"/>
      <c r="J12" s="41"/>
      <c r="K12" s="41"/>
      <c r="L12" s="41"/>
      <c r="M12" s="41"/>
      <c r="N12" s="41"/>
      <c r="O12" s="41"/>
    </row>
    <row r="13" spans="1:15" s="4" customFormat="1" ht="30" customHeight="1" x14ac:dyDescent="0.25">
      <c r="A13" s="20">
        <v>2</v>
      </c>
      <c r="B13" s="2" t="s">
        <v>52</v>
      </c>
      <c r="C13" s="3" t="s">
        <v>53</v>
      </c>
      <c r="D13" s="21">
        <v>150</v>
      </c>
      <c r="E13" s="5" t="s">
        <v>48</v>
      </c>
      <c r="F13" s="1" t="s">
        <v>36</v>
      </c>
      <c r="G13" s="1"/>
      <c r="H13" s="39" t="s">
        <v>43</v>
      </c>
      <c r="I13" s="9"/>
      <c r="J13" s="41"/>
      <c r="K13" s="41"/>
      <c r="L13" s="41"/>
      <c r="M13" s="41"/>
      <c r="N13" s="41"/>
      <c r="O13" s="41"/>
    </row>
    <row r="14" spans="1:15" s="4" customFormat="1" ht="30" customHeight="1" x14ac:dyDescent="0.25">
      <c r="A14" s="20">
        <v>6</v>
      </c>
      <c r="B14" s="2"/>
      <c r="C14" s="3"/>
      <c r="D14" s="21"/>
      <c r="E14" s="5"/>
      <c r="F14" s="1"/>
      <c r="G14" s="1"/>
      <c r="H14" s="39"/>
      <c r="I14" s="9"/>
      <c r="J14" s="41"/>
      <c r="K14" s="41"/>
      <c r="L14" s="41"/>
      <c r="M14" s="41"/>
      <c r="N14" s="41"/>
      <c r="O14" s="41"/>
    </row>
    <row r="15" spans="1:15" s="4" customFormat="1" ht="30" customHeight="1" x14ac:dyDescent="0.25">
      <c r="A15" s="20">
        <v>7</v>
      </c>
      <c r="B15" s="2"/>
      <c r="C15" s="3"/>
      <c r="D15" s="21"/>
      <c r="E15" s="5"/>
      <c r="F15" s="1"/>
      <c r="G15" s="1"/>
      <c r="H15" s="39"/>
      <c r="I15" s="9"/>
      <c r="J15" s="41"/>
      <c r="K15" s="41"/>
      <c r="L15" s="41"/>
      <c r="M15" s="41"/>
      <c r="N15" s="41"/>
      <c r="O15" s="41"/>
    </row>
    <row r="16" spans="1:15" s="4" customFormat="1" ht="30" customHeight="1" x14ac:dyDescent="0.25">
      <c r="A16" s="20">
        <v>8</v>
      </c>
      <c r="B16" s="2"/>
      <c r="C16" s="3"/>
      <c r="D16" s="21"/>
      <c r="E16" s="5"/>
      <c r="F16" s="1"/>
      <c r="G16" s="1"/>
      <c r="H16" s="39"/>
      <c r="I16" s="9"/>
      <c r="J16" s="41"/>
      <c r="K16" s="41"/>
      <c r="L16" s="41"/>
      <c r="M16" s="41"/>
      <c r="N16" s="41"/>
      <c r="O16" s="41"/>
    </row>
    <row r="17" spans="1:15" s="4" customFormat="1" ht="30" customHeight="1" x14ac:dyDescent="0.25">
      <c r="A17" s="20">
        <v>9</v>
      </c>
      <c r="B17" s="2"/>
      <c r="C17" s="3"/>
      <c r="D17" s="21"/>
      <c r="E17" s="5"/>
      <c r="F17" s="1"/>
      <c r="G17" s="1"/>
      <c r="H17" s="39"/>
      <c r="I17" s="9"/>
      <c r="J17" s="41"/>
      <c r="K17" s="41"/>
      <c r="L17" s="41"/>
      <c r="M17" s="41"/>
      <c r="N17" s="41"/>
      <c r="O17" s="41"/>
    </row>
    <row r="18" spans="1:15" s="4" customFormat="1" ht="30" customHeight="1" x14ac:dyDescent="0.25">
      <c r="A18" s="20">
        <v>10</v>
      </c>
      <c r="B18" s="2"/>
      <c r="C18" s="3"/>
      <c r="D18" s="21"/>
      <c r="E18" s="5"/>
      <c r="F18" s="1"/>
      <c r="G18" s="1"/>
      <c r="H18" s="39"/>
      <c r="I18" s="9"/>
      <c r="J18" s="41"/>
      <c r="K18" s="41"/>
      <c r="L18" s="41"/>
      <c r="M18" s="41"/>
      <c r="N18" s="41"/>
      <c r="O18" s="41"/>
    </row>
    <row r="19" spans="1:15" s="4" customFormat="1" ht="30" customHeight="1" x14ac:dyDescent="0.25">
      <c r="A19" s="20">
        <v>11</v>
      </c>
      <c r="B19" s="2"/>
      <c r="C19" s="3"/>
      <c r="D19" s="21"/>
      <c r="E19" s="5"/>
      <c r="F19" s="1"/>
      <c r="G19" s="1"/>
      <c r="H19" s="39"/>
      <c r="I19" s="9"/>
      <c r="J19" s="41"/>
      <c r="K19" s="41"/>
      <c r="L19" s="41"/>
      <c r="M19" s="41"/>
      <c r="N19" s="41"/>
      <c r="O19" s="41"/>
    </row>
    <row r="20" spans="1:15" s="4" customFormat="1" ht="30" customHeight="1" x14ac:dyDescent="0.25">
      <c r="A20" s="20">
        <v>12</v>
      </c>
      <c r="B20" s="2"/>
      <c r="C20" s="3"/>
      <c r="D20" s="21"/>
      <c r="E20" s="5"/>
      <c r="F20" s="1"/>
      <c r="G20" s="1"/>
      <c r="H20" s="39"/>
      <c r="I20" s="9"/>
      <c r="J20" s="41"/>
      <c r="K20" s="41"/>
      <c r="L20" s="41"/>
      <c r="M20" s="41"/>
      <c r="N20" s="41"/>
      <c r="O20" s="41"/>
    </row>
    <row r="21" spans="1:15" s="4" customFormat="1" ht="30" customHeight="1" x14ac:dyDescent="0.25">
      <c r="A21" s="20">
        <v>13</v>
      </c>
      <c r="B21" s="2"/>
      <c r="C21" s="3"/>
      <c r="D21" s="21"/>
      <c r="E21" s="5"/>
      <c r="F21" s="1"/>
      <c r="G21" s="1"/>
      <c r="H21" s="39"/>
      <c r="I21" s="9"/>
      <c r="J21" s="41"/>
      <c r="K21" s="41"/>
      <c r="L21" s="41"/>
      <c r="M21" s="41"/>
      <c r="N21" s="41"/>
      <c r="O21" s="41"/>
    </row>
    <row r="22" spans="1:15" s="4" customFormat="1" ht="30" customHeight="1" x14ac:dyDescent="0.25">
      <c r="A22" s="20">
        <v>14</v>
      </c>
      <c r="B22" s="2"/>
      <c r="C22" s="3"/>
      <c r="D22" s="21"/>
      <c r="E22" s="5"/>
      <c r="F22" s="1"/>
      <c r="G22" s="1"/>
      <c r="H22" s="39"/>
      <c r="I22" s="9"/>
      <c r="J22" s="41"/>
      <c r="K22" s="41"/>
      <c r="L22" s="41"/>
      <c r="M22" s="41"/>
      <c r="N22" s="41"/>
      <c r="O22" s="41"/>
    </row>
    <row r="23" spans="1:15" s="4" customFormat="1" ht="30" customHeight="1" x14ac:dyDescent="0.25">
      <c r="A23" s="20">
        <v>15</v>
      </c>
      <c r="B23" s="2"/>
      <c r="C23" s="3"/>
      <c r="D23" s="21"/>
      <c r="E23" s="5"/>
      <c r="F23" s="1"/>
      <c r="G23" s="1"/>
      <c r="H23" s="39"/>
      <c r="I23" s="9"/>
      <c r="J23" s="41"/>
      <c r="K23" s="41"/>
      <c r="L23" s="41"/>
      <c r="M23" s="41"/>
      <c r="N23" s="41"/>
      <c r="O23" s="41"/>
    </row>
    <row r="24" spans="1:15" s="4" customFormat="1" ht="30" customHeight="1" x14ac:dyDescent="0.25">
      <c r="A24" s="20">
        <v>16</v>
      </c>
      <c r="B24" s="2"/>
      <c r="C24" s="3"/>
      <c r="D24" s="21"/>
      <c r="E24" s="5"/>
      <c r="F24" s="1"/>
      <c r="G24" s="1"/>
      <c r="H24" s="39"/>
      <c r="I24" s="9"/>
      <c r="J24" s="41"/>
      <c r="K24" s="41"/>
      <c r="L24" s="41"/>
      <c r="M24" s="41"/>
      <c r="N24" s="41"/>
      <c r="O24" s="41"/>
    </row>
    <row r="25" spans="1:15" s="4" customFormat="1" ht="30" customHeight="1" x14ac:dyDescent="0.25">
      <c r="A25" s="20">
        <v>17</v>
      </c>
      <c r="B25" s="2"/>
      <c r="C25" s="3"/>
      <c r="D25" s="21"/>
      <c r="E25" s="5"/>
      <c r="F25" s="1"/>
      <c r="G25" s="1"/>
      <c r="H25" s="39"/>
      <c r="I25" s="9"/>
      <c r="J25" s="41"/>
      <c r="K25" s="41"/>
      <c r="L25" s="41"/>
      <c r="M25" s="41"/>
      <c r="N25" s="41"/>
      <c r="O25" s="41"/>
    </row>
    <row r="26" spans="1:15" s="4" customFormat="1" ht="30" customHeight="1" x14ac:dyDescent="0.25">
      <c r="A26" s="20">
        <v>18</v>
      </c>
      <c r="B26" s="2"/>
      <c r="C26" s="3"/>
      <c r="D26" s="21"/>
      <c r="E26" s="5"/>
      <c r="F26" s="1"/>
      <c r="G26" s="1"/>
      <c r="H26" s="39"/>
      <c r="I26" s="9"/>
      <c r="J26" s="41"/>
      <c r="K26" s="41"/>
      <c r="L26" s="41"/>
      <c r="M26" s="41"/>
      <c r="N26" s="41"/>
      <c r="O26" s="41"/>
    </row>
    <row r="27" spans="1:15" s="4" customFormat="1" ht="30" customHeight="1" x14ac:dyDescent="0.25">
      <c r="A27" s="20">
        <v>19</v>
      </c>
      <c r="B27" s="2"/>
      <c r="C27" s="9"/>
      <c r="D27" s="22"/>
      <c r="E27" s="5"/>
      <c r="F27" s="1"/>
      <c r="G27" s="1"/>
      <c r="H27" s="31"/>
      <c r="I27" s="9"/>
      <c r="J27" s="41"/>
      <c r="K27" s="41"/>
      <c r="L27" s="41"/>
      <c r="M27" s="41"/>
      <c r="N27" s="41"/>
      <c r="O27" s="41"/>
    </row>
    <row r="28" spans="1:15" s="4" customFormat="1" ht="30" customHeight="1" x14ac:dyDescent="0.25">
      <c r="A28" s="20">
        <v>20</v>
      </c>
      <c r="B28" s="2"/>
      <c r="C28" s="9"/>
      <c r="D28" s="22"/>
      <c r="E28" s="5"/>
      <c r="F28" s="1"/>
      <c r="G28" s="1"/>
      <c r="H28" s="40"/>
      <c r="I28" s="9"/>
      <c r="J28" s="41"/>
      <c r="K28" s="41"/>
      <c r="L28" s="41"/>
      <c r="M28" s="41"/>
      <c r="N28" s="41"/>
      <c r="O28" s="41"/>
    </row>
    <row r="29" spans="1:15" s="4" customFormat="1" ht="30" customHeight="1" x14ac:dyDescent="0.25">
      <c r="A29" s="20">
        <v>21</v>
      </c>
      <c r="B29" s="2"/>
      <c r="C29" s="9"/>
      <c r="D29" s="22"/>
      <c r="E29" s="5"/>
      <c r="F29" s="1"/>
      <c r="G29" s="1"/>
      <c r="H29" s="40"/>
      <c r="I29" s="9"/>
      <c r="J29" s="41"/>
      <c r="K29" s="41"/>
      <c r="L29" s="41"/>
      <c r="M29" s="41"/>
      <c r="N29" s="41"/>
      <c r="O29" s="41"/>
    </row>
    <row r="30" spans="1:15" s="4" customFormat="1" ht="30" customHeight="1" x14ac:dyDescent="0.25">
      <c r="A30" s="20">
        <v>22</v>
      </c>
      <c r="B30" s="2"/>
      <c r="C30" s="9"/>
      <c r="D30" s="22"/>
      <c r="E30" s="5"/>
      <c r="F30" s="1"/>
      <c r="G30" s="1"/>
      <c r="H30" s="40"/>
      <c r="I30" s="9"/>
      <c r="J30" s="41"/>
      <c r="K30" s="41"/>
      <c r="L30" s="41"/>
      <c r="M30" s="41"/>
      <c r="N30" s="41"/>
      <c r="O30" s="41"/>
    </row>
    <row r="31" spans="1:15" s="4" customFormat="1" ht="30" customHeight="1" x14ac:dyDescent="0.25">
      <c r="A31" s="20">
        <v>23</v>
      </c>
      <c r="B31" s="2"/>
      <c r="C31" s="9"/>
      <c r="D31" s="22"/>
      <c r="E31" s="5"/>
      <c r="F31" s="1"/>
      <c r="G31" s="1"/>
      <c r="H31" s="40"/>
      <c r="I31" s="9"/>
      <c r="J31" s="41"/>
      <c r="K31" s="41"/>
      <c r="L31" s="41"/>
      <c r="M31" s="41"/>
      <c r="N31" s="41"/>
      <c r="O31" s="41"/>
    </row>
    <row r="32" spans="1:15" s="4" customFormat="1" ht="30" customHeight="1" x14ac:dyDescent="0.25">
      <c r="A32" s="20">
        <v>24</v>
      </c>
      <c r="B32" s="2"/>
      <c r="C32" s="9"/>
      <c r="D32" s="22"/>
      <c r="E32" s="5"/>
      <c r="F32" s="1"/>
      <c r="G32" s="1"/>
      <c r="H32" s="40"/>
      <c r="I32" s="9"/>
      <c r="J32" s="41"/>
      <c r="K32" s="41"/>
      <c r="L32" s="41"/>
      <c r="M32" s="41"/>
      <c r="N32" s="41"/>
      <c r="O32" s="41"/>
    </row>
    <row r="33" spans="1:26" s="4" customFormat="1" ht="30" customHeight="1" thickBot="1" x14ac:dyDescent="0.3">
      <c r="A33" s="20">
        <v>25</v>
      </c>
      <c r="B33" s="2"/>
      <c r="C33" s="9"/>
      <c r="D33" s="22"/>
      <c r="E33" s="5"/>
      <c r="F33" s="1"/>
      <c r="G33" s="1"/>
      <c r="H33" s="40"/>
      <c r="I33" s="9"/>
      <c r="J33" s="41"/>
      <c r="K33" s="41"/>
      <c r="L33" s="41"/>
      <c r="M33" s="41"/>
      <c r="N33" s="41"/>
      <c r="O33" s="41"/>
    </row>
    <row r="34" spans="1:26" ht="71.25" customHeight="1" thickBot="1" x14ac:dyDescent="0.3">
      <c r="A34" s="90" t="s">
        <v>13</v>
      </c>
      <c r="B34" s="91"/>
      <c r="C34" s="92"/>
      <c r="D34" s="93"/>
      <c r="E34" s="93"/>
      <c r="F34" s="93"/>
      <c r="G34" s="93"/>
      <c r="H34" s="94"/>
    </row>
    <row r="35" spans="1:26" ht="15" customHeight="1" thickBot="1" x14ac:dyDescent="0.3">
      <c r="A35" s="89"/>
      <c r="B35" s="89"/>
      <c r="C35" s="89"/>
      <c r="D35" s="89"/>
      <c r="E35" s="89"/>
      <c r="F35" s="89"/>
      <c r="G35" s="89"/>
      <c r="H35" s="89"/>
    </row>
    <row r="36" spans="1:26" ht="24.95" customHeight="1" x14ac:dyDescent="0.25">
      <c r="A36" s="77" t="s">
        <v>14</v>
      </c>
      <c r="B36" s="78"/>
      <c r="C36" s="78"/>
      <c r="D36" s="78"/>
      <c r="E36" s="78"/>
      <c r="F36" s="78"/>
      <c r="G36" s="78"/>
      <c r="H36" s="79"/>
    </row>
    <row r="37" spans="1:26" ht="39.950000000000003" customHeight="1" x14ac:dyDescent="0.25">
      <c r="A37" s="85" t="s">
        <v>23</v>
      </c>
      <c r="B37" s="86"/>
      <c r="C37" s="76"/>
      <c r="D37" s="76"/>
      <c r="E37" s="76"/>
      <c r="F37" s="29"/>
      <c r="G37" s="28" t="s">
        <v>15</v>
      </c>
      <c r="H37" s="25">
        <f>C2</f>
        <v>230</v>
      </c>
    </row>
    <row r="38" spans="1:26" ht="30" customHeight="1" x14ac:dyDescent="0.25">
      <c r="A38" s="72" t="s">
        <v>29</v>
      </c>
      <c r="B38" s="73"/>
      <c r="C38" s="82" t="str">
        <f>C6</f>
        <v>D Forbes - Master Electrician</v>
      </c>
      <c r="D38" s="83"/>
      <c r="E38" s="83"/>
      <c r="F38" s="71" t="s">
        <v>17</v>
      </c>
      <c r="G38" s="71"/>
      <c r="H38" s="26">
        <f>C1</f>
        <v>45336</v>
      </c>
    </row>
    <row r="39" spans="1:26" ht="30" customHeight="1" thickBot="1" x14ac:dyDescent="0.3">
      <c r="A39" s="80" t="s">
        <v>18</v>
      </c>
      <c r="B39" s="81"/>
      <c r="C39" s="67"/>
      <c r="D39" s="68"/>
      <c r="E39" s="68"/>
      <c r="F39" s="68"/>
      <c r="G39" s="68"/>
      <c r="H39" s="69"/>
    </row>
    <row r="40" spans="1:26" ht="15" customHeight="1" thickBot="1" x14ac:dyDescent="0.3">
      <c r="A40" s="84"/>
      <c r="B40" s="84"/>
      <c r="C40" s="84"/>
      <c r="D40" s="84"/>
      <c r="E40" s="84"/>
      <c r="F40" s="84"/>
      <c r="G40" s="84"/>
      <c r="H40" s="10"/>
    </row>
    <row r="41" spans="1:26" ht="30" customHeight="1" thickBot="1" x14ac:dyDescent="0.3">
      <c r="A41" s="77" t="s">
        <v>19</v>
      </c>
      <c r="B41" s="78"/>
      <c r="C41" s="78"/>
      <c r="D41" s="78"/>
      <c r="E41" s="78"/>
      <c r="F41" s="79"/>
      <c r="G41" s="6"/>
      <c r="H41" s="16" t="s">
        <v>20</v>
      </c>
      <c r="I41" s="61"/>
    </row>
    <row r="42" spans="1:26" ht="39.950000000000003" customHeight="1" thickBot="1" x14ac:dyDescent="0.3">
      <c r="A42" s="70" t="s">
        <v>23</v>
      </c>
      <c r="B42" s="71"/>
      <c r="C42" s="76"/>
      <c r="D42" s="76"/>
      <c r="E42" s="76"/>
      <c r="F42" s="18"/>
      <c r="G42" s="19"/>
      <c r="H42" s="17" t="s">
        <v>21</v>
      </c>
      <c r="Z42" s="30"/>
    </row>
    <row r="43" spans="1:26" ht="33" customHeight="1" x14ac:dyDescent="0.25">
      <c r="A43" s="72" t="s">
        <v>16</v>
      </c>
      <c r="B43" s="73"/>
      <c r="C43" s="74" t="s">
        <v>30</v>
      </c>
      <c r="D43" s="75"/>
      <c r="E43" s="75"/>
      <c r="F43" s="71" t="s">
        <v>17</v>
      </c>
      <c r="G43" s="71"/>
      <c r="H43" s="27"/>
    </row>
    <row r="44" spans="1:26" ht="30" customHeight="1" thickBot="1" x14ac:dyDescent="0.3">
      <c r="A44" s="65" t="s">
        <v>18</v>
      </c>
      <c r="B44" s="66"/>
      <c r="C44" s="67"/>
      <c r="D44" s="68"/>
      <c r="E44" s="68"/>
      <c r="F44" s="68"/>
      <c r="G44" s="68"/>
      <c r="H44" s="69"/>
    </row>
  </sheetData>
  <sheetProtection algorithmName="SHA-512" hashValue="uvnMlutiBiREaavx2NFxT8kytTzSaSLAmdt/bBKC9ybovsHgJMoPqcam/os/y4xIu0wT9KZODB9lTRC/T5QTuw==" saltValue="0I5YZGIrloQwquCBHhyGYA==" spinCount="100000" sheet="1" objects="1" scenarios="1" insertRows="0" insertHyperlinks="0" deleteRows="0" sort="0"/>
  <mergeCells count="39">
    <mergeCell ref="I1:I2"/>
    <mergeCell ref="I3:I4"/>
    <mergeCell ref="I5:I6"/>
    <mergeCell ref="E3:G3"/>
    <mergeCell ref="E4:G4"/>
    <mergeCell ref="D1:G1"/>
    <mergeCell ref="H1:H2"/>
    <mergeCell ref="E2:G2"/>
    <mergeCell ref="H3:H4"/>
    <mergeCell ref="H5:H6"/>
    <mergeCell ref="D5:E5"/>
    <mergeCell ref="I7:I8"/>
    <mergeCell ref="A35:H35"/>
    <mergeCell ref="A34:B34"/>
    <mergeCell ref="C34:H34"/>
    <mergeCell ref="A7:A8"/>
    <mergeCell ref="B7:B8"/>
    <mergeCell ref="H7:H8"/>
    <mergeCell ref="D7:D8"/>
    <mergeCell ref="F7:G7"/>
    <mergeCell ref="E7:E8"/>
    <mergeCell ref="C7:C8"/>
    <mergeCell ref="A36:H36"/>
    <mergeCell ref="A40:G40"/>
    <mergeCell ref="C37:E37"/>
    <mergeCell ref="A38:B38"/>
    <mergeCell ref="A37:B37"/>
    <mergeCell ref="A44:B44"/>
    <mergeCell ref="C44:H44"/>
    <mergeCell ref="A42:B42"/>
    <mergeCell ref="A43:B43"/>
    <mergeCell ref="F38:G38"/>
    <mergeCell ref="C43:E43"/>
    <mergeCell ref="F43:G43"/>
    <mergeCell ref="C42:E42"/>
    <mergeCell ref="A41:F41"/>
    <mergeCell ref="A39:B39"/>
    <mergeCell ref="C39:H39"/>
    <mergeCell ref="C38:E38"/>
  </mergeCells>
  <conditionalFormatting sqref="C3:C5">
    <cfRule type="containsText" dxfId="2" priority="4" operator="containsText" text="_">
      <formula>NOT(ISERROR(SEARCH("_",C3)))</formula>
    </cfRule>
    <cfRule type="containsText" dxfId="1" priority="5" operator="containsText" text=" ">
      <formula>NOT(ISERROR(SEARCH(" ",C3)))</formula>
    </cfRule>
    <cfRule type="containsBlanks" dxfId="0" priority="6">
      <formula>LEN(TRIM(C3))=0</formula>
    </cfRule>
  </conditionalFormatting>
  <dataValidations count="3">
    <dataValidation type="whole" operator="greaterThanOrEqual" allowBlank="1" showInputMessage="1" showErrorMessage="1" sqref="D9:D33" xr:uid="{124FDA5B-8228-4167-9B5A-ADFAC7F95F7A}">
      <formula1>0</formula1>
    </dataValidation>
    <dataValidation type="list" allowBlank="1" showInputMessage="1" showErrorMessage="1" sqref="E9:E33" xr:uid="{3F67D006-0C7F-417B-AF8E-11D8FBBB105C}">
      <formula1>"EA, PK, M, ROLL, BOX, KIT, "</formula1>
    </dataValidation>
    <dataValidation type="list" allowBlank="1" showInputMessage="1" showErrorMessage="1" sqref="F9:G33 G41:G42" xr:uid="{E07FA0F5-4377-4831-8CB6-D9F882C4D2E8}">
      <formula1>$A$2:$A$3</formula1>
    </dataValidation>
  </dataValidations>
  <hyperlinks>
    <hyperlink ref="I9" r:id="rId1" xr:uid="{67A72403-B9D8-45DA-B075-200D7FCAED7C}"/>
    <hyperlink ref="I10" r:id="rId2" xr:uid="{73C4CC38-C8AD-4193-B4F8-42185A339D51}"/>
    <hyperlink ref="I11" r:id="rId3" xr:uid="{5774A068-5DA3-4857-BD89-6057CC77B440}"/>
  </hyperlinks>
  <printOptions horizontalCentered="1"/>
  <pageMargins left="0.2" right="0.2" top="0.25" bottom="0.6" header="0" footer="0.25"/>
  <pageSetup scale="44" fitToHeight="100" orientation="landscape" r:id="rId4"/>
  <headerFooter scaleWithDoc="0">
    <oddFooter>&amp;R&amp;8Page &amp;P of &amp;N</oddFooter>
  </headerFooter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ACEC63CB888C46AFDA654D3D4F46BA" ma:contentTypeVersion="18" ma:contentTypeDescription="Create a new document." ma:contentTypeScope="" ma:versionID="d182e5e7acd9acf8f9239d020669c2d7">
  <xsd:schema xmlns:xsd="http://www.w3.org/2001/XMLSchema" xmlns:xs="http://www.w3.org/2001/XMLSchema" xmlns:p="http://schemas.microsoft.com/office/2006/metadata/properties" xmlns:ns2="c64b7a12-8e9f-4b7c-a6b9-a8bb2ddbabf4" xmlns:ns3="47518eb9-eb9f-43e2-8f62-0ac5b1467e79" targetNamespace="http://schemas.microsoft.com/office/2006/metadata/properties" ma:root="true" ma:fieldsID="d9920849e4dc7e50f2d580402a1e3123" ns2:_="" ns3:_="">
    <xsd:import namespace="c64b7a12-8e9f-4b7c-a6b9-a8bb2ddbabf4"/>
    <xsd:import namespace="47518eb9-eb9f-43e2-8f62-0ac5b1467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b7a12-8e9f-4b7c-a6b9-a8bb2ddbab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05eb37-9868-4b71-ba3e-7ef1dcacb238}" ma:internalName="TaxCatchAll" ma:showField="CatchAllData" ma:web="c64b7a12-8e9f-4b7c-a6b9-a8bb2ddba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8eb9-eb9f-43e2-8f62-0ac5b1467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8dc39e-9fbb-4a44-bda7-f8dbd564b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4b7a12-8e9f-4b7c-a6b9-a8bb2ddbabf4" xsi:nil="true"/>
    <lcf76f155ced4ddcb4097134ff3c332f xmlns="47518eb9-eb9f-43e2-8f62-0ac5b1467e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FD0B35-613E-4F2C-8B45-379B63F2F3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b7a12-8e9f-4b7c-a6b9-a8bb2ddbabf4"/>
    <ds:schemaRef ds:uri="47518eb9-eb9f-43e2-8f62-0ac5b1467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707C04-8435-4A2E-B297-44603ABABF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8C8C0F-AA69-4B7C-8DD8-A62961B4B31F}">
  <ds:schemaRefs>
    <ds:schemaRef ds:uri="c64b7a12-8e9f-4b7c-a6b9-a8bb2ddbabf4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47518eb9-eb9f-43e2-8f62-0ac5b1467e79"/>
  </ds:schemaRefs>
</ds:datastoreItem>
</file>

<file path=docMetadata/LabelInfo.xml><?xml version="1.0" encoding="utf-8"?>
<clbl:labelList xmlns:clbl="http://schemas.microsoft.com/office/2020/mipLabelMetadata">
  <clbl:label id="{596dff88-54fc-4855-94b0-415cd9876a47}" enabled="0" method="" siteId="{596dff88-54fc-4855-94b0-415cd9876a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SCM-457</vt:lpstr>
      <vt:lpstr>'SCM-457'!Print_Area</vt:lpstr>
      <vt:lpstr>'SCM-457'!Print_Titles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GThompson@versar.com</dc:creator>
  <cp:keywords/>
  <dc:description/>
  <cp:lastModifiedBy>Thompson, Glenn  [JOR - CON]</cp:lastModifiedBy>
  <cp:revision/>
  <cp:lastPrinted>2023-12-11T21:51:22Z</cp:lastPrinted>
  <dcterms:created xsi:type="dcterms:W3CDTF">2019-02-25T07:10:28Z</dcterms:created>
  <dcterms:modified xsi:type="dcterms:W3CDTF">2025-12-22T04:18:33Z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99f51ee7-a817-40a2-bac8-9d2468374e55</vt:lpwstr>
  </property>
  <property fmtid="{D5CDD505-2E9C-101B-9397-08002B2CF9AE}" pid="3" name="ContentTypeId">
    <vt:lpwstr>0x010100F9ACEC63CB888C46AFDA654D3D4F46BA</vt:lpwstr>
  </property>
  <property fmtid="{D5CDD505-2E9C-101B-9397-08002B2CF9AE}" pid="4" name="MediaServiceImageTags">
    <vt:lpwstr/>
  </property>
</Properties>
</file>