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000 BACK UP TO BACK UP\08 12-JUL-22\0 VERSAR\INVENTORY\"/>
    </mc:Choice>
  </mc:AlternateContent>
  <xr:revisionPtr revIDLastSave="0" documentId="13_ncr:1_{051455A5-8E5E-4BCD-8047-5D9F3BD2D4D5}" xr6:coauthVersionLast="47" xr6:coauthVersionMax="47" xr10:uidLastSave="{00000000-0000-0000-0000-000000000000}"/>
  <bookViews>
    <workbookView xWindow="20370" yWindow="-120" windowWidth="29040" windowHeight="15720" tabRatio="835" xr2:uid="{55578AB9-0E5D-43F5-84FC-6F38B40D0DE1}"/>
  </bookViews>
  <sheets>
    <sheet name="TF SAFE EBOM - ALL" sheetId="1" r:id="rId1"/>
  </sheets>
  <definedNames>
    <definedName name="_xlnm._FilterDatabase" localSheetId="0" hidden="1">'TF SAFE EBOM - ALL'!$A$1:$K$792</definedName>
    <definedName name="_xlnm.Print_Area" localSheetId="0">'TF SAFE EBOM - ALL'!$B$1:$I$792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90" i="1"/>
  <c r="H791" i="1"/>
  <c r="H792" i="1"/>
  <c r="H789" i="1"/>
  <c r="H2" i="1"/>
  <c r="H79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de Vera</author>
  </authors>
  <commentList>
    <comment ref="F444" authorId="0" shapeId="0" xr:uid="{915A3B36-2AC2-4CD7-AAB8-3920749A1D23}">
      <text>
        <r>
          <rPr>
            <b/>
            <sz val="9"/>
            <color indexed="81"/>
            <rFont val="Tahoma"/>
            <family val="2"/>
          </rPr>
          <t>Alex de Vera:</t>
        </r>
        <r>
          <rPr>
            <sz val="9"/>
            <color indexed="81"/>
            <rFont val="Tahoma"/>
            <family val="2"/>
          </rPr>
          <t xml:space="preserve">
40
40</t>
        </r>
      </text>
    </comment>
    <comment ref="F770" authorId="0" shapeId="0" xr:uid="{8DB3B76B-4E3D-4FE5-B7BC-8CBFA07BB4CD}">
      <text>
        <r>
          <rPr>
            <b/>
            <sz val="9"/>
            <color indexed="81"/>
            <rFont val="Tahoma"/>
            <family val="2"/>
          </rPr>
          <t>Alex de Vera:</t>
        </r>
        <r>
          <rPr>
            <sz val="9"/>
            <color indexed="81"/>
            <rFont val="Tahoma"/>
            <family val="2"/>
          </rPr>
          <t xml:space="preserve">
80
80
200
150
35
DEDUCTION - NLZ WK 19-21
280m</t>
        </r>
      </text>
    </comment>
    <comment ref="F774" authorId="0" shapeId="0" xr:uid="{E9E2B7C2-236E-4425-96E5-717569F7AE3F}">
      <text>
        <r>
          <rPr>
            <b/>
            <sz val="9"/>
            <color indexed="81"/>
            <rFont val="Tahoma"/>
            <family val="2"/>
          </rPr>
          <t>Alex de Vera:</t>
        </r>
        <r>
          <rPr>
            <sz val="9"/>
            <color indexed="81"/>
            <rFont val="Tahoma"/>
            <family val="2"/>
          </rPr>
          <t xml:space="preserve">
80  80  100  60  40  60  90  35
DEDUCTION - NLZ WK 19-21
250m</t>
        </r>
      </text>
    </comment>
  </commentList>
</comments>
</file>

<file path=xl/sharedStrings.xml><?xml version="1.0" encoding="utf-8"?>
<sst xmlns="http://schemas.openxmlformats.org/spreadsheetml/2006/main" count="5466" uniqueCount="1604">
  <si>
    <t>#</t>
  </si>
  <si>
    <t>ITEM DESCRIPTION</t>
  </si>
  <si>
    <t>MAKE</t>
  </si>
  <si>
    <t>PART NUMBER</t>
  </si>
  <si>
    <t>UOM</t>
  </si>
  <si>
    <t>QTY</t>
  </si>
  <si>
    <t>UNIT COST</t>
  </si>
  <si>
    <t>TOTAL COST</t>
  </si>
  <si>
    <t>CONTAINER #</t>
  </si>
  <si>
    <t>PROPERTY TYPE</t>
  </si>
  <si>
    <t>PROPERTY USAGE</t>
  </si>
  <si>
    <t>HSS STEP DRILL BIT 9MM x 36MM</t>
  </si>
  <si>
    <t>EXACT</t>
  </si>
  <si>
    <t>05330</t>
  </si>
  <si>
    <t>EA</t>
  </si>
  <si>
    <t>CON 01</t>
  </si>
  <si>
    <t>Material</t>
  </si>
  <si>
    <t>Consume</t>
  </si>
  <si>
    <t>PVC CONDUIT TERMINAL BOX, WHITE, 20MM</t>
  </si>
  <si>
    <t>CENTAUR</t>
  </si>
  <si>
    <t>20 CRB 2W</t>
  </si>
  <si>
    <t>CLOSED RUBBER GROMMETS, 20MM, 100EA/PK</t>
  </si>
  <si>
    <t>F4P</t>
  </si>
  <si>
    <t>20MMB-100</t>
  </si>
  <si>
    <t>PK</t>
  </si>
  <si>
    <t>CLOSED RUBBER GROMMETS, 25MM, 100EA/PK</t>
  </si>
  <si>
    <t>25MMB-100</t>
  </si>
  <si>
    <t>M6 BRASS NUT, 100EA/PK</t>
  </si>
  <si>
    <t>RS PRO</t>
  </si>
  <si>
    <t>293-6816-PK</t>
  </si>
  <si>
    <t>PVC CONDUIT ANGLE BOXES, 20MM, WHITE</t>
  </si>
  <si>
    <t>MARSHALL TUFFLEX</t>
  </si>
  <si>
    <t>2MRB4WH</t>
  </si>
  <si>
    <t>THROUGH BOX, 2-WAY, WHITE, 20MM</t>
  </si>
  <si>
    <t>FALCON TRUNKING</t>
  </si>
  <si>
    <t>2S/20</t>
  </si>
  <si>
    <t>BRASS HEX BOLT, M6 x 25MM, 100EA/PK</t>
  </si>
  <si>
    <t>483-2384-PK</t>
  </si>
  <si>
    <t>RCCB WITH OVERCURRENT PROTECTION (RCBO), 1P+N C20 30mA-AC 230V</t>
  </si>
  <si>
    <t>SCHNEIDER ELECTRIC</t>
  </si>
  <si>
    <t>A9DA2620</t>
  </si>
  <si>
    <t>CIRCUIT BREAKER, MINIATURE, 32A 2P C, 400V</t>
  </si>
  <si>
    <t>A9F84232</t>
  </si>
  <si>
    <t>RESIDUAL CURRENT CIRCUIT BREAKER (RCCB), 25A 300mA 2P TYPE A</t>
  </si>
  <si>
    <t>A9R24225</t>
  </si>
  <si>
    <t>RESIDUAL CURRENT CIRCUIT BREAKER (RCCB), 25A 30mA 2P TYPE AC 230V</t>
  </si>
  <si>
    <t>A9R55225</t>
  </si>
  <si>
    <t>RESIDUAL CURRENT CIRCUIT BREAKER (RCCB), 25A 300mA 2P TYPE AC</t>
  </si>
  <si>
    <t>A9R56225</t>
  </si>
  <si>
    <t>TINNED CU CABLE LUGS, TUBULAR, 25-10</t>
  </si>
  <si>
    <t>SPEEDWELL</t>
  </si>
  <si>
    <t>CLH2510S</t>
  </si>
  <si>
    <t>TINNED CU CABLE LUGS, TUBULAR, 50-10</t>
  </si>
  <si>
    <t>CLH5010S</t>
  </si>
  <si>
    <t>TINNED CU CABLE LUGS, TUBULAR, 6-8</t>
  </si>
  <si>
    <t>CLH68S</t>
  </si>
  <si>
    <t>SWITCH, 1-GANG 1 WAY 10AX</t>
  </si>
  <si>
    <t>VOLEX ACCESSORIES</t>
  </si>
  <si>
    <t>EXVX1010</t>
  </si>
  <si>
    <t>GROMMET STRIP</t>
  </si>
  <si>
    <t>HELLERMANN TYTON</t>
  </si>
  <si>
    <t>G51PA</t>
  </si>
  <si>
    <t>DANGER 400 VOLTS, SAFETY LABELS, 75 x 25MM, 50EA/PK</t>
  </si>
  <si>
    <t>ENGEX</t>
  </si>
  <si>
    <t>GX-DL41</t>
  </si>
  <si>
    <t>15MM + - HEAT SHRINK SLEEVE BLUE</t>
  </si>
  <si>
    <t>AFTEC</t>
  </si>
  <si>
    <t>HSS/15/BL/100M</t>
  </si>
  <si>
    <t>MTR</t>
  </si>
  <si>
    <t>15MM + - HEAT SHRINK SLEEVE BLACK</t>
  </si>
  <si>
    <t>HSS/15/BLK/100M</t>
  </si>
  <si>
    <t>15MM + - HEAT SHRINK SLEEVE BROWN</t>
  </si>
  <si>
    <t>HSS/15/BR/100M</t>
  </si>
  <si>
    <t>15MM + - HEAT SHRINK SLEEVE GREY</t>
  </si>
  <si>
    <t>HSS/15/GRY/100M</t>
  </si>
  <si>
    <t>15MM + - HEAT SHRINK SLEEVE GREEN/YELLOW</t>
  </si>
  <si>
    <t>HSS/15/GY/100M</t>
  </si>
  <si>
    <t>CAUTION MIXED CABLE LABEL, BS7671, 130 x 60MM, 10 LABELS/PK</t>
  </si>
  <si>
    <t>CEF</t>
  </si>
  <si>
    <t>IS5810SA-10</t>
  </si>
  <si>
    <t>M20 x 1.5 COMPRESSION GLAND, WHITE, 6-12MM, IP68, 10EA/PK</t>
  </si>
  <si>
    <t>MCG INDUSTRIAL</t>
  </si>
  <si>
    <t>M20GW</t>
  </si>
  <si>
    <t xml:space="preserve">M8 x 50MM BRASS HEX HEAD BOLT, NUT &amp; WASHER SET, 100EA/PK </t>
  </si>
  <si>
    <t>FISCHER</t>
  </si>
  <si>
    <t>M8X50</t>
  </si>
  <si>
    <t>MALE ADAPTOR, WHITE, 20MM</t>
  </si>
  <si>
    <t>MA20/W</t>
  </si>
  <si>
    <t>BENDING SPRING, 20MM HG</t>
  </si>
  <si>
    <t>MBSH2</t>
  </si>
  <si>
    <t>PVC CONDUIT CIRCULAR BOX LID, WHITE</t>
  </si>
  <si>
    <t>MCL1WH</t>
  </si>
  <si>
    <t>FEMALE BUSH ADAPTOR, 20MM, BLACK</t>
  </si>
  <si>
    <t>PRECISION</t>
  </si>
  <si>
    <t>PFBA20</t>
  </si>
  <si>
    <t>ROTARY ISOLATOR SWITCH, SURFACE MOUNTED, 20A 3P IP65</t>
  </si>
  <si>
    <t>SMI20-3</t>
  </si>
  <si>
    <t>HEAT SHRINK GUN, 2000W</t>
  </si>
  <si>
    <t>STANLEY</t>
  </si>
  <si>
    <t>STXH-2000</t>
  </si>
  <si>
    <t>PLUG TOP, 13A 3 PIN FUSED 250V</t>
  </si>
  <si>
    <t>VX1307</t>
  </si>
  <si>
    <t>SOCKET, TWIN UNSWITCHED</t>
  </si>
  <si>
    <t>RED/GRAY</t>
  </si>
  <si>
    <t>B11U</t>
  </si>
  <si>
    <t>CON 02</t>
  </si>
  <si>
    <t>BLANK PLATE, 2-GANG, B29</t>
  </si>
  <si>
    <t>B29</t>
  </si>
  <si>
    <t>SWITCH, 20 AX, DOUBLE POLE</t>
  </si>
  <si>
    <t>CED</t>
  </si>
  <si>
    <t>CEDS20</t>
  </si>
  <si>
    <t>ROTARY ISOLATOR, SURFACE MOUNTING, 32A 4P</t>
  </si>
  <si>
    <t>TERMINATION TECHNOLOGY LTD</t>
  </si>
  <si>
    <t>E324P</t>
  </si>
  <si>
    <t>SWITCH, 10A 1-GANG 1 WAY</t>
  </si>
  <si>
    <t>WIRING EXCEL ACCESSORIES</t>
  </si>
  <si>
    <t>EX11S</t>
  </si>
  <si>
    <t>BLANK PLATE, 2-GANG</t>
  </si>
  <si>
    <t>EX2GBP</t>
  </si>
  <si>
    <t>SWITCH, 20A 2P</t>
  </si>
  <si>
    <t>EXDP20</t>
  </si>
  <si>
    <t>BLANK PLATE, 1-GANG</t>
  </si>
  <si>
    <t>EXSC1GBP</t>
  </si>
  <si>
    <t>SWITCH, SQUARE NEON, 45A DP</t>
  </si>
  <si>
    <t>EXSL45SN</t>
  </si>
  <si>
    <t>TWIN SWITCHED SOCKET, 13A DP</t>
  </si>
  <si>
    <t>EXW132SDP</t>
  </si>
  <si>
    <t>BLANKING PLATE, 1-GANG</t>
  </si>
  <si>
    <t>EXW1GBP</t>
  </si>
  <si>
    <t>BLANKING PLATE 2-GANG</t>
  </si>
  <si>
    <t>EXW2GBP</t>
  </si>
  <si>
    <t>SURFACE METALCLAD, 13A 1-GANG</t>
  </si>
  <si>
    <t>GMC131SS</t>
  </si>
  <si>
    <t>POWER CABLE, 3G1.5MM</t>
  </si>
  <si>
    <t>GENERIC</t>
  </si>
  <si>
    <t>H05VV-F</t>
  </si>
  <si>
    <t>NEUTRAL ASSEMBLY, INSULATED GROUNDABLE,  HEAVY DUTY SAFETY SWITCH, 400/600A</t>
  </si>
  <si>
    <t xml:space="preserve">SQUARE D </t>
  </si>
  <si>
    <t>H600SN</t>
  </si>
  <si>
    <t>TWIST LOCK RECEPTACLE, 30A 250VAC 2P 3-WIRE GROUNDING</t>
  </si>
  <si>
    <t>HUBBELL</t>
  </si>
  <si>
    <t>HBL2620</t>
  </si>
  <si>
    <t>SURFACE BOX, 40MM, 1-GANG, WHITE</t>
  </si>
  <si>
    <t>MK</t>
  </si>
  <si>
    <t>K2031WHI</t>
  </si>
  <si>
    <t>PLATE SWITCH, 10A 3G SP 2 WAY</t>
  </si>
  <si>
    <t>K4873WHI</t>
  </si>
  <si>
    <t>DP SURFACE METAL SWITCH WITH NEON, 50A</t>
  </si>
  <si>
    <t>K5230ALM</t>
  </si>
  <si>
    <t xml:space="preserve">UNSWITCHED SOCKET, IP66, 13A 2G 250V </t>
  </si>
  <si>
    <t>K56481WHI</t>
  </si>
  <si>
    <t>COMMANDO PLUG, BLUE, 32A 250V</t>
  </si>
  <si>
    <t>K9033BLU</t>
  </si>
  <si>
    <t>COMMANDO SOCKET, RED IP44, 16A 415V 5PIN</t>
  </si>
  <si>
    <t>K9215RED</t>
  </si>
  <si>
    <t>COMMANDO SOCKET, RED IP44, 32A 415V</t>
  </si>
  <si>
    <t>K9241RED</t>
  </si>
  <si>
    <t xml:space="preserve">ROTARY ISOLATOR SWITCH, 100A 4P (1P65) </t>
  </si>
  <si>
    <t>EUROPA COMPONENTS</t>
  </si>
  <si>
    <t>LB1004P</t>
  </si>
  <si>
    <t xml:space="preserve">ROTARY ISOLATOR SWITCH, 63A 4P (1P65) </t>
  </si>
  <si>
    <t>LB634P</t>
  </si>
  <si>
    <t>ADAPTABLE BOX, BLACK, 150x150x75MM</t>
  </si>
  <si>
    <t>MAB7</t>
  </si>
  <si>
    <t>CIRCUIT BREAKER, MINIATURE, 10A 1P C, 6kA</t>
  </si>
  <si>
    <t>HAGER</t>
  </si>
  <si>
    <t>MU110A</t>
  </si>
  <si>
    <t>CIRCUIT BREAKER, MINIATURE, 16A 1P C, 6kA</t>
  </si>
  <si>
    <t>MU116A</t>
  </si>
  <si>
    <t>CIRCUIT BREAKER, MINIATURE, 32A 1P C, 6kA</t>
  </si>
  <si>
    <t>MU132A</t>
  </si>
  <si>
    <t>METALCLAD SWITCHED SOCKET, 13A 1-GANG 2P</t>
  </si>
  <si>
    <t>MAXIMUS</t>
  </si>
  <si>
    <t>MXMC230</t>
  </si>
  <si>
    <t>1-GANG PATTRESS BOX, 25MM</t>
  </si>
  <si>
    <t>NEWLEC</t>
  </si>
  <si>
    <t>NL8385/125</t>
  </si>
  <si>
    <t>PLUG-ON CIRCUIT BREAKER, 20A 1P, 120/240V</t>
  </si>
  <si>
    <t>QO120</t>
  </si>
  <si>
    <t>RING TERMINAL NYLON INSULATED, PRESSURE TERMINAL CONNECTOR, #10, 18-14 AWG CU, 50EA/BT</t>
  </si>
  <si>
    <t>THOMAS &amp; BETTS</t>
  </si>
  <si>
    <t>RB14-10</t>
  </si>
  <si>
    <t>BT</t>
  </si>
  <si>
    <t>FORK TERMINAL NYLON INSULATED, PRESSURE TERMINAL CONNECTOR, #8 BOLT, 18-14 AWG,100EA/BTL</t>
  </si>
  <si>
    <t>RB14-8F</t>
  </si>
  <si>
    <t>SWITCH DISCONNECTOR (WITHOUT FUSE) 63A TRIPLE POLE AND NEUTRAL</t>
  </si>
  <si>
    <t xml:space="preserve">SCHNEIDER ELECTRIC </t>
  </si>
  <si>
    <t>SD633SW</t>
  </si>
  <si>
    <t>SCREW, HEX WASHER HEAD SELF DRILLING, 12 x 3/4", 100EA/BOX</t>
  </si>
  <si>
    <t>DOTTIE</t>
  </si>
  <si>
    <t>TEKHW1234</t>
  </si>
  <si>
    <t>BX</t>
  </si>
  <si>
    <t>SCREW, TAPPING, AB PAN PHILLIPS, #8 x 1, 1LY63, 100EA/BOX</t>
  </si>
  <si>
    <t>FABORY</t>
  </si>
  <si>
    <t>U26660.016.0100</t>
  </si>
  <si>
    <t>SOCKET, METALCLAD RCD PROTECTED SINGLE SWITCHED</t>
  </si>
  <si>
    <t>PROTECTOR</t>
  </si>
  <si>
    <t>VT1108SG</t>
  </si>
  <si>
    <t>SOCKET, METALCLAD RCD PROTECTED TWIN SWITCHED</t>
  </si>
  <si>
    <t>VT1208SG</t>
  </si>
  <si>
    <t>NYLON WALL DRILLER ANCHORS, 100EA/BOX</t>
  </si>
  <si>
    <t>WD8</t>
  </si>
  <si>
    <t>#8 ANCHOR KIT WALL DRILLER KIT</t>
  </si>
  <si>
    <t>WDK8N</t>
  </si>
  <si>
    <t>CIRCUIT BREAKER, MINIATURE, 40A 5kA</t>
  </si>
  <si>
    <t>EATON</t>
  </si>
  <si>
    <t>WMZS3B40</t>
  </si>
  <si>
    <t>STRAIGHT JAW TONGUE &amp; GROOVE PLIERS 12"</t>
  </si>
  <si>
    <t>CHANNELLOCK</t>
  </si>
  <si>
    <t>CON 03</t>
  </si>
  <si>
    <t xml:space="preserve">COPPER LUGS 10MM HOLE FOR 35MM CABLE </t>
  </si>
  <si>
    <t>M6x25MM ROOFING BOLTS &amp; NUTS BZP (PACK OF 200)</t>
  </si>
  <si>
    <t>OLYMPIC FIXINGS</t>
  </si>
  <si>
    <t>085-180-030</t>
  </si>
  <si>
    <t>COPPER TUBE TERMINAL 10-6MM</t>
  </si>
  <si>
    <t xml:space="preserve">SWA </t>
  </si>
  <si>
    <t>10-6TQ</t>
  </si>
  <si>
    <t>4.2x13MM WAFER HEAD SELF DRILLING SCREWS ZP (PACK OF 200)</t>
  </si>
  <si>
    <t>200-124-090</t>
  </si>
  <si>
    <t>HEX KEY METRIC FOLDING SET 8-PC</t>
  </si>
  <si>
    <t>2-69-264</t>
  </si>
  <si>
    <t>UNIVERSAL ADAPTER</t>
  </si>
  <si>
    <t>WONPRO</t>
  </si>
  <si>
    <t>30260 WA-B7</t>
  </si>
  <si>
    <t>POWER STRIP, 2P 3 WIRE, 6-OUTLET, 13A 250V</t>
  </si>
  <si>
    <t>INTERNATIONAL CONFIGURATIONS INC</t>
  </si>
  <si>
    <t>58206-C14</t>
  </si>
  <si>
    <t>INSULATED RING TERMINAL, M6 STUD SIZE, 1.5-2.5MM WIRE SIZE, BLUE</t>
  </si>
  <si>
    <t>613-9328</t>
  </si>
  <si>
    <t xml:space="preserve">COPPER LUGS 10MM HOLE FOR 25MM CABLE </t>
  </si>
  <si>
    <t>630705</t>
  </si>
  <si>
    <t>BUTT SPLICE YELLOW 4-6MM CABLE 100EA/PK</t>
  </si>
  <si>
    <t>6BSL</t>
  </si>
  <si>
    <t>SINGLE CABLE, 1.5MM, BLACK, 100M</t>
  </si>
  <si>
    <t>ELAND CABLES</t>
  </si>
  <si>
    <t>A2XBK0015-100</t>
  </si>
  <si>
    <t>RL</t>
  </si>
  <si>
    <t>SINGLE CABLE, 2.5MM, BLACK, 100M</t>
  </si>
  <si>
    <t>A2XBK0025-100</t>
  </si>
  <si>
    <t>SINGLE CABLE, 1.5MM, GREY, 100M</t>
  </si>
  <si>
    <t>A2XGR0015-100</t>
  </si>
  <si>
    <t>SINGLE CABLE, 2.5MM, GREY, 100M</t>
  </si>
  <si>
    <t>A2XGR0025-100</t>
  </si>
  <si>
    <t>CIRCUIT BREAKER, MINIATURE, 100A 3P, 375V DC 440V AC TYPE C</t>
  </si>
  <si>
    <t>A9N18469</t>
  </si>
  <si>
    <t>COMBINATION SPANNER SET 10-PIECE</t>
  </si>
  <si>
    <t>AVIT</t>
  </si>
  <si>
    <t>AV07020</t>
  </si>
  <si>
    <t>BASIC FRAME NSX100F 36kA 415VAC 3P 100A</t>
  </si>
  <si>
    <t>C10F3</t>
  </si>
  <si>
    <t>CIRCUIT BREAKER BASIC FRAME, COMPACT NSX160F, 36kA AT 415VAC 160A 3P (C16F3) + 3P3D TM160D TRIP UNIT (C163TM160)</t>
  </si>
  <si>
    <t>C16F3 + C163TM160</t>
  </si>
  <si>
    <t>CIRCUIT BREAKER COMPACT NSX250F 36kA AT 415VAC, TMD TRIP UNIT 200A, 50 DEG C 3P 3D</t>
  </si>
  <si>
    <t>C25F3TM200C</t>
  </si>
  <si>
    <t>M8 LONG SPRING CHANNEL NUTS BZP 100EA/BX</t>
  </si>
  <si>
    <t>DIRECT CHANNEL</t>
  </si>
  <si>
    <t>CNL8</t>
  </si>
  <si>
    <t>2x2 HOLE RIGHT ANGLE 89x104MM (TYPE P1325) HOT DIP GALVANIZED</t>
  </si>
  <si>
    <t>D013G5</t>
  </si>
  <si>
    <t>EXTENSION CORD, MULTI-SOCKET</t>
  </si>
  <si>
    <t>ELECTRICAL PRODUCTS</t>
  </si>
  <si>
    <t>DD-4MSW</t>
  </si>
  <si>
    <t>3/8-INCH CARBIDE-TIPPED SDS-PLUS ROTARY HAMMER DRILL BIT FOR CONCRETE, PACK OF 6</t>
  </si>
  <si>
    <t>DRILL HULK</t>
  </si>
  <si>
    <t>DHSDS41</t>
  </si>
  <si>
    <t>4.2 x 20 COUNTERSUNK DRILL SCREWS (PACK OF 100)</t>
  </si>
  <si>
    <t>ORBIX</t>
  </si>
  <si>
    <t>DS-CSK-4.2X20-100</t>
  </si>
  <si>
    <t>SMALL ARBOR 14-30MM HOLESAW</t>
  </si>
  <si>
    <t>GX-HS ARBR1</t>
  </si>
  <si>
    <t>M8x35MM HEX HEAD SET SCREW 100EA/PK</t>
  </si>
  <si>
    <t>HB835B</t>
  </si>
  <si>
    <t>BZP HEX SET SCREW M8x25MM (HEX825) +  BZP HEX NUT M8 (HEXM8)</t>
  </si>
  <si>
    <t>CSS</t>
  </si>
  <si>
    <t>HEX825 + HEXM8</t>
  </si>
  <si>
    <t>KNOCKOUT SEAL, GREY, 3/4"</t>
  </si>
  <si>
    <t>ACF COMPONENT &amp; FASTENER</t>
  </si>
  <si>
    <t>HEY3998</t>
  </si>
  <si>
    <t>UNDERGROUND HAZARD TAPE, YELLOW - "CAUTION"</t>
  </si>
  <si>
    <t>PANDUIT</t>
  </si>
  <si>
    <t>HTB3-C-M</t>
  </si>
  <si>
    <t>STEEL LOCKNUT, FOR RIGID &amp; IMC, 1/2"</t>
  </si>
  <si>
    <t xml:space="preserve">AMERICAN FITTINGS CORP. </t>
  </si>
  <si>
    <t>LN50L</t>
  </si>
  <si>
    <t>STEEL LOCKNUT, FOR RIGID &amp; IMC, 3/4"</t>
  </si>
  <si>
    <t>LN75L</t>
  </si>
  <si>
    <t>FIRE EXTINGUISHER PULL PINS</t>
  </si>
  <si>
    <t>OPS</t>
  </si>
  <si>
    <t>OPS00135</t>
  </si>
  <si>
    <t>40MM CW ARMOURED CABLE GLAND PACK</t>
  </si>
  <si>
    <t>NIGLON</t>
  </si>
  <si>
    <t>PACG40CW</t>
  </si>
  <si>
    <t>M8x25MM PENNY WASHER BZP 100EA/PK</t>
  </si>
  <si>
    <t>PWM825</t>
  </si>
  <si>
    <t>M8 SQUARE PLATE WASHER BZP 40x40x5MM 100EA/BX</t>
  </si>
  <si>
    <t>SPW08-5B40</t>
  </si>
  <si>
    <t>HSS MULTI-STEP DRILL 6-20MM</t>
  </si>
  <si>
    <t>CK TOOLS</t>
  </si>
  <si>
    <t>T30101</t>
  </si>
  <si>
    <t>CATENARY WIRE KIT 30M COIL &amp; FIXTURES</t>
  </si>
  <si>
    <t>TAMCO</t>
  </si>
  <si>
    <t>TCWK</t>
  </si>
  <si>
    <t>OUTLET PLUG ADAPTER, EURO TO US TYPE B</t>
  </si>
  <si>
    <t>TMVEL</t>
  </si>
  <si>
    <t>X000YIU6XF</t>
  </si>
  <si>
    <t>HYDRAULIC CRIMPING TOOL, 10-400MM</t>
  </si>
  <si>
    <t>CON 04</t>
  </si>
  <si>
    <t>Equipment</t>
  </si>
  <si>
    <t>Return</t>
  </si>
  <si>
    <t>HK6022SETL</t>
  </si>
  <si>
    <t xml:space="preserve">HAND-OPERATED HYDRAULIC CRIMPING TOOL 6–300MM WITH 95MM DIES </t>
  </si>
  <si>
    <t>KLAUKE</t>
  </si>
  <si>
    <t>BLANKING PLATE, SET OF 10 x 5 MODULES (3PK/BOX)</t>
  </si>
  <si>
    <t>CON 05</t>
  </si>
  <si>
    <t>MODULAR MINI ENCLOSURE, 1 x 6 MODULES, IP65</t>
  </si>
  <si>
    <t>CHOCBOX CONNECTOR BOX</t>
  </si>
  <si>
    <t>SWITCH, 1-GANG 20A DP 250V</t>
  </si>
  <si>
    <t>CRABTREE</t>
  </si>
  <si>
    <t>ELECTRICAL PVC PIPE, 1/2IN x 3M</t>
  </si>
  <si>
    <t>JOHN GUEST</t>
  </si>
  <si>
    <t>RESIDUAL CURRENT CIRCUIT BREAKER (RCCB), 40A 30mA 4P A-TYPE AC-TYPE</t>
  </si>
  <si>
    <t>RESIDUAL CURRENT CIRCUIT BREAKER (RCCB), 40A 30mA 4P A-TYPE</t>
  </si>
  <si>
    <t>SMART PANEL LIGHT LED 34S/865 PSU W60L60 GM 40W 220-240V</t>
  </si>
  <si>
    <t>PHILIPS</t>
  </si>
  <si>
    <t>SWITCH, 1-GANG 1 WAY 10A</t>
  </si>
  <si>
    <t>13930-0001</t>
  </si>
  <si>
    <t>GROMMET, PUSH IN RUBBER, 20MM</t>
  </si>
  <si>
    <t>20MMO</t>
  </si>
  <si>
    <t>BRASS PINS M4 x 25MM, 100EA/PK</t>
  </si>
  <si>
    <t>BRASS FULL NUT, 4MM, 100EA/PK</t>
  </si>
  <si>
    <t>216-355-075</t>
  </si>
  <si>
    <t>BRASS WASHERS, 4MM, 500EA/PK</t>
  </si>
  <si>
    <t>216-355-080</t>
  </si>
  <si>
    <t>WIRE CONNECTOR, TWISTER, 18-6 AWG, GRAY, 50EA/BOX</t>
  </si>
  <si>
    <t>IDEAL</t>
  </si>
  <si>
    <t>30-342</t>
  </si>
  <si>
    <t>WIRE CONNECTOR, WING-NUT, 18-10 AWG, YELLOW, 100EA/BOX</t>
  </si>
  <si>
    <t>30-451</t>
  </si>
  <si>
    <t>WIRE CONNECTOR, WING-NUT, 18-8 AWG, RED, 100EA/BOX</t>
  </si>
  <si>
    <t>30-452</t>
  </si>
  <si>
    <t>TAPE, VINYL ELECTRICAL COLOR CODING, BLUE, 3/4" x 66'</t>
  </si>
  <si>
    <t>3M</t>
  </si>
  <si>
    <t>35 BLUE</t>
  </si>
  <si>
    <t>TAPE, VINYL ELECTRICAL COLOR CODING, BROWN, 3/4" x 66'</t>
  </si>
  <si>
    <t>35 BROWN</t>
  </si>
  <si>
    <t>TAPE, VINYL ELECTRICAL COLOR CODING, GRAY, 3/4" x 66'</t>
  </si>
  <si>
    <t>35 GRAY</t>
  </si>
  <si>
    <t>M4 BRASS FULL NUT SELF COLOUR, 100EA/PK</t>
  </si>
  <si>
    <t>TOWER</t>
  </si>
  <si>
    <t>44N4</t>
  </si>
  <si>
    <t>METAL BACK BOX CLIPS</t>
  </si>
  <si>
    <t>BACK BOX REPAIR CLIP</t>
  </si>
  <si>
    <t>5 PACK</t>
  </si>
  <si>
    <t xml:space="preserve">ELECTRICAL SCREWS M3.5 x 50MM, 50EA/PK </t>
  </si>
  <si>
    <t>EASY DRIVE</t>
  </si>
  <si>
    <t>8036H</t>
  </si>
  <si>
    <t>RCCB WITH OVERCURRENT PROTECTION (RCBO), 1P+Ns-C6A-30mA 230/240V TYPE A</t>
  </si>
  <si>
    <t>A9D14806</t>
  </si>
  <si>
    <t>RCCB WITH OVERCURRENT PROTECTION
(RCBO), 1P+Ns-C45A-30mA 240V TYPE A</t>
  </si>
  <si>
    <t>A9D14845</t>
  </si>
  <si>
    <t>CIRCUIT BREAKER, MINIATURE, 25A 3P C, 400V</t>
  </si>
  <si>
    <t>A9F44325</t>
  </si>
  <si>
    <t>CIRCUIT BREAKER, MINIATURE, 16A 1P B, 240/415V</t>
  </si>
  <si>
    <t>A9F53116</t>
  </si>
  <si>
    <t>CIRCUIT BREAKER, MINIATURE, 32A 1P C, 230/400V</t>
  </si>
  <si>
    <t>A9F53132</t>
  </si>
  <si>
    <t>RESIDUAL CURRENT CIRCUIT BREAKER (RCCB), 4P-80A-30mA-AC 415V</t>
  </si>
  <si>
    <t>A9R11480</t>
  </si>
  <si>
    <t>RESIDUAL CURRENT CIRCUIT BREAKER (RCCB), 100A 30mA 4P AC, 400V/415V</t>
  </si>
  <si>
    <t>A9R11491</t>
  </si>
  <si>
    <t>RESIDUAL CURRENT CIRCUIT BREAKER (RCCB), 100A 30mA 4P TYPE A 400V/415V</t>
  </si>
  <si>
    <t>A9R21491</t>
  </si>
  <si>
    <t>RESIDUAL CURRENT CIRCUIT BREAKER (RCCB), 40A 30mA 4P AC, 400V</t>
  </si>
  <si>
    <t>A9R71440</t>
  </si>
  <si>
    <t>RESIDUAL CURRENT CIRCUIT BREAKER (RCCB), 4P-63A-30mA-AC 415V</t>
  </si>
  <si>
    <t>A9R71463</t>
  </si>
  <si>
    <t>FINE LITE</t>
  </si>
  <si>
    <t>CF-BPIN25</t>
  </si>
  <si>
    <t>SWITCH, 1-GANG 2 WAY, 10AX, METAL</t>
  </si>
  <si>
    <t>CLICK WIRING ACCESSORIES</t>
  </si>
  <si>
    <t>CL011</t>
  </si>
  <si>
    <t>SWITCH, 2-GANG 2 WAY, 10AX, METAL</t>
  </si>
  <si>
    <t>CL012</t>
  </si>
  <si>
    <t xml:space="preserve">SWITCH SOCKET OUTLET, 13A 1-GANG DP, METAL </t>
  </si>
  <si>
    <t>CL035</t>
  </si>
  <si>
    <t>M4 TRUSS HEAD SCREWS ASSORTMENT KIT, STAINLESS, 150PC, ASSORTED SIZES 8-16MM</t>
  </si>
  <si>
    <t>CSEAO</t>
  </si>
  <si>
    <t>CS056</t>
  </si>
  <si>
    <t>STAINLESS STEEL CABLE TIES, 14"</t>
  </si>
  <si>
    <t>ELECTRIDUCT</t>
  </si>
  <si>
    <t>CT-ED-SS-14-25</t>
  </si>
  <si>
    <t>WATER PIPE GROUND CLAMP, 10-2 AWG, 1/2" - 1"</t>
  </si>
  <si>
    <t>ERICO</t>
  </si>
  <si>
    <t>CWP1JU</t>
  </si>
  <si>
    <t>ELECTRICAL KNOCKOUT HOLE PLUGS, 1/2"</t>
  </si>
  <si>
    <t>STIMPSON</t>
  </si>
  <si>
    <t>D3683SZ200</t>
  </si>
  <si>
    <t>ELECTRICAL KNOCKOUT HOLE PLUGS, 1"</t>
  </si>
  <si>
    <t>D3833SZ125</t>
  </si>
  <si>
    <t>PVC FEMALE ADAPTORS WITH BUSH, 20MM, BLACK</t>
  </si>
  <si>
    <t>DECODUCT</t>
  </si>
  <si>
    <t>DFA2</t>
  </si>
  <si>
    <t>PVC HEAVY GAUGE COUPLING, 20MM, BLACK</t>
  </si>
  <si>
    <t>DNC2</t>
  </si>
  <si>
    <t>RESIDUAL CURRENT CIRCUIT BREAKER (RCCB), 40A DP 30mA TYPE AC</t>
  </si>
  <si>
    <t>EAM402H</t>
  </si>
  <si>
    <t>DANGER 400 VOLTS, SAFETY LABELS, 50 x 25MM, 50EA/PK</t>
  </si>
  <si>
    <t>ONLINE</t>
  </si>
  <si>
    <t>EL1068</t>
  </si>
  <si>
    <t>TWIN SOCKET, 13A 250V</t>
  </si>
  <si>
    <t>EX132</t>
  </si>
  <si>
    <t>TWIN SOCKET, 13A</t>
  </si>
  <si>
    <t>EXW132</t>
  </si>
  <si>
    <t>OVER CURRENT SWITCH, 40A 3P B</t>
  </si>
  <si>
    <t>FAZ-B40/3</t>
  </si>
  <si>
    <t>FENDER WASHERS ZINC PLATED, 3/8 x 1-1/4", 100EA/BOX</t>
  </si>
  <si>
    <t>FENW38114</t>
  </si>
  <si>
    <t>PVC STRIP CONNECTOR, 12-WAY, 240V RATED, 30A</t>
  </si>
  <si>
    <t>FFCC19</t>
  </si>
  <si>
    <t>M4 BRASS EARTH TERMINAL FOR METAL CONDUIT BOXES, 10EA/PK</t>
  </si>
  <si>
    <t>BES</t>
  </si>
  <si>
    <t>GALV0136</t>
  </si>
  <si>
    <t>SURFACE ENCLOSURE,6-8 MODULES IP65 GRAY, 13W 400V, 170 x 170 x 98MM</t>
  </si>
  <si>
    <t>GEROS</t>
  </si>
  <si>
    <t>GR15072</t>
  </si>
  <si>
    <t>GEWISS</t>
  </si>
  <si>
    <t>FLEXIBLE POLYMER CABLE GLAND - MOUNTING HOLE 19 - FOR EXTERNAL CONDUITS MAX 16MM - GREY RAL 7035</t>
  </si>
  <si>
    <t>GW50428</t>
  </si>
  <si>
    <t>LED CIRCULAR POLYCARBONATE FITTING, 15W IP65, WHITE 240V</t>
  </si>
  <si>
    <t>HISPEC</t>
  </si>
  <si>
    <t>HSLED15BH/WP</t>
  </si>
  <si>
    <t>2 MODULE EURO FRAME 1G (K182WHI) + UK SOCKET 2 MODULE 1G 13A 250V (K5830SAWHI)</t>
  </si>
  <si>
    <t>K182WHI + K5830SAWHI</t>
  </si>
  <si>
    <t>SURFACE MOULDED BOX, 1-GANG 30MM</t>
  </si>
  <si>
    <t>K2140WHI</t>
  </si>
  <si>
    <t>PLATE SWITCH, 10A 2G SP 2 WAY</t>
  </si>
  <si>
    <t>K4872WHI</t>
  </si>
  <si>
    <t>M4x30MM PHILLIPS PAN HEAD MACHINE SCREWS, BRASS, METRIC, FULL THREAD, RIGHT HAND, 50EA/PK</t>
  </si>
  <si>
    <t>HH FASTENER</t>
  </si>
  <si>
    <t>M4x30MM PHILLIPS</t>
  </si>
  <si>
    <t>TWIN SOCKET, 13A 2GANG UNSWITCHED</t>
  </si>
  <si>
    <t>MV781WHI</t>
  </si>
  <si>
    <t>SWITCH, 1-GANG 1 WAY, PVC</t>
  </si>
  <si>
    <t>OMEGA</t>
  </si>
  <si>
    <t>OM1LS1</t>
  </si>
  <si>
    <t>ROD COUPLINGS ZINC PLATED, 1/4-20 x 7/8", 100EA/BOX</t>
  </si>
  <si>
    <t>RC1</t>
  </si>
  <si>
    <t>RING TERMINAL CONNECTOR, #10, 12-10 AWG, 50EA/BT</t>
  </si>
  <si>
    <t>RC10-10</t>
  </si>
  <si>
    <t>PRESSURE TERMINAL CONNECTOR, FORK TERMINAL, #10, 12-10 AWG CU, YELLOW, 100EA/BT</t>
  </si>
  <si>
    <t>RC10-10F</t>
  </si>
  <si>
    <t>TAPE, VINYL ELECTRICAL COLOR CODING, SUPER 33+ BLACK, 3/4" x 66'</t>
  </si>
  <si>
    <t>SUPER 33+</t>
  </si>
  <si>
    <t>TAPE, VINYL ELECTRICAL, TEMFLEX YELLOW/GREEN 3/4" x 30' x .005", 3M</t>
  </si>
  <si>
    <t>TEMFLEX 1500 YELLOW/GREEN</t>
  </si>
  <si>
    <t>SCREW, MACHINE FLAT COUNTERSUNK SLOT, #6-32 x 1-1/2, 2FE13, 100EA/PK</t>
  </si>
  <si>
    <t>U24540.013.0150</t>
  </si>
  <si>
    <t>SOCKET, RCD PROTECTED SINGLE SWITCHED</t>
  </si>
  <si>
    <t>VT1108</t>
  </si>
  <si>
    <t xml:space="preserve">EMT CONDUIT ONE HOLE STRAP, 3/4", HEAVY GAUGE, </t>
  </si>
  <si>
    <t>CON 06</t>
  </si>
  <si>
    <t>PLASTIC INSULATED BUSHING, THREADED, 2"</t>
  </si>
  <si>
    <t>COOPER CROUSE-HINDS</t>
  </si>
  <si>
    <t>#6-9 x 1-5/8" PHILLIPS BUGLE HEAD #2 DRIVE SIZE COARSE THREAD GRAY PHOSPHATE SHARP POINT DRYWALL SCREW, 5000EA/BOX</t>
  </si>
  <si>
    <t>FASTENAL</t>
  </si>
  <si>
    <t>RESIDUAL CURRENT CIRCUIT BREAKER (RCCB), 80A 300mA 4P TYPE AC</t>
  </si>
  <si>
    <t>#8-15 x 3" PHILLIPS BUGLE HEAD #2 DRIVE SIZE FINE THREAD GRAY PHOSPHATE SHARP POINT DRYWALL SCREW</t>
  </si>
  <si>
    <t>RECEPTACLE, SINGLE POLE, 20A 250V 2POLE 3WIRE</t>
  </si>
  <si>
    <t>LEVITON</t>
  </si>
  <si>
    <t>5461-I</t>
  </si>
  <si>
    <t>RESIDUAL CURRENT CIRCUIT BREAKER (RCCB), 16A 30mA 2P 230V TYPE A</t>
  </si>
  <si>
    <t>SIEMENS</t>
  </si>
  <si>
    <t>5SV3311-6</t>
  </si>
  <si>
    <t>RESIDUAL CURRENT CIRCUIT BREAKER (RCCB), 25A 30mA 2P 230V TYPE A</t>
  </si>
  <si>
    <t>5SV3312-6</t>
  </si>
  <si>
    <t>RESIDUAL CURRENT CIRCUIT BREAKER (RCCB), 40A 30mA 2P 230V TYPE A</t>
  </si>
  <si>
    <t>5SV3314-6</t>
  </si>
  <si>
    <t>RESIDUAL CURRENT CIRCUIT BREAKER (RCCB), 63A 30mA 2P 230V TYPE A</t>
  </si>
  <si>
    <t>5SV3316-6</t>
  </si>
  <si>
    <t>RESIDUAL CURRENT CIRCUIT BREAKER (RCCB), 40A 30mA 4P 400V TYPE A</t>
  </si>
  <si>
    <t>5SV3344-6</t>
  </si>
  <si>
    <t>RESIDUAL CURRENT CIRCUIT BREAKER (RCCB), 63A 30mA 4P 400V TYPE A</t>
  </si>
  <si>
    <t>5SV3346-6</t>
  </si>
  <si>
    <t>RESIDUAL CURRENT CIRCUIT BREAKER (RCCB), 80A 30mA 4P 400V TYPE A</t>
  </si>
  <si>
    <t>5SV3347-6</t>
  </si>
  <si>
    <t>EMT COMPRESSION CONNECTOR, RAIN TIGHT, CONCRETE TIGHT, STEEL, 1/2"</t>
  </si>
  <si>
    <t>650RT</t>
  </si>
  <si>
    <t>EMT COMPRESSION CONNECTOR FOR THINWALL CONDUIT, STEEL, 1/2"</t>
  </si>
  <si>
    <t>650S</t>
  </si>
  <si>
    <t>EMT COMPRESSION CONNECTOR, RAIN TIGHT, CONCRETE TIGHT, STEEL, 3/4"</t>
  </si>
  <si>
    <t>651RT</t>
  </si>
  <si>
    <t>EMT COMPRESSION COUPLING, RAIN TIGHT, CONCRETE TIGHT, STEEL, 1/2"</t>
  </si>
  <si>
    <t>660RT</t>
  </si>
  <si>
    <t>EMT COMPRESSION COUPLING, RAIN TIGHT, CONCRETE TIGHT, STEEL, 3/4"</t>
  </si>
  <si>
    <t>661RT</t>
  </si>
  <si>
    <t>RCCB WITH OVERCURRENT PROTECTION (RCBO), 1P+Ns-B25A-30mA 240V TYPE A</t>
  </si>
  <si>
    <t>A9D31825</t>
  </si>
  <si>
    <t>RCCB WITH OVERCURRENT PROTECTION (RCBO), 1P+Ns-B32A-30mA 240V TYPE A</t>
  </si>
  <si>
    <t>A9D31832</t>
  </si>
  <si>
    <t>CIRCUIT BREAKER, MINIATURE, 40A 1P C</t>
  </si>
  <si>
    <t>A9F54140</t>
  </si>
  <si>
    <t>CIRCUIT BREAKER, MINIATURE, 40A 1P B, 230/400V</t>
  </si>
  <si>
    <t>A9F78140</t>
  </si>
  <si>
    <t>CIRCUIT BREAKER, MINIATURE, 20A 1P B, 230/400V</t>
  </si>
  <si>
    <t>A9F79116</t>
  </si>
  <si>
    <t>CIRCUIT BREAKER, MINIATURE, 25A 1P C, 230/400V</t>
  </si>
  <si>
    <t>A9F79125</t>
  </si>
  <si>
    <t>CIRCUIT BREAKER, MINIATURE, 40A 1P C, 400V</t>
  </si>
  <si>
    <t>A9F79140</t>
  </si>
  <si>
    <t>CIRCUIT BREAKER,MINIATURE, 20A 2P C</t>
  </si>
  <si>
    <t>A9F79220</t>
  </si>
  <si>
    <t>CIRCUIT BREAKER, MINIATURE, 25A 2P C, 400V</t>
  </si>
  <si>
    <t>A9F79225</t>
  </si>
  <si>
    <t>CIRCUIT BREAKER, MINIATURE, 40A 2P C, 400V</t>
  </si>
  <si>
    <t>A9F79240</t>
  </si>
  <si>
    <t>CIRCUIT BREAKER, MINIATURE, 50A 2P C</t>
  </si>
  <si>
    <t>A9F79250</t>
  </si>
  <si>
    <t>CIRCUIT BREAKER, MINIATURE, 63A 2P C, 400V</t>
  </si>
  <si>
    <t>A9F79263</t>
  </si>
  <si>
    <t>CIRCUIT BREAKER, MINIATURE, 10A 3P C, 400V</t>
  </si>
  <si>
    <t>A9F79310</t>
  </si>
  <si>
    <t>CIRCUIT BREAKER, MINIATURE, 16A 3P C, 400V</t>
  </si>
  <si>
    <t>A9F79316</t>
  </si>
  <si>
    <t>CIRCUIT BREAKER, MINIATURE, 20A 3P C, 400V</t>
  </si>
  <si>
    <t>A9F79320</t>
  </si>
  <si>
    <t>A9F79325</t>
  </si>
  <si>
    <t>CIRCUIT BREAKER, MINIATURE, 40A 3P C</t>
  </si>
  <si>
    <t>A9F79340</t>
  </si>
  <si>
    <t>CIRCUIT BREAKER, MINIATURE, 50A 3P C, 400V</t>
  </si>
  <si>
    <t>A9F79350</t>
  </si>
  <si>
    <t>SWITCH DISCONNECTOR, 100A 2P, 415A</t>
  </si>
  <si>
    <t>A9S65291</t>
  </si>
  <si>
    <t>SWITCH DISCONNECTOR, 63A 3P, 415A</t>
  </si>
  <si>
    <t>A9S65363</t>
  </si>
  <si>
    <t>SWITCH, ACTI 9, 63A 4P 415V</t>
  </si>
  <si>
    <t>A9S65463</t>
  </si>
  <si>
    <t>SWITCH DISCONNECTOR, ACTI 9 iSW, 100A 4P, 415V</t>
  </si>
  <si>
    <t>A9S65491</t>
  </si>
  <si>
    <t>BATTERY CHARGER, 18V LI-ION, 120V</t>
  </si>
  <si>
    <t>BOSCH</t>
  </si>
  <si>
    <t>BC1880</t>
  </si>
  <si>
    <t>PLASTIC INSULATED BUSHING, THREADED, 1-1/4"</t>
  </si>
  <si>
    <t>BU504</t>
  </si>
  <si>
    <t>2-1/2" ALUMINUM CORD CONNECTORS STRAIGHT LIQUID TIGHT STRAIN RELIEF CORD CONNECTOR, CABLE RANGE 2.250-2.500</t>
  </si>
  <si>
    <t>APPLETON</t>
  </si>
  <si>
    <t>CG-225250</t>
  </si>
  <si>
    <t>CABLE TIE, 6", 18LB UV NYLON, 100EA/PK</t>
  </si>
  <si>
    <t>BURNDY</t>
  </si>
  <si>
    <t>CT18125C0</t>
  </si>
  <si>
    <t>SDS PLUS BITS SET, ROCK CARBIDE TIP, 5PC</t>
  </si>
  <si>
    <t>DEWALT</t>
  </si>
  <si>
    <t>DW5470</t>
  </si>
  <si>
    <t>TYPE LB CONDUIT BODY, 1/2", NON-METALLIC</t>
  </si>
  <si>
    <t>E986D</t>
  </si>
  <si>
    <t>1"  x 18" FLAT CHISEL SDS-MAX HAMMER STEEL</t>
  </si>
  <si>
    <t>HS1912</t>
  </si>
  <si>
    <t>4-1/2" x 17" CLAY SPADE SDS-MAX HAMMER STEEL</t>
  </si>
  <si>
    <t>HS1922</t>
  </si>
  <si>
    <t>8x3/4" IND HEX WASHER 1/4 HEAD, SELF-DRILLING SCREW, STEEL ZINC, 100EA/BT</t>
  </si>
  <si>
    <t>METALLICS</t>
  </si>
  <si>
    <t>JTEKD2</t>
  </si>
  <si>
    <t>FLAT WASHER, 1/4", STEEL ZINC</t>
  </si>
  <si>
    <t>JWW80</t>
  </si>
  <si>
    <t>CABLE TIE, 11.3", UV NYLON, 500EA/PK</t>
  </si>
  <si>
    <t>L-11-40-0-D</t>
  </si>
  <si>
    <t>ALUMINUM LB THREADED CONDUIT BODY WITH COVER AND GASKET, 1/2”</t>
  </si>
  <si>
    <t>LB15-CGN</t>
  </si>
  <si>
    <t>ALUMINUM LB THREADED CONDUIT BODY WITH COVER AND GASKET, 3/4”</t>
  </si>
  <si>
    <t>LB25-CGN</t>
  </si>
  <si>
    <t>1/2" COMPRESSION CONNECTOR FOR EMT CONDUIT, ZINC PLATED STEEL CONCRETE TIGHT</t>
  </si>
  <si>
    <t>TC111A</t>
  </si>
  <si>
    <t>4" SQUARE SURFACE COVER, TWO DUPLEX RECEPTACLE, STEEL,  RAISED 1/2"</t>
  </si>
  <si>
    <t>TP510</t>
  </si>
  <si>
    <t>4" SQUARE SURFACE COVER, 20A SINGLE RECEPTACLE, STEEL, RAISED 1/2", 1-13/32"</t>
  </si>
  <si>
    <t>TP514</t>
  </si>
  <si>
    <t>EMT CONDUIT STRAP, 1-HOLE, SNAP ON, ZINC PLATED STEEL 1/2"</t>
  </si>
  <si>
    <t>TS101</t>
  </si>
  <si>
    <t>#12 x 3/4" HARDENED STEEL SELF DRILLING SCREWS, HEX WASHER HEAD TYPE</t>
  </si>
  <si>
    <t>U31810.021.0075</t>
  </si>
  <si>
    <t>PLASTIC-IN-USE WEATHERPROOF COVER, 1 GANG, SINGLE VERTICAL/HORIZONTAL, 2.75" CLEAR</t>
  </si>
  <si>
    <t>INTERMATIC</t>
  </si>
  <si>
    <t>WP3100C</t>
  </si>
  <si>
    <t>TAPE, HEAVY DUTY DUCT, 48MM x 54.8M</t>
  </si>
  <si>
    <t>CON 07</t>
  </si>
  <si>
    <t>2P COMB BUSBAR 2x48 POLES</t>
  </si>
  <si>
    <t>RESIDUAL CURRENT CIRCUIT BREAKER (RCCB), 4P 63A 30mA TYPE AC</t>
  </si>
  <si>
    <t>CIRCUIT BREAKER, MINIATURE, 20A 1P C</t>
  </si>
  <si>
    <t>C60 MINIATURE SUPPLEMENTARY PROTECTOR, 1P C 13A 277V</t>
  </si>
  <si>
    <t>RCCB WITH OVERCURRENT PROTECTION (RCBO), 1P+N-6A-30mA-AC 240V</t>
  </si>
  <si>
    <t>FENDER WASHER, 3/8 x 1.25IN, 25EA/PK</t>
  </si>
  <si>
    <t>SCREW, CONICAL ANCHOR KIT, #10 x 1"</t>
  </si>
  <si>
    <t xml:space="preserve">GREENLEE </t>
  </si>
  <si>
    <t>RESIDUAL CURRENT CIRCUIT BREAKER (RCCB), 80A 30mA 4P AC TYPE</t>
  </si>
  <si>
    <t>CIRCUIT BREAKER, MINIATURE, 25A 2P C, 10kA</t>
  </si>
  <si>
    <t>TL-D ECO 32W/865 SLV/25 1200MM</t>
  </si>
  <si>
    <t>HACKSAW BLADE, BI-METAL, 12" x 24 TPI</t>
  </si>
  <si>
    <t>15-631</t>
  </si>
  <si>
    <t>CABLE CLIPS, WHITE, 5-7MM, 100EA/BOX</t>
  </si>
  <si>
    <t>2202000A</t>
  </si>
  <si>
    <t>CABLE CLIPS, BLACK, 5-7MM, 100EA/BOX</t>
  </si>
  <si>
    <t>2202005A</t>
  </si>
  <si>
    <t>CABLE CLIPS, BLACK, 7-10MM, 100EA/BOX</t>
  </si>
  <si>
    <t>220300A</t>
  </si>
  <si>
    <t>RCCB WITH OVERCURRENT PROTECTION (RCBO), 1P+N-6A-30mA-AC 240V TYPE AC</t>
  </si>
  <si>
    <t>26857BK</t>
  </si>
  <si>
    <t>RCCB WITH OVERCURRENT PROTECTION (RCBO), 1P+N-32A-30mA-AC 240V</t>
  </si>
  <si>
    <t>26861BK</t>
  </si>
  <si>
    <t>RCCB WITH OVERCURRENT PROTECTION (RCBO), 1P+N-45A-30mA-AC 240V</t>
  </si>
  <si>
    <t>26863BK</t>
  </si>
  <si>
    <t>OUTLET BOX, 1/2", 2-GANG, 3-OUTLETS, 1 IN EACH END, 1 IN BACK</t>
  </si>
  <si>
    <t>2IH3-1</t>
  </si>
  <si>
    <t>OUTLET BOX, 1/2", 2-GANG, 5-OUTLETS, 2 IN EACH END, 1 IN BACK WITH ACCESSORIES</t>
  </si>
  <si>
    <t>2IH5-1</t>
  </si>
  <si>
    <t>OUTLET BOX, 3/4", 2-GANG, 5-OUTLETS, 2 IN EACH END, 1 IN BACK WITH ACCESSORIES</t>
  </si>
  <si>
    <t>2IH5-2</t>
  </si>
  <si>
    <t>OUTLET BOX, 1/2", 2-GANG, 7-OUTLETS, 2 SIDE HOLES</t>
  </si>
  <si>
    <t>2IH7S2-1</t>
  </si>
  <si>
    <t>OUTLET BOX, 3/4", 2-GANG, 7-OUTLETS, 2 HOLES IN EACH END, 1 EACH SIDE</t>
  </si>
  <si>
    <t>2IH7S2-2</t>
  </si>
  <si>
    <t>POWER STRIP, WITH GFCI PLUG, 6-OUTLETS, RUGGED METAL CASE, 9FT</t>
  </si>
  <si>
    <t>TRIPP-LITE</t>
  </si>
  <si>
    <t>2KGF1</t>
  </si>
  <si>
    <t>THROUGH BOX, WHITE, 25MM</t>
  </si>
  <si>
    <t>2S/25</t>
  </si>
  <si>
    <t>WIRE CONNECTOR, WIRE-NUT, 20-16 AWG, ORANGE, 100EA/BOX</t>
  </si>
  <si>
    <t>30-073</t>
  </si>
  <si>
    <t>SCREW, GROUNDING, COMBINATION, 100EA/BT</t>
  </si>
  <si>
    <t>30-3594</t>
  </si>
  <si>
    <t>WIRE CONNECTOR, WING-NUT, 6-14 AWG, BLUE, 25EA/BOX</t>
  </si>
  <si>
    <t>30-454</t>
  </si>
  <si>
    <t>WIRE CONNECTOR, WINGED TWISTER, 22-8 AWG, TAN, 500E/PK</t>
  </si>
  <si>
    <t>30-641</t>
  </si>
  <si>
    <t>TAPE, VINYL ELECTRICAL COLOR CODING, GREEN, 3/4" x 66'</t>
  </si>
  <si>
    <t>35 GREEN</t>
  </si>
  <si>
    <t>TAPE, VINYL ELECTRICAL COLOR CODING, ORANGE, 3/4" x 66'</t>
  </si>
  <si>
    <t>35 ORANGE</t>
  </si>
  <si>
    <t>TAPE, VINYL ELECTRICAL COLOR CODING, RED, 3/4" x 66'</t>
  </si>
  <si>
    <t>35 RED</t>
  </si>
  <si>
    <t>TAPE, VINYL ELECTRICAL COLOR CODING, WHITE, 3/4" x 66'</t>
  </si>
  <si>
    <t>35 WHITE</t>
  </si>
  <si>
    <t>TAPE, VINYL ELECTRICAL COLOR CODING, YELLOW, 3/4" x 66'</t>
  </si>
  <si>
    <t>35 YELLOW</t>
  </si>
  <si>
    <t>RCCB WITH OVERCURRENT PROTECTION (RCBO), 1P+Ns-C16A-30mA 240V TYPE A</t>
  </si>
  <si>
    <t>A9D11816</t>
  </si>
  <si>
    <t>RCCB WITH OVERCURRENT PROTECTION (RCBO), 1P+Ns-B20A-30mA 230/240V TYPE A</t>
  </si>
  <si>
    <t>A9D31820</t>
  </si>
  <si>
    <t>A9F89232</t>
  </si>
  <si>
    <t>CIRCUIT BREAKER, MINIATURE, 32A 3P C, 400V</t>
  </si>
  <si>
    <t>A9F89332</t>
  </si>
  <si>
    <t>RESIDUAL CURRENT CIRCUIT BREAKER (RCCB), 25A 30mA 2P AC TYPE</t>
  </si>
  <si>
    <t>A9R71225</t>
  </si>
  <si>
    <t>RESIDUAL CURRENT CIRCUIT BREAKER (RCCB), 25A 300mA 2P AC TYPE</t>
  </si>
  <si>
    <t>A9R74225</t>
  </si>
  <si>
    <t>SWITCH DISCONNECTOR, 63A 2P 415A</t>
  </si>
  <si>
    <t>A9S65263</t>
  </si>
  <si>
    <t>POWER SUPPLY CORD 3x1.5MM</t>
  </si>
  <si>
    <t>JIANGMEN GOMENTECH</t>
  </si>
  <si>
    <t>AO37262</t>
  </si>
  <si>
    <t>M4 BRASS WASHERS, 100EA/PK</t>
  </si>
  <si>
    <t>ROBSON PRODUCTS</t>
  </si>
  <si>
    <t>B7562</t>
  </si>
  <si>
    <t>M4 BRASS FULL NUTS, 100EA/PK</t>
  </si>
  <si>
    <t>B8016</t>
  </si>
  <si>
    <t>RESIDUAL CURRENT CIRCUIT BREAKER (RCCB), 100A 30mA 4P AC</t>
  </si>
  <si>
    <t>CD484U</t>
  </si>
  <si>
    <t>CIRCUIT BREAKER, 20A 1P, 120V</t>
  </si>
  <si>
    <t>CHB120GF</t>
  </si>
  <si>
    <t>CIRCUIT BREAKER, 20A 1P, 120/240V</t>
  </si>
  <si>
    <t>CHF120</t>
  </si>
  <si>
    <t>CIRCUIT BREAKER, 30A 1P, 120/240V</t>
  </si>
  <si>
    <t>CHF130</t>
  </si>
  <si>
    <t>CIRCUIT BREAKER, 20A 2P, 120/240V</t>
  </si>
  <si>
    <t>CHF220</t>
  </si>
  <si>
    <t>CIRCUIT BREAKER, 30A 2P, 120/240V</t>
  </si>
  <si>
    <t>CHF230</t>
  </si>
  <si>
    <t>CIRCUIT BREAKER, 40A 2P, 120/240V</t>
  </si>
  <si>
    <t>CHF240</t>
  </si>
  <si>
    <t>CIRCUIT BREAKER, 50A 2P, 120/240V</t>
  </si>
  <si>
    <t>CHF250</t>
  </si>
  <si>
    <t>CIRCUIT BREAKER, 60A 2P, 120/240V</t>
  </si>
  <si>
    <t>CHF260</t>
  </si>
  <si>
    <t>1-GANG DUPLEX RECEPTACLE COVER, STAY OPEN LID, HORIZONTAL DEVICE MOUNT, SILVER</t>
  </si>
  <si>
    <t>DCCDSO</t>
  </si>
  <si>
    <t>20MM PVC FLEXIBLE CONDUIT, 50M BLACK</t>
  </si>
  <si>
    <t>DPL2</t>
  </si>
  <si>
    <t>RESIDUAL CURRENT CIRCUIT BREAKER (RCCB), 100A 4P 30mA TYPE AC</t>
  </si>
  <si>
    <t>EAM1004H</t>
  </si>
  <si>
    <t>RESIDUAL CURRENT CIRCUIT BREAKER (RCCB), 80A 4P 30mA TYPE AC</t>
  </si>
  <si>
    <t>EAM804H</t>
  </si>
  <si>
    <t>CIRCUIT BREAKER, MINIATURE, 20A 10kA</t>
  </si>
  <si>
    <t>EMCH220</t>
  </si>
  <si>
    <t>CIRCUIT BREAKER, MINIATURE, 25A 10kA</t>
  </si>
  <si>
    <t>EMCH225</t>
  </si>
  <si>
    <t>CIRCUIT BREAKER, MINIATURE, 32A 10kA</t>
  </si>
  <si>
    <t>EMCH232</t>
  </si>
  <si>
    <t>CIRCUIT BREAKER, MINIATURE, 16A 10kA</t>
  </si>
  <si>
    <t>EMCH316</t>
  </si>
  <si>
    <t>SWITCH, 1-GANG 20A 250V</t>
  </si>
  <si>
    <t>EXWDP20</t>
  </si>
  <si>
    <t>RCCB WITH OVERCURRENT PROTECTION (RCBO), 1P+Ns B20 30mA-A 230V TYPE A</t>
  </si>
  <si>
    <t>EZ9D16820</t>
  </si>
  <si>
    <t>PLATE SWITCH, EXCLUSIVE, 10AX 1-GANG 2 WAY</t>
  </si>
  <si>
    <t>GMC1012</t>
  </si>
  <si>
    <t>SURFACE METALCLAD CONTROL SWITCH, GREY, 20AX DP</t>
  </si>
  <si>
    <t>GMC20S</t>
  </si>
  <si>
    <t xml:space="preserve">EXCLUSIVE SURFACE METALCLAD INTERMEDIATE PLATE SWITCH, GREY, 1-GANG </t>
  </si>
  <si>
    <t>GMCINT</t>
  </si>
  <si>
    <t>PVC COMPRESSION GLAND, M40x1.5 IP68 10EA/PK</t>
  </si>
  <si>
    <t>GW52047</t>
  </si>
  <si>
    <t>ROTARY ISOLATOR SWITCH, 40A 4P IP66/67/69</t>
  </si>
  <si>
    <t>GW70415P</t>
  </si>
  <si>
    <t>RESIDUAL CURRENT CIRCUIT BREAKER (RCCB), 25A 2P 230V TYPE AC</t>
  </si>
  <si>
    <t>GW94617</t>
  </si>
  <si>
    <t>SCREW, HEX CAP, 3/8-16 x 1-3/4IN GR 8, 600EA/BOX</t>
  </si>
  <si>
    <t>NUCOR FASTENER</t>
  </si>
  <si>
    <t>H23CS8X138</t>
  </si>
  <si>
    <t>SCREW, HEX CAP, 3/8-16 x 1-3/4IN, 100EA/BOX</t>
  </si>
  <si>
    <t>MGREEN CO</t>
  </si>
  <si>
    <t>H2CS38X134</t>
  </si>
  <si>
    <t>PLUG, INSULGIP, HOSPITAL GRADE, 20A 2P, 125V, 3 WIRE GROUNDING</t>
  </si>
  <si>
    <t>HBL8315C</t>
  </si>
  <si>
    <t>10A 2 GANG 2 WAY WEATHERPROOF SWITCH IP55</t>
  </si>
  <si>
    <t>LWP1622</t>
  </si>
  <si>
    <t>CIRCUIT BREAKER, MINIATURE, 40A 4P B 277V MULTI 9 C60SP</t>
  </si>
  <si>
    <t>M9F21440</t>
  </si>
  <si>
    <t>BACKLIT LED PANEL 30W 600x600MM 4000K 220-240V</t>
  </si>
  <si>
    <t>OVIA</t>
  </si>
  <si>
    <t>OV74301CWB</t>
  </si>
  <si>
    <t>BACKLIT LED PANEL 30W 595x595MM 220-240V</t>
  </si>
  <si>
    <t>OV75301CWB</t>
  </si>
  <si>
    <t>JUNIOR HACKSAW, 150MM STEEL BLADE</t>
  </si>
  <si>
    <t>BAHCO</t>
  </si>
  <si>
    <t>CON 07 - SHARURAH</t>
  </si>
  <si>
    <t>REPLACEMENT HSS PILOT DRILL, 102MM</t>
  </si>
  <si>
    <t>CK</t>
  </si>
  <si>
    <t>QUICK HITCH ARBOR FOR 14-30MM HOLE SAW WITH HSS PILOT DRILL</t>
  </si>
  <si>
    <t>STARRETT</t>
  </si>
  <si>
    <t>A1</t>
  </si>
  <si>
    <t>10A WALL MOUNTED ELECTRONIC PHOTOCELL KIT IP65</t>
  </si>
  <si>
    <t>FUSION</t>
  </si>
  <si>
    <t>DL4061</t>
  </si>
  <si>
    <t>SINGLE CABLE, 4MM, BLACK, 100M</t>
  </si>
  <si>
    <t>A2XBK0040-100</t>
  </si>
  <si>
    <t>CON 08</t>
  </si>
  <si>
    <t>SINGLE CABLE, 4MM, GREY, 100M</t>
  </si>
  <si>
    <t>A2XGR0040-100</t>
  </si>
  <si>
    <t>SINGLE CABLE, 4MM, GREEN YELLOW, 100M</t>
  </si>
  <si>
    <t>A2XGY0040-100</t>
  </si>
  <si>
    <t>SINGLE CABLE, 6MM, BLUE, 100M</t>
  </si>
  <si>
    <t>A2XBL0060-100</t>
  </si>
  <si>
    <t>CON 09</t>
  </si>
  <si>
    <t>SINGLE CABLE, 6MM, BROWN, 100M</t>
  </si>
  <si>
    <t>A2XBR0060-100</t>
  </si>
  <si>
    <t>SINGLE CABLE, 6MM, GREY, 100M</t>
  </si>
  <si>
    <t>A2XGR0060-100</t>
  </si>
  <si>
    <t>SINGLE CABLE, 6MM, GREEN YELLOW, 100M</t>
  </si>
  <si>
    <t>A2XGY0060-100</t>
  </si>
  <si>
    <t>EXTENSION CORD, 16 GAUGE 13A 1625W, 25FT</t>
  </si>
  <si>
    <t>POWER FIRST</t>
  </si>
  <si>
    <t>3EA98C</t>
  </si>
  <si>
    <t>CON 10</t>
  </si>
  <si>
    <t>GROMMET, PUSH IN RUBBER, 10EA/PK</t>
  </si>
  <si>
    <t>ACCURATE PRODUCTS INC.</t>
  </si>
  <si>
    <t>3MRL5</t>
  </si>
  <si>
    <t>SCREW, SLOTTED PAN HEAD BRASS M/C, 4 x 10MM, 100EA/PK</t>
  </si>
  <si>
    <t>44S4010</t>
  </si>
  <si>
    <t>SAW BLADE, 18 TPI, 6"</t>
  </si>
  <si>
    <t>MILWAUKEE</t>
  </si>
  <si>
    <t>48-00-5184</t>
  </si>
  <si>
    <t>SAW BLADE, 18 TPI, 12"</t>
  </si>
  <si>
    <t>48-00-5189</t>
  </si>
  <si>
    <t>SAW BLADE, 14 TPI, 12"</t>
  </si>
  <si>
    <t>48-00-5794</t>
  </si>
  <si>
    <t xml:space="preserve">SAW METAL BLADE, SAWZALL BLADE, 9" </t>
  </si>
  <si>
    <t xml:space="preserve">MILWAUKEE </t>
  </si>
  <si>
    <t>48-01-6187</t>
  </si>
  <si>
    <t>METALCLAD TWIN LATCHING, 2G 13A</t>
  </si>
  <si>
    <t>CONTACTUM</t>
  </si>
  <si>
    <t>4900M</t>
  </si>
  <si>
    <t>RCD SOCKET, 1-GANG LATCHING DP METAL CLAD, 13A</t>
  </si>
  <si>
    <t>4902M</t>
  </si>
  <si>
    <t>BRASS FULL NUT, 4MM, 100EA/BOX</t>
  </si>
  <si>
    <t>NORSLO</t>
  </si>
  <si>
    <t>4N</t>
  </si>
  <si>
    <t>BEAM CLAMPS, GALVANIZED MALLEABLE IRON, 1/4"-20</t>
  </si>
  <si>
    <t>500-SC</t>
  </si>
  <si>
    <t>TERMINAL STRIP, 12 CIRCUIT, 22-6 AWG, 60A 600V</t>
  </si>
  <si>
    <t>89-512</t>
  </si>
  <si>
    <t>ROTARY ISOLATOR SWITCH, 63A 3P</t>
  </si>
  <si>
    <t>GW70437</t>
  </si>
  <si>
    <t>SOCKET 1-GANG UNSWITCHED IP66, WHITE, 13A</t>
  </si>
  <si>
    <t>K56480WHI</t>
  </si>
  <si>
    <t>COMMANDO PLUG, BLUE, 16A 250V</t>
  </si>
  <si>
    <t>K9001BLU</t>
  </si>
  <si>
    <t>COMMANDO PLUG, RED IP44, 16A 415V</t>
  </si>
  <si>
    <t>K9015RED</t>
  </si>
  <si>
    <t>COMMANDO PLUG, RED, 32A 415V</t>
  </si>
  <si>
    <t>K9045RED</t>
  </si>
  <si>
    <t>COMMANDO SOCKET, BLUE, 16A 250V</t>
  </si>
  <si>
    <t>K9201BLU</t>
  </si>
  <si>
    <t>COMMANDO SOCKET, BLUE, 32A 250V</t>
  </si>
  <si>
    <t>K9233BLU</t>
  </si>
  <si>
    <t>UNIVERSAL ADAPTER, TL11</t>
  </si>
  <si>
    <t>DAIYO</t>
  </si>
  <si>
    <t>TL11</t>
  </si>
  <si>
    <t>EMT CONDUIT, 1/2" x 10FT</t>
  </si>
  <si>
    <t>WHEATLAND</t>
  </si>
  <si>
    <t>WHENE2514</t>
  </si>
  <si>
    <t>CON 11</t>
  </si>
  <si>
    <t>SINGLE CABLE, 16MM, BLUE, 50M</t>
  </si>
  <si>
    <t>A2XBL016-50</t>
  </si>
  <si>
    <t>CON 12</t>
  </si>
  <si>
    <t>BUTYL HEAT RESISTANT CABLE, 3-CORE 1MM, BLACK SHEATH, 50M</t>
  </si>
  <si>
    <t>A5G03010-50</t>
  </si>
  <si>
    <t>CABLE, 4MM 3-CORE, BLACK, 50M, H07RN-F</t>
  </si>
  <si>
    <t>A5G03040-50</t>
  </si>
  <si>
    <t>CON 13</t>
  </si>
  <si>
    <t>SWITCH, 10A 2G SP 1 WAY IP66</t>
  </si>
  <si>
    <t>K56402GRY</t>
  </si>
  <si>
    <t>ROTARY ISOLATOR SWITCH, 16A 3P</t>
  </si>
  <si>
    <t>GW70432</t>
  </si>
  <si>
    <t>CON 17</t>
  </si>
  <si>
    <t>ROTARY ISOLATOR SWITCH, 16A 4P</t>
  </si>
  <si>
    <t>GW70433</t>
  </si>
  <si>
    <t>ROTARY ISOLATOR SWITCH, 32A 2P</t>
  </si>
  <si>
    <t>GW70434</t>
  </si>
  <si>
    <t>ROTARY ISOLATOR SWITCH, 32A 3P</t>
  </si>
  <si>
    <t>GW70435</t>
  </si>
  <si>
    <t>ROTARY ISOLATOR SWITCH, 32A 4P</t>
  </si>
  <si>
    <t>GW70436</t>
  </si>
  <si>
    <t>SINGLE CABLE, 10MM, BLUE, 100M, H07V-R (6491X)</t>
  </si>
  <si>
    <t>A2XBL010-100</t>
  </si>
  <si>
    <t>CON 20</t>
  </si>
  <si>
    <t>SINGLE CABLE, 10MM, GREEN YELLOW, 100M</t>
  </si>
  <si>
    <t>A2XGY010-100</t>
  </si>
  <si>
    <t>SINGLE CABLE, 10MM, BROWN, 100M</t>
  </si>
  <si>
    <t>A2XBR010-100</t>
  </si>
  <si>
    <t>CON 21</t>
  </si>
  <si>
    <t>PVC HEAT RESISTANT CABLE, WHITE SHEATH, 3-CORE 0.75MM, 100M</t>
  </si>
  <si>
    <t>A5Y030075HRWH</t>
  </si>
  <si>
    <t>PVC HEAT RESISTANT CABLE, WHITE, 4-CORE 0.75MM, 100M</t>
  </si>
  <si>
    <t>A5Y040075HRWH</t>
  </si>
  <si>
    <t>PVC SELF ADHESIVE MINI TRUNKING, WHITE, 3 METERS, 25 x 16MM</t>
  </si>
  <si>
    <t>MMT2SFWH</t>
  </si>
  <si>
    <t>CON 22</t>
  </si>
  <si>
    <t>100 x 100MM PVC TRUNKING, 3M, WHITE</t>
  </si>
  <si>
    <t>MTRS100WH</t>
  </si>
  <si>
    <t>K-TYPE 12 DIGIT CARRIER STRIPS, MARKER LENGTH 96MM</t>
  </si>
  <si>
    <t>CABLECRAFT</t>
  </si>
  <si>
    <t>CON 23</t>
  </si>
  <si>
    <t>MODULAR MINI ENCLOSURE, 4 MODULES, 2 TERMINAL BLOCKS, IP65</t>
  </si>
  <si>
    <t>NYLON WALLPLUG, 40MM LENGTH, 8MM HOLE DIAMETER</t>
  </si>
  <si>
    <t>6MM YELLOW RING CRIMP LUGS FOR 6MM CABLES</t>
  </si>
  <si>
    <t>COPPER LUGS 10MM HOLE FOR 50MM CABLE</t>
  </si>
  <si>
    <t>COPPER LUGS 10MM HOLE FOR 70MM CABLE</t>
  </si>
  <si>
    <t>COPPER LUGS 10MM HOLE FOR 120MM CABLE</t>
  </si>
  <si>
    <t>SCREW, COUNTERSUNK HEAD PZ, 4.5x50MM (2")</t>
  </si>
  <si>
    <t>#8, THHN, STR CU SIM 500SP 600V BLACK</t>
  </si>
  <si>
    <t>SOUTHWIRE</t>
  </si>
  <si>
    <t>PVC SWA CABLE CLEATS, 25.3 TO 27.7MM NO.11</t>
  </si>
  <si>
    <t>0004-4146</t>
  </si>
  <si>
    <t>PVC SWA CABLE CLEATS, 12.6 TO 15.2MM NO.6</t>
  </si>
  <si>
    <t>0004-4182</t>
  </si>
  <si>
    <t>PVC SWA CABLE CLEATS, 15.1 TO 17.8MM NO.7</t>
  </si>
  <si>
    <t>0004-4185</t>
  </si>
  <si>
    <t>ROOFING BOLTS AND NUTS, M6 x 16MM</t>
  </si>
  <si>
    <t>085-180-020</t>
  </si>
  <si>
    <t>WASHER, M10 REPAIR MUDGUARD, ZINC PLATED</t>
  </si>
  <si>
    <t>085-195-020</t>
  </si>
  <si>
    <t>NUT, M10 HEXAGON BZP, 100EA/BX</t>
  </si>
  <si>
    <t>085-196-040</t>
  </si>
  <si>
    <t>M6 x 16MM HEX SET SCREW BRASS</t>
  </si>
  <si>
    <t>OLYPIC FIXINGS</t>
  </si>
  <si>
    <t>089-187-010</t>
  </si>
  <si>
    <t>M6 BRASS HEXAGON NUTS</t>
  </si>
  <si>
    <t>089-188-005</t>
  </si>
  <si>
    <t>M6 BRASS WASHERS</t>
  </si>
  <si>
    <t>089-189-005</t>
  </si>
  <si>
    <t xml:space="preserve">50MM PVC SINGLE CORE GREEN / YELLOW </t>
  </si>
  <si>
    <t>FEDERAL CABLES</t>
  </si>
  <si>
    <t>1Cx50MM</t>
  </si>
  <si>
    <t>70MM PVC SINGLE CORE GREEN / YELLOW</t>
  </si>
  <si>
    <t>1Cx70MM</t>
  </si>
  <si>
    <t>EARTH TAG, 20MM</t>
  </si>
  <si>
    <t>CMP</t>
  </si>
  <si>
    <t>20ET</t>
  </si>
  <si>
    <t>ROOFING BOLTS AND NUTS, M6 x 12MM</t>
  </si>
  <si>
    <t>277-604</t>
  </si>
  <si>
    <t>DOME HEAD STOPPING PLUG, 20MM</t>
  </si>
  <si>
    <t>HUBBELL HAWKE</t>
  </si>
  <si>
    <t>487/M20/NP</t>
  </si>
  <si>
    <t>BRASS CABLE GLAND M20 THREAD 8.4-14.3MM</t>
  </si>
  <si>
    <t>HAWKE</t>
  </si>
  <si>
    <t>501/453/UNIV/A/M20</t>
  </si>
  <si>
    <t>BRASS CABLE GLAND M20 THREAD 6.5-11.4MM</t>
  </si>
  <si>
    <t>501/453/UNIV/O/M20</t>
  </si>
  <si>
    <t>BLACK NYLON CABLE GLAND, M25 THREAD, 13MM MIN, 18MM MAX, IP68</t>
  </si>
  <si>
    <t>669-4676</t>
  </si>
  <si>
    <t>RCCB WITH OVERCURRENT PROTECTION (RCBO), 2P-C10A-30mA 240V TYPE A</t>
  </si>
  <si>
    <t>A9D11210</t>
  </si>
  <si>
    <t>RCCB WITH OVERCURRENT PROTECTION (RCBO), 1P+Ns-B10A-30mA 240V TYPE A</t>
  </si>
  <si>
    <t>A9D31810</t>
  </si>
  <si>
    <t>RCCB WITH OVERCURRENT PROTECTION (RCBO), 1P+Ns-B16A-30mA 240V TYPE A</t>
  </si>
  <si>
    <t>A9D31816</t>
  </si>
  <si>
    <t>2.5MM 3 CORE XLPE LSZH SWA LSZH 0.6/1kV</t>
  </si>
  <si>
    <t>A9SWA3025LSZH</t>
  </si>
  <si>
    <t>2.5MM 4 CORE XLPE LSZH SWA LSZH 0.6/1kV</t>
  </si>
  <si>
    <t>A9SWA4025LSZH</t>
  </si>
  <si>
    <t>1.5-2.5MM BLUE 18MM PVC INSULATED BLADE TERMINALS, 50EA/PK</t>
  </si>
  <si>
    <t>CIB2-18</t>
  </si>
  <si>
    <t>4-6MM YELLOW M5 PVC INSULATED PRE-INSULATED RING TERMINALS, 50EA/PK</t>
  </si>
  <si>
    <t>CIR3-5</t>
  </si>
  <si>
    <t>4-6MM YELLOW M6 PVC INSULATED PRE-INSULATED RING TERMINALS, 50EA/PK</t>
  </si>
  <si>
    <t>CIR3-6</t>
  </si>
  <si>
    <t>PVC SWA CABLE CLEATS, 20.2 TO 22.8MM NO.9</t>
  </si>
  <si>
    <t>CLE-SIFX-NO09C-PVC</t>
  </si>
  <si>
    <t>TINNED CU CABLE LUGS, TUBULAR, 10-6</t>
  </si>
  <si>
    <t>CLH106S</t>
  </si>
  <si>
    <t>TUBULAR CABLE LUG HEAVY DUTY, 6-6 100EA/PK</t>
  </si>
  <si>
    <t>CLH66S</t>
  </si>
  <si>
    <t>ANTI-CORROSIVE JOINTING COMPOUND</t>
  </si>
  <si>
    <t>DURALAC</t>
  </si>
  <si>
    <t>D219200602</t>
  </si>
  <si>
    <t>18V XR CORDLESS HEAT GUN, BODY ONLY</t>
  </si>
  <si>
    <t>DCE530N</t>
  </si>
  <si>
    <t>BLUE BOXED HEAT SHRINK SLEEVING 9.5MM ID - 2:1 RATIO</t>
  </si>
  <si>
    <t>ESB9.5 BLUE</t>
  </si>
  <si>
    <t>BROWN BOXED HEAT SHRINK SLEEVING 9.5MM ID - 2:1 RATIO</t>
  </si>
  <si>
    <t>ESB9.5 BROWN</t>
  </si>
  <si>
    <t>GREEN/YELLOW BOXED HEAT SHRINK SLEEVING 9.5MM ID - 2:1 RATIO</t>
  </si>
  <si>
    <t>ESB9.5 GN YW</t>
  </si>
  <si>
    <t>LIGHT SWITCH 16A FOR ZONE 1/21 2P, 2 x M20</t>
  </si>
  <si>
    <t>GHG2732000R0003</t>
  </si>
  <si>
    <t>10MM 3 CORE LSOH SWA XLPE ARMOURED CABLE</t>
  </si>
  <si>
    <t>UK CABLES</t>
  </si>
  <si>
    <t>H6943XL10LSF</t>
  </si>
  <si>
    <t>4MM 3 CORE SWA/LSOH XLPE ARMOURED CABLE</t>
  </si>
  <si>
    <t>H6943XL4.0LSF</t>
  </si>
  <si>
    <t>25MM 4 CORE SWA/LSOH XLPE ARMOURED CABLE</t>
  </si>
  <si>
    <t>H6944XL25LSF</t>
  </si>
  <si>
    <t>BRASS CABLE GLAND M20 THREAD 12.5-20.5MM</t>
  </si>
  <si>
    <t>ICG/653/UNIV/A/M20</t>
  </si>
  <si>
    <t>BRASS CABLE GLAND M20 THREAD 9.5-16MM</t>
  </si>
  <si>
    <t>ICG/653/UNIV/O/M20</t>
  </si>
  <si>
    <t>COUNTERSUNK HEAD ANKERBOLTS BZP, M8 10x60MM</t>
  </si>
  <si>
    <t>JCP CONSTRUCTION PRODUCTS</t>
  </si>
  <si>
    <t>JAB/10060CS</t>
  </si>
  <si>
    <t>MINUS SIGN, BLACK ON YELLOW K-TYPE CABLE MARKER ON REELS 4.2-7.0MM DIA</t>
  </si>
  <si>
    <t>K65 B/Y -</t>
  </si>
  <si>
    <t>NUMBER 0-9, BLACK ON YELLOW K-TYPE CABLE MARKER ON REELS 4.2-7.0MM DIA</t>
  </si>
  <si>
    <t>K65 B/Y 0</t>
  </si>
  <si>
    <t>LETTER A, BLACK ON YELLOW K-TYPE CABLE MARKER ON REELS 4.2-7.0MM DIA</t>
  </si>
  <si>
    <t>K65 B/Y A</t>
  </si>
  <si>
    <t>BLANK, YELLOW K-TYPE CABLE MARKERS ON REELS 4.2-7.0MM DIA</t>
  </si>
  <si>
    <t>K65 B/Y BLANK</t>
  </si>
  <si>
    <t>LETTER C, BLACK ON YELLOW K-TYPE CABLE MARKER ON REELS 4.2-7.0MM DIA</t>
  </si>
  <si>
    <t>K65 B/Y C</t>
  </si>
  <si>
    <t>LETTER L, BLACK ON YELLOW K-TYPE CABLE MARKER ON REELS 4.2-7.0MM DIA</t>
  </si>
  <si>
    <t>K65 B/Y L</t>
  </si>
  <si>
    <t>LETTER N, BLACK ON YELLOW K-TYPE CABLE MARKER ON REELS 4.2-7.0MM DIA</t>
  </si>
  <si>
    <t>K65 B/Y N</t>
  </si>
  <si>
    <t>LETTER S, BLACK ON YELLOW K-TYPE CABLE MARKER ON REELS 4.2-7.0MM DIA</t>
  </si>
  <si>
    <t>K65 B/Y S</t>
  </si>
  <si>
    <t>LETTER W, BLACK ON YELLOW K-TYPE CABLE MARKER ON REELS 4.2-7.0MM DIA</t>
  </si>
  <si>
    <t>K65 B/Y W</t>
  </si>
  <si>
    <t>32CW LSF SWA GLAND PACK OUTDOOR</t>
  </si>
  <si>
    <t>LSF32CW</t>
  </si>
  <si>
    <t>M6x6MM BOLT, NUT &amp; WASHER</t>
  </si>
  <si>
    <t>M6x6MM</t>
  </si>
  <si>
    <t>M20 NYLON WASHER</t>
  </si>
  <si>
    <t>NYLONWASHER/M20</t>
  </si>
  <si>
    <t>1-CHANNEL, HOT DIP GALVANIZED, STEEL, CENTERED, OFFSET, U POST, SQUARE BASE, CHANNEL POST BASE, 3-1/2" POST, 6" x 6" PAD, 9/16" HOLE</t>
  </si>
  <si>
    <t>UNISTRUT</t>
  </si>
  <si>
    <t>P2072AHG</t>
  </si>
  <si>
    <t>20MM CW ARMOURED CABLE GLAND PACK (PACK OF 2)</t>
  </si>
  <si>
    <t>PACG20CW</t>
  </si>
  <si>
    <t>SDS HAMMER DRILLBIT, 8x160MM</t>
  </si>
  <si>
    <t>ARMEG</t>
  </si>
  <si>
    <t>S08.0X160</t>
  </si>
  <si>
    <t>UNIVERSAL BOX, 2 GANG 32MM, SQUARE CORNER, WHITE</t>
  </si>
  <si>
    <t>SB2SCWH</t>
  </si>
  <si>
    <t>SWITCH DISCONNECTOR, 3P+N 125A</t>
  </si>
  <si>
    <t>SEA91253N</t>
  </si>
  <si>
    <t>HEAVY DUTY DISTRIBUTION BOARD STEEL DOOR, 3P 125A 6 WAYS ACTI9 ISOBAR IP55</t>
  </si>
  <si>
    <t>SEA9BPW6HDGR</t>
  </si>
  <si>
    <t>LINEAR CEILING MOUNT KIT STAINLESS STEEL</t>
  </si>
  <si>
    <t>RAYTEC</t>
  </si>
  <si>
    <t>SPX-BKT-CM</t>
  </si>
  <si>
    <t>LINEAR 80 LED WHITE LIGHT ZONE 1 HAZARDOUS AREA</t>
  </si>
  <si>
    <t>SPX-WL84</t>
  </si>
  <si>
    <t>LINEAR 80 LED WHITE LIGHT ZONE 1 HAZARDOUS AREA, 2FT</t>
  </si>
  <si>
    <t>SPX-WL84-EMX25</t>
  </si>
  <si>
    <t>SERRATED WASHER, 20MM, 100EA/PK</t>
  </si>
  <si>
    <t>SW20</t>
  </si>
  <si>
    <t>PLUG, 13A 3 PIN FUSED, BLACK</t>
  </si>
  <si>
    <t>VX1307BK</t>
  </si>
  <si>
    <t>2x4 35W LED FLAT PANEL, 120-277V, PANELF3B035UNVD8SC724GWH, INDOOR</t>
  </si>
  <si>
    <t>SYLVANIA</t>
  </si>
  <si>
    <t>CON 24</t>
  </si>
  <si>
    <t>FLUORESCENT VAPOR TIGHT FIXTURE, WRAPAROUND LIGHT, T8, 48 x 8-1/8"</t>
  </si>
  <si>
    <t>LITHONIA LIGHTING</t>
  </si>
  <si>
    <t>DMW 2 32 MVOLT GEB10IS WWGR</t>
  </si>
  <si>
    <t>LED LINEAR TUBE, FLUORESCENT T8, 24W 2400LM, 4FT</t>
  </si>
  <si>
    <t>LUCECO</t>
  </si>
  <si>
    <t>LT8G4C22W24-01</t>
  </si>
  <si>
    <t>INDOOR FLUORESCENT FIXTURE, SQUARE-BASKET WRAPAROUND, 120-277V 32W 4-LAMPS, T8</t>
  </si>
  <si>
    <t>SB232MV</t>
  </si>
  <si>
    <t>TWIN LED NON-CORROSIVE BATTEN 6000K, 50W 230V IP65, LENGTH 5FT</t>
  </si>
  <si>
    <t>KNIGHTSBRIDGE</t>
  </si>
  <si>
    <t>TRLED25D</t>
  </si>
  <si>
    <t>45A DP 1 GANG SWITCH, WHITE</t>
  </si>
  <si>
    <t>CON 25</t>
  </si>
  <si>
    <t>13A SWITCHED FUSED SPUR, WHITE</t>
  </si>
  <si>
    <t>TERMINAL BLOCK, 32 HOLES FOR ENCLOSURE 18 MODULES, BLUE</t>
  </si>
  <si>
    <t xml:space="preserve">16MM PVC TRI RATED GREEN / YELLOW  CABLE 600/1000V </t>
  </si>
  <si>
    <t>BATT CABLES</t>
  </si>
  <si>
    <t>6MM 5 CORE H07RN-F RUBBER FLEXIBLE CABLE</t>
  </si>
  <si>
    <t>4MM 5 CORE H07RN-F RUBBER FLEXIBLE CABLE</t>
  </si>
  <si>
    <t>6 WAY B TERMINAL BAR EARTH/NEUTRAL 20 HOLE 200A 183MM</t>
  </si>
  <si>
    <t xml:space="preserve">HSS BI-METAL HOLE SAW, 32MM (1-1/4IN) </t>
  </si>
  <si>
    <t>HSS BI-METAL HOLE SAW, 38MM (1-1/2IN)</t>
  </si>
  <si>
    <t>HSS BI-METAL HOLE SAW, 51MM (2IN)</t>
  </si>
  <si>
    <t>HSS BI-METAL HOLE SAW, 64MM (2-1/2IN)</t>
  </si>
  <si>
    <t>QUICK RELEASE ARBOR WITH 11MM SHAFT FOR 32-152MM HOLE SAW</t>
  </si>
  <si>
    <t>COPPER LUGS 10MM HOLE FOR 16MM CABLE</t>
  </si>
  <si>
    <t>16MM BOOTLACE FERRULES GREEN</t>
  </si>
  <si>
    <t>TRADE TUB 500 RED WALL PLUGS &amp; 8-1/2IN SCREWS</t>
  </si>
  <si>
    <t>CABLE GLAND POLYAMIDE, M25 RAL 7035 IP68</t>
  </si>
  <si>
    <t>WISKA</t>
  </si>
  <si>
    <t>COMPRESSION GLAND WITH LOCK NUT, GLP20 20MM IP68, WHITE 10EA/PK</t>
  </si>
  <si>
    <t>COMPRESSION GLAND WITH LOCKNUT, GREY, 20MM, IP68, 10PC/PK</t>
  </si>
  <si>
    <t>COMPRESSION GLAND WITH LOCK NUT ESKV20 GREY IP69 10EA/PK</t>
  </si>
  <si>
    <t>JUNCTION BOX COMBI 1210 LG GREY IP66/67 160x140x82MM</t>
  </si>
  <si>
    <t>JUNCTION BOX COMBI 1210/5 LG, 160MM X 140MM X 82MM IP66/67</t>
  </si>
  <si>
    <t>JUNCTION BOX COMBI 407, 95MM X 95MM X 60MM IP66/67</t>
  </si>
  <si>
    <t>JUNCTION BOX COMBI 607/221 GREY IP66/67 110x110x66MM RAL7035</t>
  </si>
  <si>
    <t>JUNCTION BOX COMBI 607/221 GREY IP66/67 110x110x66MM RAL9001</t>
  </si>
  <si>
    <t>JUNCTION BOX, 2.5MM 400V IP55, 75x75x37MM</t>
  </si>
  <si>
    <t>ELECTRO TERMINAL</t>
  </si>
  <si>
    <t>LED BULB 9W E27 6500K 220-240V</t>
  </si>
  <si>
    <t>DISTRIBUTION BLOCK 13 WAY 100A 400V AC GREEN</t>
  </si>
  <si>
    <t>LEGRAND</t>
  </si>
  <si>
    <t>004834</t>
  </si>
  <si>
    <t>DISTRIBUTION BLOCK 13 WAY 100A 400V AC BLUE</t>
  </si>
  <si>
    <t>004844</t>
  </si>
  <si>
    <t>EARTH ROD PRO BIT CARBIDE TIP 5/8IN, 10EA/PK</t>
  </si>
  <si>
    <t>LINIAN</t>
  </si>
  <si>
    <t>01LERPB</t>
  </si>
  <si>
    <t>EARTH ROD PRO DRIVER SDS MAX 5/8IN</t>
  </si>
  <si>
    <t>01LERPM</t>
  </si>
  <si>
    <t>6MM CONNECTION TERMINAL BLOCK, GREY</t>
  </si>
  <si>
    <t>037162</t>
  </si>
  <si>
    <t>END STOPS FOR DIN RAIL</t>
  </si>
  <si>
    <t>037510</t>
  </si>
  <si>
    <t>16W PRO LED NON DIMMABLE OPAL GLS 4000K 220-240V</t>
  </si>
  <si>
    <t>BELL LIGHTING</t>
  </si>
  <si>
    <t>05627</t>
  </si>
  <si>
    <t>END PLATE AP 6 /V0</t>
  </si>
  <si>
    <t>WIELAND</t>
  </si>
  <si>
    <t>07.311.0255.0</t>
  </si>
  <si>
    <t>M8 BRASS HEXAGON NUTS, 50EA/PK</t>
  </si>
  <si>
    <t>089-188-010</t>
  </si>
  <si>
    <t>M8 BRASS FORM A FLAT WASHERS</t>
  </si>
  <si>
    <t>089-189-010</t>
  </si>
  <si>
    <t>COPPER TUBE TERMINAL 16-6MM</t>
  </si>
  <si>
    <t>SWA</t>
  </si>
  <si>
    <t>16-6TQ</t>
  </si>
  <si>
    <t>COPPER TUBE TERMINAL 16-8MM</t>
  </si>
  <si>
    <t>16-8TQ</t>
  </si>
  <si>
    <t>20MM LONG MALE BRASS BUSH</t>
  </si>
  <si>
    <t>GREENBROOK</t>
  </si>
  <si>
    <t>20MBBL</t>
  </si>
  <si>
    <t>COMPACT CABLE SPLICING CONNECTOR, 2 WAY 4MM, 100EA/BX</t>
  </si>
  <si>
    <t>WAGO</t>
  </si>
  <si>
    <t>221-412</t>
  </si>
  <si>
    <t>COMPACT CABLE SPLICING CONNECTOR, 3 WAY 4MM, 50EA/PK</t>
  </si>
  <si>
    <t>221-413</t>
  </si>
  <si>
    <t>COMPACT CABLE SPLICING CONNECTOR, 5 WAY 4MM, 25EA/PK</t>
  </si>
  <si>
    <t>221-415</t>
  </si>
  <si>
    <t>RED PLASTIC WALL PLUGS &amp; CSK POZI 8x1-1/2IN SCREWS</t>
  </si>
  <si>
    <t>242-222-010</t>
  </si>
  <si>
    <t>BROWN PLASTIC WALL PLUGS &amp; CSK POZI 10x2IN SCREWS</t>
  </si>
  <si>
    <t>242-222-020</t>
  </si>
  <si>
    <t>M25 LSF PVC SWA ARMOURED CABLE GLAND PACK</t>
  </si>
  <si>
    <t>25BW</t>
  </si>
  <si>
    <t>25MM LONG MALE BRASS BUSH</t>
  </si>
  <si>
    <t>25MBBL</t>
  </si>
  <si>
    <t>PVC CONDUIT TERMINAL BOX, 20MM, WHITE</t>
  </si>
  <si>
    <t>2MRB2WH</t>
  </si>
  <si>
    <t>PVC CONDUIT TEE BOX WHITE, 20MM, WHITE</t>
  </si>
  <si>
    <t>2MRB5WH</t>
  </si>
  <si>
    <t>M32 LSF PVC SWA ARMOURED CABLE GLAND PACK</t>
  </si>
  <si>
    <t>32BW</t>
  </si>
  <si>
    <t>SCREW, CSK SELF DRILLING 4.2x20MM (#8x3/4"), 1000EA/BX</t>
  </si>
  <si>
    <t>PATTA</t>
  </si>
  <si>
    <t>4.2x20MM</t>
  </si>
  <si>
    <t>13A DP 1 GANG SWITCHED SOCKET, WHITE</t>
  </si>
  <si>
    <t>4304/D</t>
  </si>
  <si>
    <t>SWITCHED SOCKET 13A 2G 1P BRASS TERMINAL</t>
  </si>
  <si>
    <t>4306/C</t>
  </si>
  <si>
    <t>BRASS HEX BOLT, M8 x 25MM</t>
  </si>
  <si>
    <t>483-2429</t>
  </si>
  <si>
    <t>BRASS HEX NUT, M6 100EA/PK</t>
  </si>
  <si>
    <t>483-2520</t>
  </si>
  <si>
    <t>M6x25MM PENNY WASHER BZP, 100EA/BX</t>
  </si>
  <si>
    <t>AKEMAN</t>
  </si>
  <si>
    <t>625RWZX</t>
  </si>
  <si>
    <t>ALL POLYCARBONATE BULKHEAD BLACK, 60W 230V 50Hz IP65</t>
  </si>
  <si>
    <t>ANSELL LIGHTING</t>
  </si>
  <si>
    <t>A100POLY</t>
  </si>
  <si>
    <t>COPPER TUBE CRIMP LUG 10MM M6 STUD</t>
  </si>
  <si>
    <t>CEMBRE</t>
  </si>
  <si>
    <t>A2-M6</t>
  </si>
  <si>
    <t>RCCB WITH OVERCURRENT PROTECTION (RCBO), 3P 32A 30mA-C-A 230V TYPE A</t>
  </si>
  <si>
    <t>A9D17332</t>
  </si>
  <si>
    <t>CIRCUIT BREAKER, MINIATURE, 40A 3P B, 415V</t>
  </si>
  <si>
    <t>A9F53340</t>
  </si>
  <si>
    <t>CIRCUIT BREAKER, MINIATURE, 32A 4P B 415V</t>
  </si>
  <si>
    <t>A9F53432</t>
  </si>
  <si>
    <t>CIRCUIT BREAKER, MINIATURE, 40A 4P B 415V</t>
  </si>
  <si>
    <t>A9F53440</t>
  </si>
  <si>
    <t>CIRCUIT BREAKER, MINIATURE, 40A 4P C 415V</t>
  </si>
  <si>
    <t>A9F54440</t>
  </si>
  <si>
    <t>SWITCH DISCONNECTOR, ACTI9, 415V AC 125A 50/60Hz, 5kA, 4P</t>
  </si>
  <si>
    <t>A9S66492</t>
  </si>
  <si>
    <t>COMB BUSBAR, ACTI 9, 100A 3P 12MOD</t>
  </si>
  <si>
    <t>A9XPH312</t>
  </si>
  <si>
    <t>COMB BUSBAR, ACTI 9, 100A 3P 24MOD</t>
  </si>
  <si>
    <t>A9XPH324</t>
  </si>
  <si>
    <t>ANTI-VANDAL BULKHEAD FLASHGUARD BLACK PRISMATIC PIR 100W IP65</t>
  </si>
  <si>
    <t>ASD LIGHTING</t>
  </si>
  <si>
    <t>AB/BP100P</t>
  </si>
  <si>
    <t>ANTI-VANDAL BULKHEAD BLACK PRISMATIC 4000K LED 600 IP65</t>
  </si>
  <si>
    <t>AB/BP4LED600</t>
  </si>
  <si>
    <t xml:space="preserve">GALVANISED ADAPTABLE BOX WITH KO 150x150x75MM </t>
  </si>
  <si>
    <t>ABG663</t>
  </si>
  <si>
    <t>20MM BLACK FLEXIBLE CONDUIT C/W CLIP ON GLANDS</t>
  </si>
  <si>
    <t>CFP-20B-10M-CP</t>
  </si>
  <si>
    <t>25 MM BLACK FLEXIBLE CONDUIT C/W CLIP ON GLANDS</t>
  </si>
  <si>
    <t>CFP-25B-10M-CP</t>
  </si>
  <si>
    <t>25MM WHITE FLEXIBLE CONDUIT C/W CLIP ON GLANDS</t>
  </si>
  <si>
    <t>CFP-25W-10M-CP</t>
  </si>
  <si>
    <t>POLYAMIDE CABLE GLAND 20MM GREY, M20x1.5 6-12MM IP68</t>
  </si>
  <si>
    <t>CG/LNM20SG</t>
  </si>
  <si>
    <t>POLYAMIDE CABLE GLAND 25MM GREY, M25x1.5 13-18MM IP68</t>
  </si>
  <si>
    <t>CG/LNM-25G</t>
  </si>
  <si>
    <t>POLYAMIDE CABLE GLAND 50MM GREY, M50x1.5 30-38MM IP68</t>
  </si>
  <si>
    <t>CG/LNM-50G</t>
  </si>
  <si>
    <t>EARTH CLAMP, ROD TO TAPE BOLT DOUBLE PLATE, 16MM</t>
  </si>
  <si>
    <t>KINGSMILL</t>
  </si>
  <si>
    <t>CLUB16-2</t>
  </si>
  <si>
    <t>MAXI TRUNKING, 100x50MM x 3M, PVC WHITE</t>
  </si>
  <si>
    <t>CMXT 42</t>
  </si>
  <si>
    <t>CABLE TIE CRADLE 9.0MM BLACK 100EA/PK</t>
  </si>
  <si>
    <t>CRAD78B</t>
  </si>
  <si>
    <t>SOCKET MOUNTING BOX, 1 GANG 35MM WHITE</t>
  </si>
  <si>
    <t>CTB21W</t>
  </si>
  <si>
    <t>CABLE TIE MOUNT STAINLESS STEEL</t>
  </si>
  <si>
    <t>CTBSS</t>
  </si>
  <si>
    <t>LSF PACK BRASS CABLE GLAND 22-26.5MM RANGE</t>
  </si>
  <si>
    <t>CW25PK-LSF</t>
  </si>
  <si>
    <t>CATENARY WIRE KIT 30Mx3MM</t>
  </si>
  <si>
    <t>CWK30</t>
  </si>
  <si>
    <t>4.2 x 20 COUNTERSUNK DRILL SCREWS  (PACK OF 100)</t>
  </si>
  <si>
    <t>4.2 x 38MM COUNTERSUNK DRILL SCREWS 100EA/BX</t>
  </si>
  <si>
    <t>DS-CSK-4.2X38</t>
  </si>
  <si>
    <t>4.2 X 38 COUNTERSUNK DRILL SCREWS (PACK OF 100)</t>
  </si>
  <si>
    <t>DS-CSK-4.2X38-100</t>
  </si>
  <si>
    <t>FEMALE BUSH BRASS, 25MM</t>
  </si>
  <si>
    <t>DETA</t>
  </si>
  <si>
    <t>DT40325</t>
  </si>
  <si>
    <t>M20x1.5 DOME COMPRESSION GLAND GREY</t>
  </si>
  <si>
    <t>CTC</t>
  </si>
  <si>
    <t>DTGM20S</t>
  </si>
  <si>
    <t>COMBI SET 308/5 POLE TERMINAL JUNCTION BOX &amp; SILICONE GEL IP68</t>
  </si>
  <si>
    <t>E66634</t>
  </si>
  <si>
    <t>EARTH ROD EXTERNAL COUPLER 5/8IN</t>
  </si>
  <si>
    <t>EC58</t>
  </si>
  <si>
    <t>3A BS1362 MINI CERAMIC FUSE, 10EA/PK</t>
  </si>
  <si>
    <t>F3</t>
  </si>
  <si>
    <t>PLUG TOP, 13AMP 250V WHITE</t>
  </si>
  <si>
    <t>F4PRPTW</t>
  </si>
  <si>
    <t>P CLIP CONDUIT FITTING PVC LINER 32MM</t>
  </si>
  <si>
    <t>FLEXICON</t>
  </si>
  <si>
    <t>FCC32</t>
  </si>
  <si>
    <t>1.5IN FEMALE BRASS BUSH</t>
  </si>
  <si>
    <t>FLP5</t>
  </si>
  <si>
    <t>2IN FEMALE BRASS BUSH</t>
  </si>
  <si>
    <t>FLP6</t>
  </si>
  <si>
    <t>20MM FLEXIBLE CONDUIT WHITE CONTRACTOR PACK 10M C/W M20 FITTINGS</t>
  </si>
  <si>
    <t>FPL-CP20W</t>
  </si>
  <si>
    <t>TERMINAL BLOCK FOR ENCLOSURE (3x35) + (10x10)</t>
  </si>
  <si>
    <t>GW40402</t>
  </si>
  <si>
    <t>JUNCTION BOX (IP56), GREY, 150x110x70MM</t>
  </si>
  <si>
    <t>GW44206</t>
  </si>
  <si>
    <t>JUNCTION BOX (IP56), GREY, 3800x300x120MM</t>
  </si>
  <si>
    <t>GW44210</t>
  </si>
  <si>
    <t>GW70436P</t>
  </si>
  <si>
    <t>8MM ROUND CABLE CLIPS WHITE, 100EA/BX</t>
  </si>
  <si>
    <t>GX01107</t>
  </si>
  <si>
    <t>9MM ROUND CABLE CLIPS WHITE, 100EA/BX</t>
  </si>
  <si>
    <t>GX01108</t>
  </si>
  <si>
    <t>10MM ROUND CABLE CLIPS WHITE, 100EA/BX</t>
  </si>
  <si>
    <t>GX01109</t>
  </si>
  <si>
    <t>16MM 5 CORE PVC SWA XLPE ARMOURED CABLE</t>
  </si>
  <si>
    <t>BASEC ELECTRIC CABLE</t>
  </si>
  <si>
    <t>H6945XL16 - 30</t>
  </si>
  <si>
    <t>13A HEAVY DUTY PLUG, BLACK</t>
  </si>
  <si>
    <t>BG</t>
  </si>
  <si>
    <t>HDPT13B</t>
  </si>
  <si>
    <t>COMMERCIAL LED FLOODLIGHT 200W 4000K IP65 BLACK</t>
  </si>
  <si>
    <t>JCC</t>
  </si>
  <si>
    <t>JC050008</t>
  </si>
  <si>
    <t>SWITCH, 10A DP 1 WAY GRID</t>
  </si>
  <si>
    <t>K4981WHI</t>
  </si>
  <si>
    <t>SWITCH, 10A 1 GANG SP 2 WAY</t>
  </si>
  <si>
    <t>K56401GRY</t>
  </si>
  <si>
    <t>SWITCHED FUSED CONNECTION UNIT, 13A, WEATHERPROOF</t>
  </si>
  <si>
    <t>K56410GRY</t>
  </si>
  <si>
    <t>1 GANG SWITCH ENCLOSURE 2 WAY IP66 + 10A SP 2 WAY SWITCH</t>
  </si>
  <si>
    <t>K56420GRY + 56882 BLK</t>
  </si>
  <si>
    <t>SWITCH ENCLOSURE 2 WAY 2G IP66</t>
  </si>
  <si>
    <t>K56422GRY</t>
  </si>
  <si>
    <t>MALE CONDUIT GLAND, M32 IP66 10EA/PK</t>
  </si>
  <si>
    <t>ATKORE KOREFLEX</t>
  </si>
  <si>
    <t>KNYG32/M32</t>
  </si>
  <si>
    <t>MILLED EDGE LOCKRING BZP, 25MM</t>
  </si>
  <si>
    <t>METPRO</t>
  </si>
  <si>
    <t>LR2</t>
  </si>
  <si>
    <t>MILLED EDGE LOCKRING, 20MM</t>
  </si>
  <si>
    <t>LRS20G</t>
  </si>
  <si>
    <t>MILLED EDGE LOCKRING, 1.5IN</t>
  </si>
  <si>
    <t>LRS5G</t>
  </si>
  <si>
    <t>MILLED EDGE LOCKRING BZP, 2IN</t>
  </si>
  <si>
    <t>LRS6G</t>
  </si>
  <si>
    <t>1.5IN LONG MALE BRASS BUSH</t>
  </si>
  <si>
    <t>MBB5</t>
  </si>
  <si>
    <t>2IN LONG MALE BRASS BUSH</t>
  </si>
  <si>
    <t>MBB6</t>
  </si>
  <si>
    <t>1 GANG 44MM UNIVERSAL ROUND CORNERS BOX KO WHITE</t>
  </si>
  <si>
    <t>MSSB73WH</t>
  </si>
  <si>
    <t>PVC MOULDED ENCLOSURE ADAPTABLE BOX 106x106x67MM WHITE</t>
  </si>
  <si>
    <t>MTAB100AWH</t>
  </si>
  <si>
    <t>4.8 X 35 WAFER HEAD GENERAL PURPOSE DRILL SCREWS (PACK OF 200)</t>
  </si>
  <si>
    <t>OBX-GP-4.8X35-200</t>
  </si>
  <si>
    <t>5.5MM X 40MM WAFER HEAD DRILL SCREWS (PACK OF 100)</t>
  </si>
  <si>
    <t>OBX-HD-5.5X40-100</t>
  </si>
  <si>
    <t>4.8 x 16 STANDARD SELF DRILLING SCREWS BNP (PACK OF 200)</t>
  </si>
  <si>
    <t>OBX-STD-4.8X16-200</t>
  </si>
  <si>
    <t>FLEXIBLE CONDUIT 40MM x 25M BLACK</t>
  </si>
  <si>
    <t>RONBAR</t>
  </si>
  <si>
    <t>PP40.25M</t>
  </si>
  <si>
    <t>M6 x 25MM PENNY WASHER BZP</t>
  </si>
  <si>
    <t>CSS LIMITED</t>
  </si>
  <si>
    <t>PW625</t>
  </si>
  <si>
    <t xml:space="preserve">RUBBER GASKET 150MM x 150MM </t>
  </si>
  <si>
    <t>RG66</t>
  </si>
  <si>
    <t>2 GANG 32MM PVC SURFACE BOX ROUND CORNERS WITH 20MM KO, WHITE</t>
  </si>
  <si>
    <t>SB 8/20W</t>
  </si>
  <si>
    <t>DISTRIBUTION BOARD SP+N TYPE A 1P 125A 10 WAYS 230V</t>
  </si>
  <si>
    <t>SEA9APN10</t>
  </si>
  <si>
    <t>BLANKING PLATES</t>
  </si>
  <si>
    <t>SEA9BP25N</t>
  </si>
  <si>
    <t>DISTRIBUTION BOARD 3P 4 WAY TYPE B 250A</t>
  </si>
  <si>
    <t>SEA9BPN4</t>
  </si>
  <si>
    <t>DISTRIBUTION BOARD 3P+N TYPE B 250A 6 WAYS ACTI9 230/400V</t>
  </si>
  <si>
    <t>SEA9BPN6</t>
  </si>
  <si>
    <t>SMART LED GLS 9W DIMMABLE LAMP</t>
  </si>
  <si>
    <t>SLA22RGB9W81</t>
  </si>
  <si>
    <t>LED GLS RGB 9W DIMMABLE BULB</t>
  </si>
  <si>
    <t>SLA22RGB9W81-01</t>
  </si>
  <si>
    <t>3.0MM PVC BLUE SLEEVING 100M/RL</t>
  </si>
  <si>
    <t>SLBLU3R</t>
  </si>
  <si>
    <t>3.0MM PVC BROWN SLEEVING 100M/RL</t>
  </si>
  <si>
    <t>SLBRN3R</t>
  </si>
  <si>
    <t>3.0MM PVC GREEN / YELLOW SLEEVING 100M/RL</t>
  </si>
  <si>
    <t>SLGY3R</t>
  </si>
  <si>
    <t>EXTERNAL BEND 25x16MM WHITE</t>
  </si>
  <si>
    <t>TEB2WH</t>
  </si>
  <si>
    <t>FLAT BEND 25x16MM WHITE</t>
  </si>
  <si>
    <t>TFB2WH</t>
  </si>
  <si>
    <t>INTERNAL BEND 25x16MM WHITE</t>
  </si>
  <si>
    <t>TIB2WH</t>
  </si>
  <si>
    <t>SLOTTED DIN RAIL, 2M x 35MM x 7.5MM</t>
  </si>
  <si>
    <t>TS35S</t>
  </si>
  <si>
    <t>CABLE TIES 300x4.6MM BLACK 100EA/PK</t>
  </si>
  <si>
    <t>TY-ITS</t>
  </si>
  <si>
    <t>UB300C-B</t>
  </si>
  <si>
    <t>LSF COATED SINGLE FIXING P CLIP 37 BLACK (PACK OF 50)</t>
  </si>
  <si>
    <t>WREXHAM  MINERAL CABLES</t>
  </si>
  <si>
    <t>WRCHL37/BK</t>
  </si>
  <si>
    <t>COPPER BONDED EARTH ROD, 5/8IN x 4FT</t>
  </si>
  <si>
    <t>XCBER458</t>
  </si>
  <si>
    <t>8MM HSS DRILL BIT 10EA/PK</t>
  </si>
  <si>
    <t>YM0800L</t>
  </si>
  <si>
    <t>BUTYL HEAT RESISTANT CABLE, 5-CORE 16MM BLACK TYPE H07RN-F</t>
  </si>
  <si>
    <t>DUCAB</t>
  </si>
  <si>
    <t>5Cx16MM</t>
  </si>
  <si>
    <t>CON 26</t>
  </si>
  <si>
    <t>BUTYL HEAT RESISTANT CABLE, 5-CORE 6MM BLACK TYPE H07RN-F</t>
  </si>
  <si>
    <t>5Cx6MM</t>
  </si>
  <si>
    <t>DRILL, SDS-PLUS HAMMER 2-36V-4AH LI-ION BATTERIES</t>
  </si>
  <si>
    <t>GBH36VF-LIP 24</t>
  </si>
  <si>
    <t>NLZ</t>
  </si>
  <si>
    <t>SHIPPING CONTAINER, 40FT</t>
  </si>
  <si>
    <t>WACOL</t>
  </si>
  <si>
    <t xml:space="preserve">EMCU9173560 </t>
  </si>
  <si>
    <t>EBOM YARD</t>
  </si>
  <si>
    <t>Storage</t>
  </si>
  <si>
    <t>EMCU9182984</t>
  </si>
  <si>
    <t>MSCU9724929</t>
  </si>
  <si>
    <t>MSCU9955511</t>
  </si>
  <si>
    <t>WHLU5942613</t>
  </si>
  <si>
    <t>ELECTRIC ANGLE GRINDER, 110V 4-½" (115MM)</t>
  </si>
  <si>
    <t>MAKITA</t>
  </si>
  <si>
    <t>GA4530R</t>
  </si>
  <si>
    <t>CRIMPING TOOL FOR LUGS WITH INTERCHANGEABLE DIES, 6-150MM</t>
  </si>
  <si>
    <t>K354</t>
  </si>
  <si>
    <t>K09</t>
  </si>
  <si>
    <t>SYNCRO CRIMPING TOOL FOR DIN COMPRESSION CABLE LUGS &amp; CONNECTORS 25-150MM</t>
  </si>
  <si>
    <t>021016</t>
  </si>
  <si>
    <t>HAND HYDRAULIC PUNCH DRIVER SET</t>
  </si>
  <si>
    <t>WAB</t>
  </si>
  <si>
    <t>ANGLE GRINDER, CORDLESS XR, 18V</t>
  </si>
  <si>
    <t>DCG412</t>
  </si>
  <si>
    <t>DRILL, CORDLESS XR SDS PLUS HAMMER, 18V</t>
  </si>
  <si>
    <t>DCH253</t>
  </si>
  <si>
    <t>JIG SAW, CORDLESS XR, 18V</t>
  </si>
  <si>
    <t>DCS334</t>
  </si>
  <si>
    <t>100x100MM INTERNAL FABRICATED BEND 90 DEGREE WHITE</t>
  </si>
  <si>
    <t>TIAS100WH</t>
  </si>
  <si>
    <t>PROFESSIONAL COMBI LASER</t>
  </si>
  <si>
    <t>GCL2-50G</t>
  </si>
  <si>
    <t>CIRCUIT BREAKER MECHANICAL LUG KIT, 400-600A 3P</t>
  </si>
  <si>
    <t>AL600LS52K3</t>
  </si>
  <si>
    <t>A9F54163</t>
  </si>
  <si>
    <t>GROUNDING KIT, HEAVY DUTY SAFETY SWITCH, 200A TYPE 82,000</t>
  </si>
  <si>
    <t>DT100SG</t>
  </si>
  <si>
    <t>25MM 1 CORE GREEN/YELLOW CABLE</t>
  </si>
  <si>
    <t>CON 27</t>
  </si>
  <si>
    <t>2.5MM 5 CORE FLEXIBLE CABLE EPR PCP</t>
  </si>
  <si>
    <t>5CX2.5MM</t>
  </si>
  <si>
    <t>MODULAR ENCLOSURE, KAEDRA, 1 x 18 MODULES, 1 TB IP65</t>
  </si>
  <si>
    <t>COMB BUSBAR, ACTI 9, 100A 1P 24MOD</t>
  </si>
  <si>
    <t>A9XPH124</t>
  </si>
  <si>
    <t>TERMINAL BLOCK, 125A 14 HOLES</t>
  </si>
  <si>
    <t>COPPER LUGS 10MM HOLE FOR 70MM CABLE 100EA/PK</t>
  </si>
  <si>
    <t>631005-PK</t>
  </si>
  <si>
    <t>TWIN THREAD COUNTERSUNK POZI BZP 8x1.5", 200EA/BX</t>
  </si>
  <si>
    <t>UNICRIMP</t>
  </si>
  <si>
    <t>QWS8-15</t>
  </si>
  <si>
    <t>PVC ADAPTABLE BOX, COMBI 308/5, BLACK, IP66/67, 85x85x51MM</t>
  </si>
  <si>
    <t>M10 PLAIN CHANNEL NUT BZP</t>
  </si>
  <si>
    <t>085-196-215</t>
  </si>
  <si>
    <t>M10 x 30MM HIGH TENS HEXAGON HEAD SET SCREW BZP</t>
  </si>
  <si>
    <t>088-183-030</t>
  </si>
  <si>
    <t>16MM 3 CORE CLASS 5 COPPER CONDUCTOR FLEXIBLE CABLE</t>
  </si>
  <si>
    <t>3CORE X 16MM</t>
  </si>
  <si>
    <t>M25 CW CABLE GLAND PACK</t>
  </si>
  <si>
    <t>25CW2RA</t>
  </si>
  <si>
    <t>50MM BI-METAL HOLE SAW</t>
  </si>
  <si>
    <t>MORSE</t>
  </si>
  <si>
    <t>MHS315</t>
  </si>
  <si>
    <t>48W 5FT IP65 4000K LED SENSOR NON-CORROSIVE FITTING</t>
  </si>
  <si>
    <t>FNCF5HO</t>
  </si>
  <si>
    <t>2.5MM 1 CORE BLUE CABLE 100M</t>
  </si>
  <si>
    <t>1CX2.5MM-BL</t>
  </si>
  <si>
    <t>RR KABEL</t>
  </si>
  <si>
    <t>CABLE, BUTYL HEAT RESISTANT, BLACK SHEATH, 3-CORE 1.5MM, 50M</t>
  </si>
  <si>
    <t>3C X 1.5MM</t>
  </si>
  <si>
    <t>RCCB WITH OVERCURRENT PROTECTION (RCBO), 1P+Ns-C10A-30mA 240V TYPE A</t>
  </si>
  <si>
    <t>A9D11810</t>
  </si>
  <si>
    <t>RCCB WITH OVERCURRENT PROTECTION (RCBO), 1P+Ns-C20A-30mA 240V TYPE A</t>
  </si>
  <si>
    <t>A9D14820</t>
  </si>
  <si>
    <t>CIRCUIT BREAKER, MINIATURE, 63A 1P C 10KA</t>
  </si>
  <si>
    <t>LEVER WIRE CONNECTORS, WIRE CONNECTOR ASSORTMENT PACK COMPACT SPLICING CONNECTOR, 75PC</t>
  </si>
  <si>
    <t>HTCELLE</t>
  </si>
  <si>
    <t>B07NPGV7G2</t>
  </si>
  <si>
    <t>6MM 5 CORE XLPE/LSZH/SWA/LSZH ARMOURED CABLE</t>
  </si>
  <si>
    <t>5CORE X 6MM</t>
  </si>
  <si>
    <t>HEXAGON SHANK DRIVE ARBOR, 13MM</t>
  </si>
  <si>
    <t>CHD32-64HEX</t>
  </si>
  <si>
    <t>PVC MALE ADAPTOR WITH LOCKRING, 20MM, WHITE</t>
  </si>
  <si>
    <t>CMA20W</t>
  </si>
  <si>
    <t>50MM CW ARMOURED CABLE GLAND PACK</t>
  </si>
  <si>
    <t>PACG50CW</t>
  </si>
  <si>
    <t>ISOLATOR INSULATION BOX EMERGENCY TYPE, 32A 3P 415V IP66/67/69</t>
  </si>
  <si>
    <t>GW70435P</t>
  </si>
  <si>
    <t>25MM 4 CORE CU/XLPE/SWA/LSZH ARMOURED CABLE</t>
  </si>
  <si>
    <t>4CX25MM</t>
  </si>
  <si>
    <t>25CW PVC SWA GLAND PACK, OUTDOOR</t>
  </si>
  <si>
    <t>HA25CW</t>
  </si>
  <si>
    <t>40CW PVC SWA GLAND PACK, OUTDOOR</t>
  </si>
  <si>
    <t>HA40CW</t>
  </si>
  <si>
    <t>8 WAY CONSUMER UNIT C/W DOOR, DIN RAIL, EARTH &amp; NEUTRAL BARS, BLANKS, RATING LABELS IP65</t>
  </si>
  <si>
    <t>ESR</t>
  </si>
  <si>
    <t>HA8</t>
  </si>
  <si>
    <t>PLATE SWITCH, 10A 1G SP 2 WAY</t>
  </si>
  <si>
    <t>K4871WHI</t>
  </si>
  <si>
    <t>COMPRESSION GLAND WITH LOCK NUT, BLACK, CABLE RANGE 6-12MM, IP68, M20 x 1.5</t>
  </si>
  <si>
    <t>M20GB</t>
  </si>
  <si>
    <t>COMPRESSION GLAND WITH LOCK NUT, GREY, 32MM, IP68, 10EA/PK</t>
  </si>
  <si>
    <t>M32G</t>
  </si>
  <si>
    <t>COMPRESSION GLAND WITH LOCK NUT, GREY 50MM IP68 10EA/PK</t>
  </si>
  <si>
    <t>M50G</t>
  </si>
  <si>
    <t>FILLER PLATES</t>
  </si>
  <si>
    <t>NFFP15</t>
  </si>
  <si>
    <t>5.5 x 20MM HEAVY DUTY SELF DRILLING SCREW (PACK OF 200)</t>
  </si>
  <si>
    <t>OBX-HD-5.5X20-200</t>
  </si>
  <si>
    <t>4-HOLE FLAT T-SHAPED FITTING, HOT DIP GALVANIZED</t>
  </si>
  <si>
    <t>P1031HG</t>
  </si>
  <si>
    <t>SURFACE BOX SQUARE EDGE 2G 32MM WHITE</t>
  </si>
  <si>
    <t>BRITISH GENERAL</t>
  </si>
  <si>
    <t>STEEL SPACER BAR SADDLE 20MM</t>
  </si>
  <si>
    <t>SSBS20W</t>
  </si>
  <si>
    <t>HEAVY DUTY DISTRIBUTION BOARD STEEL DOOR, 3P 125A 6 WAYS ACTI9 ISOBAR IP55 (SEA9BPW6HDGR) + SWITCH DISCONNECTOR, 3P+N 125A (SEA91253N)</t>
  </si>
  <si>
    <t>SEA9BPW6HDGR + SEA91253N</t>
  </si>
  <si>
    <t>SWIFTS 100MM HOT DIPPED GALVANIZED RETURN FLANGE HEAVY DUTY CABLE TRAY, 3 METER</t>
  </si>
  <si>
    <t>SRFL100G</t>
  </si>
  <si>
    <t>100MM STAND OFF BRACKET FOR CABLE TRAY</t>
  </si>
  <si>
    <t>TAMLEX</t>
  </si>
  <si>
    <t>STO4</t>
  </si>
  <si>
    <t>HSS DRILL BIT, 6MM SPLIT POINT</t>
  </si>
  <si>
    <t>T3100 06</t>
  </si>
  <si>
    <t>3-HOLE FLAT BEND PLATE FOR STRUT, 14MM HOLE</t>
  </si>
  <si>
    <t>TB161</t>
  </si>
  <si>
    <t>CABLE TIE, BLACK, 4.8x300MM 100EA/PK</t>
  </si>
  <si>
    <t>STRAIGHT RESIN JOINT KIT FOR CABLES UP TO 16MM 4 CORE</t>
  </si>
  <si>
    <t>CM1+C</t>
  </si>
  <si>
    <t>120MM 4 CORE CU/XLPE/SWA/PVC ARMOURED CABLE</t>
  </si>
  <si>
    <t>4CX120MM</t>
  </si>
  <si>
    <t>16MM 1 CORE GREEN/YELLOW CABLE</t>
  </si>
  <si>
    <t>1CX16MM-G/Y</t>
  </si>
  <si>
    <t>35MM 4 CORE CU/XLPE/SWA/LSZH ARMOURED CABLE</t>
  </si>
  <si>
    <t>4CX35MM</t>
  </si>
  <si>
    <t>COPPER TUBE TERMINAL 35-8MM</t>
  </si>
  <si>
    <t>35-8TQ</t>
  </si>
  <si>
    <t>35MM 1 CORE GREEN/YELLOW CABLE</t>
  </si>
  <si>
    <t>1CX35MM-G/Y</t>
  </si>
  <si>
    <t>70MM 1 CORE GREEN/YELLOW CABLE</t>
  </si>
  <si>
    <t>1CX70MM-G/Y</t>
  </si>
  <si>
    <t>1CX25MM-G/Y</t>
  </si>
  <si>
    <t>10MM 3 CORE CU/XLPE/SWA/PVC ARMOURED CABLE</t>
  </si>
  <si>
    <t>3CX10MM</t>
  </si>
  <si>
    <t>10MM 4 CORE CU/XLPE/SWA/PVC ARMOURED CABLE</t>
  </si>
  <si>
    <t>4CX10MM</t>
  </si>
  <si>
    <t>70MM 4 CORE CU/XLPE/SWA/PVC ARMOURED CABLE</t>
  </si>
  <si>
    <t>4CX70MM</t>
  </si>
  <si>
    <t>PRO SDS DRILL 12x160MM</t>
  </si>
  <si>
    <t>F4PPROSDS12.0X160</t>
  </si>
  <si>
    <t>EQUIPMENT GROUNDING BAR KIT, 12 TERMINALS, QO LOAD CENTER ACCESSORY</t>
  </si>
  <si>
    <t>PK12GTA</t>
  </si>
  <si>
    <t>LOAD CENTER, QO 3P 20 SPACES 20 CIRCUITS 125A FIXED MAIN LUGS, GND BAR</t>
  </si>
  <si>
    <t>SQUARE D</t>
  </si>
  <si>
    <t>QO320L125GRB</t>
  </si>
  <si>
    <t>CIRCUIT BREAKER, 20A 1P 277V</t>
  </si>
  <si>
    <t>EDB14020</t>
  </si>
  <si>
    <t>CIRCUIT BREAKER, 30A 1P 277V</t>
  </si>
  <si>
    <t>EDB14030</t>
  </si>
  <si>
    <t>CIRCUIT BREAKER, 40A 1P 277V</t>
  </si>
  <si>
    <t>EDB14040</t>
  </si>
  <si>
    <t>CIRCUIT BREAKER, 60A 1P 277V</t>
  </si>
  <si>
    <t>EDB14060</t>
  </si>
  <si>
    <t>PLUG-ON CIRCUIT BREAKER, 100A 3P 240V</t>
  </si>
  <si>
    <t>QO3100</t>
  </si>
  <si>
    <t>TYPE B PON DISTRIBUTION BOARD, 3P+N 250A 18WAYS 230/415V ACTI9 ISOBAR P</t>
  </si>
  <si>
    <t>SEA9BPN18</t>
  </si>
  <si>
    <t>MODULAR ENCLOSURE, KAEDRA, 2 x 12 MODULES, 1+1 TERMINAL BLOCK IP65</t>
  </si>
  <si>
    <t>PVC SWA CABLE CLEATS, 22.7 TO 25.4MM NO.10 100EA/PK</t>
  </si>
  <si>
    <t>0004-4143-PK</t>
  </si>
  <si>
    <t>25MM CW ARMOURED CABLE GLAND PACK (PACK OF 2)</t>
  </si>
  <si>
    <t>PACG25CW</t>
  </si>
  <si>
    <t>1 GANG BLANK PLATE WHITE</t>
  </si>
  <si>
    <t>CLICK SCOLMORE</t>
  </si>
  <si>
    <t>CMA060</t>
  </si>
  <si>
    <t>4 INCH "NO RESIST" BACK DRAUGHT GRILLE, WHITE</t>
  </si>
  <si>
    <t>TORNADO</t>
  </si>
  <si>
    <t>NVT ESG4W</t>
  </si>
  <si>
    <t>FILTERLESS EXTRACT FAN</t>
  </si>
  <si>
    <t>ENVIROVENT</t>
  </si>
  <si>
    <t>EFHT2S-230V</t>
  </si>
  <si>
    <t>LOCKING ARBOR WITH HSS PILOT DRILL DIA 38-210MM</t>
  </si>
  <si>
    <t>A17-38</t>
  </si>
  <si>
    <t>BI-METAL HOLE SAW, FAST CUT, 68MM</t>
  </si>
  <si>
    <t>FCH068M-G</t>
  </si>
  <si>
    <t>100A TERMINAL BLOCK 1P</t>
  </si>
  <si>
    <t>SEA9TB1001</t>
  </si>
  <si>
    <t>EARTH BAR 14 HOLES ACTI9 ISOBAR B</t>
  </si>
  <si>
    <t>SEA9NEK1</t>
  </si>
  <si>
    <t>TYPE B MOD EXTENSION BOX 13 WAYS ACTI9 ISOBAR</t>
  </si>
  <si>
    <t>SEA9BNEX034N</t>
  </si>
  <si>
    <t>TYPE B PON DISTRIBUTION BOARD, 3P+N 250A 24WAYS 230/415V ACTI9 ISOBAR P</t>
  </si>
  <si>
    <t>SEA9BPN24</t>
  </si>
  <si>
    <t>12x150x210MM HAMMER DRILL BIT SDS PLUS 3"</t>
  </si>
  <si>
    <t>CABLE TIE, 610MM x 9MM BLACK 100EA/PK</t>
  </si>
  <si>
    <t>811-1672</t>
  </si>
  <si>
    <t>18V XR BRUSHLESS RECIPROCATING SAW - SN NA007584</t>
  </si>
  <si>
    <t>DCS382</t>
  </si>
  <si>
    <t>BLUE THROUGH CRIMP LUGS FOR 2.5MM CABLES (PACK OF 100)</t>
  </si>
  <si>
    <t>FEMALE BRASS BUSH, 63MM</t>
  </si>
  <si>
    <t>CF-FBUSH63</t>
  </si>
  <si>
    <t>PZ DOUBLE-COUNTERSUNK SELF-TAPPING SCREWS 5MM x100MM (PACK OF 100)</t>
  </si>
  <si>
    <t>GOLDSCREW</t>
  </si>
  <si>
    <t>BI-METAL MHS HOLESAW 2-1/2" 64MM</t>
  </si>
  <si>
    <t>MHS40</t>
  </si>
  <si>
    <t>COBRA XL WATER PUMP PLIER 400MM</t>
  </si>
  <si>
    <t>KNIPEX</t>
  </si>
  <si>
    <t>8701400SB</t>
  </si>
  <si>
    <t>M6 LONG SPRING CHANNEL NUT</t>
  </si>
  <si>
    <t>TN6LS</t>
  </si>
  <si>
    <t>ROOFING BOLTS AND NUTS, 6 x 16MM</t>
  </si>
  <si>
    <t>RNB616</t>
  </si>
  <si>
    <t>M8 LONG SPRING CHANNEL NUTS BZP</t>
  </si>
  <si>
    <t>CNL8-EA</t>
  </si>
  <si>
    <t>M8 x 25 ROOFING NUTS &amp; BOLTS (PACK OF 100)</t>
  </si>
  <si>
    <t>085-185-020</t>
  </si>
  <si>
    <t>M8x25MM HEX SET SCREW BZP + M8 HEX NUT</t>
  </si>
  <si>
    <t>HEX825 + TF047</t>
  </si>
  <si>
    <t>MOUNTING ENCLOSURE ABS 400 x 600 x 187MM IP66/67</t>
  </si>
  <si>
    <t>ENSTO</t>
  </si>
  <si>
    <t>OABP406018G</t>
  </si>
  <si>
    <t>MUDGUARD WASHER M8 x 25MM (PACK OF 100)</t>
  </si>
  <si>
    <t>Q-CRIMP</t>
  </si>
  <si>
    <t>QMG8-25</t>
  </si>
  <si>
    <t>63CW PVC SWA GLAND PACK, OUTDOOR</t>
  </si>
  <si>
    <t>HA63CW</t>
  </si>
  <si>
    <t>RAWLBOLTS M6 x 70MM (PACK OF 5)</t>
  </si>
  <si>
    <t>RAWPLUG</t>
  </si>
  <si>
    <t>CARBON STEEL ANCHOR BOLT M8 x 65MM 8MM FIXING HOLE</t>
  </si>
  <si>
    <t>908-6952</t>
  </si>
  <si>
    <t>SDS DRILL BIT 6 x 250 x 310MM</t>
  </si>
  <si>
    <t>FAITHFULL</t>
  </si>
  <si>
    <t>FAISDS6310</t>
  </si>
  <si>
    <t>BUTT SPLICE YELLOW 4-6MM CABLE</t>
  </si>
  <si>
    <t>6BSL-EA</t>
  </si>
  <si>
    <t>PVC SWA CABLE CLEATS, 45.6 TO 50.8MM NO.20</t>
  </si>
  <si>
    <t>0004-4161</t>
  </si>
  <si>
    <t>COPPER TUBE TERMINAL 120-10MM</t>
  </si>
  <si>
    <t>120-10TQ</t>
  </si>
  <si>
    <t>35MM 1 CORE BLACK CABLE</t>
  </si>
  <si>
    <t>1CX35MM-BLK</t>
  </si>
  <si>
    <t>35MM 1 CORE BLUE CABLE</t>
  </si>
  <si>
    <t>1CX35MM-BLU</t>
  </si>
  <si>
    <t>1CX35MM-GR/YL</t>
  </si>
  <si>
    <t>UNINSULATED REDUCING PIN 35MM</t>
  </si>
  <si>
    <t>35UP</t>
  </si>
  <si>
    <t>PVC SWA CABLE CLEATS, 25.3 TO 27.7MM NO.11 100EA/PK</t>
  </si>
  <si>
    <t>0004-4146-PK</t>
  </si>
  <si>
    <t>100x50MM PVC CABLE TRUNKING C/W LID, 3M</t>
  </si>
  <si>
    <t>MCT100</t>
  </si>
  <si>
    <t>MALE BRASS BUSH, SHORT, 63MM</t>
  </si>
  <si>
    <t>CCM SUPPLIES LTD</t>
  </si>
  <si>
    <t>CFMBS63</t>
  </si>
  <si>
    <t>NSX MCCB INCOMER, ACTI9 ISOBAR P, 250A, 4P WITH EXTENSION ENCLOSURE FOR B BOARD</t>
  </si>
  <si>
    <t>SEA9PQCB2504</t>
  </si>
  <si>
    <t>TRI-RATED SINGLE CORE 35MM PVC CABLE, BROWN</t>
  </si>
  <si>
    <t>A2TBR035L</t>
  </si>
  <si>
    <t>TRI-RATED SINGLE CORE 35MM PVC CABLE, GREY</t>
  </si>
  <si>
    <t>A2TGR035</t>
  </si>
  <si>
    <t>MAXI TRUNKING, 50MMx50MM x 3M, PVC WHITE</t>
  </si>
  <si>
    <t>CMXT 22W</t>
  </si>
  <si>
    <t>MAXI TRUNKING, 75MMx50MM x 3M, PVC WHITE</t>
  </si>
  <si>
    <t>CMXT 32W</t>
  </si>
  <si>
    <t>COMPRESSION GLAND, GREY 40MM IP68 10EA/PK</t>
  </si>
  <si>
    <t>HAM40G</t>
  </si>
  <si>
    <t>BI-METAL MHS HOLESAW, 40MM</t>
  </si>
  <si>
    <t>MHS25</t>
  </si>
  <si>
    <t>MINI TRUNKING, 38MMx25MM x 3M, PVC WHITE</t>
  </si>
  <si>
    <t>MMT4WH</t>
  </si>
  <si>
    <t>DOUBLE THROW SAFETY SWITCH 400A 600V 4P 4 WIRE NON-FUSED NEMA 12</t>
  </si>
  <si>
    <t>DT465UDK</t>
  </si>
  <si>
    <t>25MM MALE ADAPTOR WITH LOCKRING, WHITE</t>
  </si>
  <si>
    <t>CMA 25W</t>
  </si>
  <si>
    <t>1C X 25MM</t>
  </si>
  <si>
    <t>THREADED BUSBAR, 25x4MM x 1M, M6 THREAD, 4EA/PK</t>
  </si>
  <si>
    <t>NVENT</t>
  </si>
  <si>
    <t>CABLE CUTTER, 3 STAGE DRIVE RATCHET</t>
  </si>
  <si>
    <t>95 32 320</t>
  </si>
  <si>
    <t>ARBOR FOR 32-152MM HOLESAW</t>
  </si>
  <si>
    <t>F4P32152AR</t>
  </si>
  <si>
    <t>41MMx41MMx2.5MM SLOTTED CHANNEL STRUT 3M</t>
  </si>
  <si>
    <t xml:space="preserve">TAMLEX </t>
  </si>
  <si>
    <t>TS41S-3</t>
  </si>
  <si>
    <t>4 HOLE FLAT TEE BRACKET</t>
  </si>
  <si>
    <t>FB121</t>
  </si>
  <si>
    <t>M20 x 1.5 COMPRESSION GLAND, GREY, 6-12MM, IP68, 10EA/PK</t>
  </si>
  <si>
    <t>M20G</t>
  </si>
  <si>
    <t>PVC SWA CABLE CLEATS, 25.3 TO 27.7MM NO.11 50EA/PK</t>
  </si>
  <si>
    <t>0004-4146-50</t>
  </si>
  <si>
    <t>CMA20W-BX</t>
  </si>
  <si>
    <t>32MM 2G SOCKET BOX RADIUS EDGE</t>
  </si>
  <si>
    <t>FINELITE</t>
  </si>
  <si>
    <t>PP2G35R</t>
  </si>
  <si>
    <t>HEAVY DUTY DISTRIBUTION BOARD ACTI9 ISOBAR P B 3P 125A 6 WAYS IP55 230/400V</t>
  </si>
  <si>
    <t>SEA9BPW6HDGK</t>
  </si>
  <si>
    <t>HEAVY DUTY DISTRIBUTION BOARD ACTI9
ISOBAR P B 125A 16 WAYS IP55 230/415V</t>
  </si>
  <si>
    <t>SEA9BPW16HDGR</t>
  </si>
  <si>
    <t>ERBIL</t>
  </si>
  <si>
    <t>CON 18</t>
  </si>
  <si>
    <t>CRATE 04</t>
  </si>
  <si>
    <t>CRATE 02</t>
  </si>
  <si>
    <t>CRATE 03</t>
  </si>
  <si>
    <t>CON 05 - 46 L2 GV</t>
  </si>
  <si>
    <t>CRATE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</si>
</sst>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409]dd/mmm/yy;@"/>
    <numFmt numFmtId="166" formatCode="[$-409]dd\-mmm\-yy;@"/>
  </numFmts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center" wrapText="1"/>
    </xf>
    <xf numFmtId="0" fontId="0" fillId="0" borderId="0" xfId="0" applyAlignment="1">
      <alignment wrapText="1"/>
    </xf>
    <xf numFmtId="164" fontId="5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9983-F739-4D18-B95A-593402D58BEA}">
  <dimension ref="A1:K849"/>
  <sheetViews>
    <sheetView tabSelected="1" zoomScale="110" zoomScaleNormal="110" zoomScaleSheetLayoutView="80" workbookViewId="0">
      <pane xSplit="4" ySplit="1" topLeftCell="E2" activePane="bottomRight" state="frozen"/>
      <selection activeCell="H737" sqref="H737"/>
      <selection pane="topRight" activeCell="H737" sqref="H737"/>
      <selection pane="bottomLeft" activeCell="H737" sqref="H737"/>
      <selection pane="bottomRight" activeCell="C9" sqref="C9"/>
    </sheetView>
  </sheetViews>
  <sheetFormatPr defaultColWidth="9.140625" defaultRowHeight="12.75" customHeight="1" x14ac:dyDescent="0.25"/>
  <cols>
    <col min="1" max="1" width="5.7109375" style="1" customWidth="1"/>
    <col min="2" max="2" width="52" style="3" customWidth="1"/>
    <col min="3" max="3" width="25.7109375" style="3" customWidth="1"/>
    <col min="4" max="4" width="19" style="4" bestFit="1" customWidth="1"/>
    <col min="5" max="5" width="6.42578125" style="1" customWidth="1"/>
    <col min="6" max="6" width="7.42578125" style="1" customWidth="1"/>
    <col min="7" max="7" width="12.7109375" style="6" customWidth="1"/>
    <col min="8" max="8" width="14.85546875" style="6" customWidth="1"/>
    <col min="9" max="9" width="13.85546875" style="28" customWidth="1"/>
    <col min="10" max="11" width="13.42578125" style="1" customWidth="1"/>
    <col min="12" max="16384" width="9.140625" style="1"/>
  </cols>
  <sheetData>
    <row r="1" spans="1:11" s="17" customFormat="1" ht="50.25" customHeight="1" x14ac:dyDescent="0.15">
      <c r="A1" s="11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4" t="s">
        <v>6</v>
      </c>
      <c r="H1" s="14" t="s">
        <v>7</v>
      </c>
      <c r="I1" s="29" t="s">
        <v>8</v>
      </c>
      <c r="J1" s="15" t="s">
        <v>9</v>
      </c>
      <c r="K1" s="15" t="s">
        <v>10</v>
      </c>
    </row>
    <row r="2" spans="1:11" s="7" customFormat="1" x14ac:dyDescent="0.25">
      <c r="A2" s="18">
        <v>1</v>
      </c>
      <c r="B2" s="12" t="s">
        <v>1345</v>
      </c>
      <c r="C2" s="12" t="s">
        <v>39</v>
      </c>
      <c r="D2" s="13">
        <v>14965</v>
      </c>
      <c r="E2" s="19" t="s">
        <v>14</v>
      </c>
      <c r="F2" s="19">
        <v>5</v>
      </c>
      <c r="G2" s="20">
        <v>11.94</v>
      </c>
      <c r="H2" s="20">
        <f t="shared" ref="H2:H65" si="0">F2*G2</f>
        <v>59.699999999999996</v>
      </c>
      <c r="I2" s="12" t="s">
        <v>15</v>
      </c>
      <c r="J2" s="22" t="s">
        <v>16</v>
      </c>
      <c r="K2" s="22" t="s">
        <v>17</v>
      </c>
    </row>
    <row r="3" spans="1:11" s="7" customFormat="1" x14ac:dyDescent="0.25">
      <c r="A3" s="18">
        <v>2</v>
      </c>
      <c r="B3" s="12" t="s">
        <v>1024</v>
      </c>
      <c r="C3" s="12" t="s">
        <v>63</v>
      </c>
      <c r="D3" s="13">
        <v>630605</v>
      </c>
      <c r="E3" s="19" t="s">
        <v>14</v>
      </c>
      <c r="F3" s="19">
        <v>10</v>
      </c>
      <c r="G3" s="20">
        <v>0.45</v>
      </c>
      <c r="H3" s="20">
        <f t="shared" si="0"/>
        <v>4.5</v>
      </c>
      <c r="I3" s="12" t="s">
        <v>15</v>
      </c>
      <c r="J3" s="22" t="s">
        <v>16</v>
      </c>
      <c r="K3" s="22" t="s">
        <v>17</v>
      </c>
    </row>
    <row r="4" spans="1:11" s="7" customFormat="1" x14ac:dyDescent="0.25">
      <c r="A4" s="18">
        <v>3</v>
      </c>
      <c r="B4" s="12" t="s">
        <v>11</v>
      </c>
      <c r="C4" s="12" t="s">
        <v>12</v>
      </c>
      <c r="D4" s="13" t="s">
        <v>13</v>
      </c>
      <c r="E4" s="19" t="s">
        <v>14</v>
      </c>
      <c r="F4" s="19">
        <v>19</v>
      </c>
      <c r="G4" s="20">
        <v>90.2</v>
      </c>
      <c r="H4" s="20">
        <f t="shared" si="0"/>
        <v>1713.8</v>
      </c>
      <c r="I4" s="12" t="s">
        <v>15</v>
      </c>
      <c r="J4" s="22" t="s">
        <v>16</v>
      </c>
      <c r="K4" s="22" t="s">
        <v>17</v>
      </c>
    </row>
    <row r="5" spans="1:11" s="7" customFormat="1" x14ac:dyDescent="0.25">
      <c r="A5" s="18">
        <v>4</v>
      </c>
      <c r="B5" s="12" t="s">
        <v>865</v>
      </c>
      <c r="C5" s="12" t="s">
        <v>212</v>
      </c>
      <c r="D5" s="13" t="s">
        <v>866</v>
      </c>
      <c r="E5" s="19" t="s">
        <v>24</v>
      </c>
      <c r="F5" s="19">
        <v>6</v>
      </c>
      <c r="G5" s="20">
        <v>11.23</v>
      </c>
      <c r="H5" s="20">
        <f t="shared" si="0"/>
        <v>67.38</v>
      </c>
      <c r="I5" s="12" t="s">
        <v>15</v>
      </c>
      <c r="J5" s="22" t="s">
        <v>16</v>
      </c>
      <c r="K5" s="22" t="s">
        <v>17</v>
      </c>
    </row>
    <row r="6" spans="1:11" s="7" customFormat="1" x14ac:dyDescent="0.25">
      <c r="A6" s="18">
        <v>5</v>
      </c>
      <c r="B6" s="12" t="s">
        <v>1352</v>
      </c>
      <c r="C6" s="12" t="s">
        <v>212</v>
      </c>
      <c r="D6" s="13" t="s">
        <v>1353</v>
      </c>
      <c r="E6" s="19" t="s">
        <v>191</v>
      </c>
      <c r="F6" s="19">
        <v>2</v>
      </c>
      <c r="G6" s="20">
        <v>42.1</v>
      </c>
      <c r="H6" s="20">
        <f t="shared" si="0"/>
        <v>84.2</v>
      </c>
      <c r="I6" s="12" t="s">
        <v>15</v>
      </c>
      <c r="J6" s="22" t="s">
        <v>16</v>
      </c>
      <c r="K6" s="22" t="s">
        <v>17</v>
      </c>
    </row>
    <row r="7" spans="1:11" s="7" customFormat="1" ht="25.5" x14ac:dyDescent="0.25">
      <c r="A7" s="18">
        <v>6</v>
      </c>
      <c r="B7" s="12" t="s">
        <v>1354</v>
      </c>
      <c r="C7" s="12" t="s">
        <v>212</v>
      </c>
      <c r="D7" s="13" t="s">
        <v>1355</v>
      </c>
      <c r="E7" s="19" t="s">
        <v>191</v>
      </c>
      <c r="F7" s="19">
        <v>2</v>
      </c>
      <c r="G7" s="20">
        <v>21.93</v>
      </c>
      <c r="H7" s="20">
        <f t="shared" si="0"/>
        <v>43.86</v>
      </c>
      <c r="I7" s="12" t="s">
        <v>15</v>
      </c>
      <c r="J7" s="22" t="s">
        <v>16</v>
      </c>
      <c r="K7" s="22" t="s">
        <v>17</v>
      </c>
    </row>
    <row r="8" spans="1:11" s="7" customFormat="1" x14ac:dyDescent="0.25">
      <c r="A8" s="18">
        <v>7</v>
      </c>
      <c r="B8" s="12" t="s">
        <v>18</v>
      </c>
      <c r="C8" s="12" t="s">
        <v>19</v>
      </c>
      <c r="D8" s="13" t="s">
        <v>20</v>
      </c>
      <c r="E8" s="19" t="s">
        <v>14</v>
      </c>
      <c r="F8" s="19">
        <v>150</v>
      </c>
      <c r="G8" s="20">
        <v>1.2</v>
      </c>
      <c r="H8" s="20">
        <f t="shared" si="0"/>
        <v>180</v>
      </c>
      <c r="I8" s="12" t="s">
        <v>15</v>
      </c>
      <c r="J8" s="22" t="s">
        <v>16</v>
      </c>
      <c r="K8" s="22" t="s">
        <v>17</v>
      </c>
    </row>
    <row r="9" spans="1:11" s="7" customFormat="1" x14ac:dyDescent="0.25">
      <c r="A9" s="18">
        <v>8</v>
      </c>
      <c r="B9" s="12" t="s">
        <v>21</v>
      </c>
      <c r="C9" s="12" t="s">
        <v>22</v>
      </c>
      <c r="D9" s="13" t="s">
        <v>23</v>
      </c>
      <c r="E9" s="19" t="s">
        <v>24</v>
      </c>
      <c r="F9" s="19">
        <v>467</v>
      </c>
      <c r="G9" s="20">
        <v>6.4</v>
      </c>
      <c r="H9" s="20">
        <f t="shared" si="0"/>
        <v>2988.8</v>
      </c>
      <c r="I9" s="12" t="s">
        <v>15</v>
      </c>
      <c r="J9" s="22" t="s">
        <v>16</v>
      </c>
      <c r="K9" s="22" t="s">
        <v>17</v>
      </c>
    </row>
    <row r="10" spans="1:11" s="7" customFormat="1" ht="28.5" customHeight="1" x14ac:dyDescent="0.25">
      <c r="A10" s="18">
        <v>9</v>
      </c>
      <c r="B10" s="12" t="s">
        <v>1358</v>
      </c>
      <c r="C10" s="12" t="s">
        <v>884</v>
      </c>
      <c r="D10" s="13" t="s">
        <v>1359</v>
      </c>
      <c r="E10" s="19" t="s">
        <v>24</v>
      </c>
      <c r="F10" s="19">
        <v>1</v>
      </c>
      <c r="G10" s="20">
        <v>14.799999999999999</v>
      </c>
      <c r="H10" s="20">
        <f t="shared" si="0"/>
        <v>14.799999999999999</v>
      </c>
      <c r="I10" s="12" t="s">
        <v>15</v>
      </c>
      <c r="J10" s="22" t="s">
        <v>16</v>
      </c>
      <c r="K10" s="22" t="s">
        <v>17</v>
      </c>
    </row>
    <row r="11" spans="1:11" s="7" customFormat="1" x14ac:dyDescent="0.25">
      <c r="A11" s="18">
        <v>10</v>
      </c>
      <c r="B11" s="12" t="s">
        <v>25</v>
      </c>
      <c r="C11" s="12" t="s">
        <v>22</v>
      </c>
      <c r="D11" s="13" t="s">
        <v>26</v>
      </c>
      <c r="E11" s="19" t="s">
        <v>24</v>
      </c>
      <c r="F11" s="19">
        <v>476</v>
      </c>
      <c r="G11" s="20">
        <v>11.6</v>
      </c>
      <c r="H11" s="20">
        <f t="shared" si="0"/>
        <v>5521.5999999999995</v>
      </c>
      <c r="I11" s="12" t="s">
        <v>15</v>
      </c>
      <c r="J11" s="22" t="s">
        <v>16</v>
      </c>
      <c r="K11" s="22" t="s">
        <v>17</v>
      </c>
    </row>
    <row r="12" spans="1:11" s="7" customFormat="1" ht="28.5" customHeight="1" x14ac:dyDescent="0.25">
      <c r="A12" s="18">
        <v>11</v>
      </c>
      <c r="B12" s="12" t="s">
        <v>27</v>
      </c>
      <c r="C12" s="12" t="s">
        <v>28</v>
      </c>
      <c r="D12" s="13" t="s">
        <v>29</v>
      </c>
      <c r="E12" s="19" t="s">
        <v>24</v>
      </c>
      <c r="F12" s="19">
        <v>72</v>
      </c>
      <c r="G12" s="20">
        <v>61.6</v>
      </c>
      <c r="H12" s="20">
        <f t="shared" si="0"/>
        <v>4435.2</v>
      </c>
      <c r="I12" s="12" t="s">
        <v>15</v>
      </c>
      <c r="J12" s="22" t="s">
        <v>16</v>
      </c>
      <c r="K12" s="22" t="s">
        <v>17</v>
      </c>
    </row>
    <row r="13" spans="1:11" s="7" customFormat="1" x14ac:dyDescent="0.25">
      <c r="A13" s="18">
        <v>12</v>
      </c>
      <c r="B13" s="12" t="s">
        <v>30</v>
      </c>
      <c r="C13" s="12" t="s">
        <v>31</v>
      </c>
      <c r="D13" s="13" t="s">
        <v>32</v>
      </c>
      <c r="E13" s="12" t="s">
        <v>14</v>
      </c>
      <c r="F13" s="12">
        <v>235</v>
      </c>
      <c r="G13" s="14">
        <v>1.37</v>
      </c>
      <c r="H13" s="20">
        <f t="shared" si="0"/>
        <v>321.95000000000005</v>
      </c>
      <c r="I13" s="12" t="s">
        <v>15</v>
      </c>
      <c r="J13" s="22" t="s">
        <v>16</v>
      </c>
      <c r="K13" s="22" t="s">
        <v>17</v>
      </c>
    </row>
    <row r="14" spans="1:11" s="7" customFormat="1" x14ac:dyDescent="0.25">
      <c r="A14" s="18">
        <v>13</v>
      </c>
      <c r="B14" s="12" t="s">
        <v>33</v>
      </c>
      <c r="C14" s="12" t="s">
        <v>34</v>
      </c>
      <c r="D14" s="13" t="s">
        <v>35</v>
      </c>
      <c r="E14" s="19" t="s">
        <v>14</v>
      </c>
      <c r="F14" s="19">
        <v>477</v>
      </c>
      <c r="G14" s="20">
        <v>1</v>
      </c>
      <c r="H14" s="20">
        <f t="shared" si="0"/>
        <v>477</v>
      </c>
      <c r="I14" s="12" t="s">
        <v>15</v>
      </c>
      <c r="J14" s="22" t="s">
        <v>16</v>
      </c>
      <c r="K14" s="22" t="s">
        <v>17</v>
      </c>
    </row>
    <row r="15" spans="1:11" s="7" customFormat="1" x14ac:dyDescent="0.25">
      <c r="A15" s="18">
        <v>14</v>
      </c>
      <c r="B15" s="12" t="s">
        <v>1435</v>
      </c>
      <c r="C15" s="12" t="s">
        <v>1065</v>
      </c>
      <c r="D15" s="13" t="s">
        <v>1436</v>
      </c>
      <c r="E15" s="19" t="s">
        <v>14</v>
      </c>
      <c r="F15" s="19">
        <v>12</v>
      </c>
      <c r="G15" s="20">
        <v>0.89</v>
      </c>
      <c r="H15" s="20">
        <f t="shared" si="0"/>
        <v>10.68</v>
      </c>
      <c r="I15" s="12" t="s">
        <v>15</v>
      </c>
      <c r="J15" s="22" t="s">
        <v>16</v>
      </c>
      <c r="K15" s="22" t="s">
        <v>17</v>
      </c>
    </row>
    <row r="16" spans="1:11" s="7" customFormat="1" x14ac:dyDescent="0.25">
      <c r="A16" s="18">
        <v>15</v>
      </c>
      <c r="B16" s="12" t="s">
        <v>36</v>
      </c>
      <c r="C16" s="12" t="s">
        <v>28</v>
      </c>
      <c r="D16" s="13" t="s">
        <v>37</v>
      </c>
      <c r="E16" s="19" t="s">
        <v>24</v>
      </c>
      <c r="F16" s="19">
        <v>61</v>
      </c>
      <c r="G16" s="20">
        <v>80.77</v>
      </c>
      <c r="H16" s="20">
        <f t="shared" si="0"/>
        <v>4926.9699999999993</v>
      </c>
      <c r="I16" s="12" t="s">
        <v>15</v>
      </c>
      <c r="J16" s="22" t="s">
        <v>16</v>
      </c>
      <c r="K16" s="22" t="s">
        <v>17</v>
      </c>
    </row>
    <row r="17" spans="1:11" s="7" customFormat="1" ht="25.5" x14ac:dyDescent="0.25">
      <c r="A17" s="18">
        <v>16</v>
      </c>
      <c r="B17" s="12" t="s">
        <v>1378</v>
      </c>
      <c r="C17" s="12" t="s">
        <v>1015</v>
      </c>
      <c r="D17" s="13" t="s">
        <v>1379</v>
      </c>
      <c r="E17" s="19" t="s">
        <v>68</v>
      </c>
      <c r="F17" s="19">
        <v>45</v>
      </c>
      <c r="G17" s="20">
        <v>8.5399999999999991</v>
      </c>
      <c r="H17" s="20">
        <f t="shared" si="0"/>
        <v>384.29999999999995</v>
      </c>
      <c r="I17" s="12" t="s">
        <v>15</v>
      </c>
      <c r="J17" s="22" t="s">
        <v>16</v>
      </c>
      <c r="K17" s="22" t="s">
        <v>17</v>
      </c>
    </row>
    <row r="18" spans="1:11" s="7" customFormat="1" ht="25.5" x14ac:dyDescent="0.25">
      <c r="A18" s="18">
        <v>17</v>
      </c>
      <c r="B18" s="12" t="s">
        <v>1346</v>
      </c>
      <c r="C18" s="12" t="s">
        <v>63</v>
      </c>
      <c r="D18" s="13" t="s">
        <v>1347</v>
      </c>
      <c r="E18" s="19" t="s">
        <v>24</v>
      </c>
      <c r="F18" s="19">
        <v>1</v>
      </c>
      <c r="G18" s="20">
        <v>140.29</v>
      </c>
      <c r="H18" s="20">
        <f t="shared" si="0"/>
        <v>140.29</v>
      </c>
      <c r="I18" s="12" t="s">
        <v>15</v>
      </c>
      <c r="J18" s="22" t="s">
        <v>16</v>
      </c>
      <c r="K18" s="22" t="s">
        <v>17</v>
      </c>
    </row>
    <row r="19" spans="1:11" s="7" customFormat="1" ht="25.5" x14ac:dyDescent="0.25">
      <c r="A19" s="18">
        <v>18</v>
      </c>
      <c r="B19" s="12" t="s">
        <v>1370</v>
      </c>
      <c r="C19" s="12" t="s">
        <v>39</v>
      </c>
      <c r="D19" s="13" t="s">
        <v>1371</v>
      </c>
      <c r="E19" s="19" t="s">
        <v>14</v>
      </c>
      <c r="F19" s="19">
        <v>132</v>
      </c>
      <c r="G19" s="20">
        <v>76.490000000000009</v>
      </c>
      <c r="H19" s="20">
        <f t="shared" si="0"/>
        <v>10096.68</v>
      </c>
      <c r="I19" s="12" t="s">
        <v>15</v>
      </c>
      <c r="J19" s="22" t="s">
        <v>16</v>
      </c>
      <c r="K19" s="22" t="s">
        <v>17</v>
      </c>
    </row>
    <row r="20" spans="1:11" s="7" customFormat="1" ht="25.5" x14ac:dyDescent="0.25">
      <c r="A20" s="18">
        <v>19</v>
      </c>
      <c r="B20" s="12" t="s">
        <v>38</v>
      </c>
      <c r="C20" s="12" t="s">
        <v>39</v>
      </c>
      <c r="D20" s="13" t="s">
        <v>40</v>
      </c>
      <c r="E20" s="19" t="s">
        <v>14</v>
      </c>
      <c r="F20" s="19">
        <v>42</v>
      </c>
      <c r="G20" s="20">
        <v>291.7</v>
      </c>
      <c r="H20" s="20">
        <f t="shared" si="0"/>
        <v>12251.4</v>
      </c>
      <c r="I20" s="12" t="s">
        <v>15</v>
      </c>
      <c r="J20" s="22" t="s">
        <v>16</v>
      </c>
      <c r="K20" s="22" t="s">
        <v>17</v>
      </c>
    </row>
    <row r="21" spans="1:11" s="7" customFormat="1" x14ac:dyDescent="0.25">
      <c r="A21" s="18">
        <v>20</v>
      </c>
      <c r="B21" s="12" t="s">
        <v>41</v>
      </c>
      <c r="C21" s="12" t="s">
        <v>39</v>
      </c>
      <c r="D21" s="13" t="s">
        <v>42</v>
      </c>
      <c r="E21" s="19" t="s">
        <v>14</v>
      </c>
      <c r="F21" s="19">
        <v>24</v>
      </c>
      <c r="G21" s="20">
        <v>95</v>
      </c>
      <c r="H21" s="20">
        <f t="shared" si="0"/>
        <v>2280</v>
      </c>
      <c r="I21" s="12" t="s">
        <v>15</v>
      </c>
      <c r="J21" s="22" t="s">
        <v>16</v>
      </c>
      <c r="K21" s="22" t="s">
        <v>17</v>
      </c>
    </row>
    <row r="22" spans="1:11" s="7" customFormat="1" ht="25.5" x14ac:dyDescent="0.25">
      <c r="A22" s="18">
        <v>21</v>
      </c>
      <c r="B22" s="12" t="s">
        <v>43</v>
      </c>
      <c r="C22" s="12" t="s">
        <v>39</v>
      </c>
      <c r="D22" s="13" t="s">
        <v>44</v>
      </c>
      <c r="E22" s="19" t="s">
        <v>14</v>
      </c>
      <c r="F22" s="19">
        <v>52</v>
      </c>
      <c r="G22" s="20">
        <v>124.7</v>
      </c>
      <c r="H22" s="20">
        <f t="shared" si="0"/>
        <v>6484.4000000000005</v>
      </c>
      <c r="I22" s="12" t="s">
        <v>15</v>
      </c>
      <c r="J22" s="22" t="s">
        <v>16</v>
      </c>
      <c r="K22" s="22" t="s">
        <v>17</v>
      </c>
    </row>
    <row r="23" spans="1:11" s="7" customFormat="1" ht="25.5" x14ac:dyDescent="0.25">
      <c r="A23" s="18">
        <v>22</v>
      </c>
      <c r="B23" s="12" t="s">
        <v>45</v>
      </c>
      <c r="C23" s="12" t="s">
        <v>39</v>
      </c>
      <c r="D23" s="13" t="s">
        <v>46</v>
      </c>
      <c r="E23" s="19" t="s">
        <v>14</v>
      </c>
      <c r="F23" s="19">
        <v>50</v>
      </c>
      <c r="G23" s="20">
        <v>145.9</v>
      </c>
      <c r="H23" s="20">
        <f t="shared" si="0"/>
        <v>7295</v>
      </c>
      <c r="I23" s="12" t="s">
        <v>15</v>
      </c>
      <c r="J23" s="22" t="s">
        <v>16</v>
      </c>
      <c r="K23" s="22" t="s">
        <v>17</v>
      </c>
    </row>
    <row r="24" spans="1:11" s="7" customFormat="1" ht="25.5" x14ac:dyDescent="0.25">
      <c r="A24" s="18">
        <v>23</v>
      </c>
      <c r="B24" s="12" t="s">
        <v>47</v>
      </c>
      <c r="C24" s="12" t="s">
        <v>39</v>
      </c>
      <c r="D24" s="13" t="s">
        <v>48</v>
      </c>
      <c r="E24" s="19" t="s">
        <v>14</v>
      </c>
      <c r="F24" s="19">
        <v>30</v>
      </c>
      <c r="G24" s="20">
        <v>173.8</v>
      </c>
      <c r="H24" s="20">
        <f t="shared" si="0"/>
        <v>5214</v>
      </c>
      <c r="I24" s="12" t="s">
        <v>15</v>
      </c>
      <c r="J24" s="22" t="s">
        <v>16</v>
      </c>
      <c r="K24" s="22" t="s">
        <v>17</v>
      </c>
    </row>
    <row r="25" spans="1:11" s="7" customFormat="1" x14ac:dyDescent="0.25">
      <c r="A25" s="18">
        <v>24</v>
      </c>
      <c r="B25" s="12" t="s">
        <v>1343</v>
      </c>
      <c r="C25" s="12" t="s">
        <v>39</v>
      </c>
      <c r="D25" s="13" t="s">
        <v>1344</v>
      </c>
      <c r="E25" s="19" t="s">
        <v>14</v>
      </c>
      <c r="F25" s="19">
        <v>17</v>
      </c>
      <c r="G25" s="20">
        <v>24.360000000000003</v>
      </c>
      <c r="H25" s="20">
        <f t="shared" si="0"/>
        <v>414.12000000000006</v>
      </c>
      <c r="I25" s="12" t="s">
        <v>15</v>
      </c>
      <c r="J25" s="22" t="s">
        <v>16</v>
      </c>
      <c r="K25" s="22" t="s">
        <v>17</v>
      </c>
    </row>
    <row r="26" spans="1:11" s="7" customFormat="1" x14ac:dyDescent="0.25">
      <c r="A26" s="18">
        <v>25</v>
      </c>
      <c r="B26" s="12" t="s">
        <v>1380</v>
      </c>
      <c r="C26" s="12" t="s">
        <v>977</v>
      </c>
      <c r="D26" s="13" t="s">
        <v>1381</v>
      </c>
      <c r="E26" s="19" t="s">
        <v>14</v>
      </c>
      <c r="F26" s="19">
        <v>2</v>
      </c>
      <c r="G26" s="20">
        <v>21.040000000000003</v>
      </c>
      <c r="H26" s="20">
        <f t="shared" si="0"/>
        <v>42.080000000000005</v>
      </c>
      <c r="I26" s="12" t="s">
        <v>15</v>
      </c>
      <c r="J26" s="22" t="s">
        <v>16</v>
      </c>
      <c r="K26" s="22" t="s">
        <v>17</v>
      </c>
    </row>
    <row r="27" spans="1:11" s="7" customFormat="1" ht="28.5" customHeight="1" x14ac:dyDescent="0.25">
      <c r="A27" s="18">
        <v>26</v>
      </c>
      <c r="B27" s="12" t="s">
        <v>49</v>
      </c>
      <c r="C27" s="12" t="s">
        <v>50</v>
      </c>
      <c r="D27" s="13" t="s">
        <v>51</v>
      </c>
      <c r="E27" s="19" t="s">
        <v>14</v>
      </c>
      <c r="F27" s="19">
        <v>40</v>
      </c>
      <c r="G27" s="20">
        <v>0.3</v>
      </c>
      <c r="H27" s="20">
        <f t="shared" si="0"/>
        <v>12</v>
      </c>
      <c r="I27" s="12" t="s">
        <v>15</v>
      </c>
      <c r="J27" s="22" t="s">
        <v>16</v>
      </c>
      <c r="K27" s="22" t="s">
        <v>17</v>
      </c>
    </row>
    <row r="28" spans="1:11" s="7" customFormat="1" x14ac:dyDescent="0.25">
      <c r="A28" s="18">
        <v>27</v>
      </c>
      <c r="B28" s="12" t="s">
        <v>52</v>
      </c>
      <c r="C28" s="12" t="s">
        <v>50</v>
      </c>
      <c r="D28" s="13" t="s">
        <v>53</v>
      </c>
      <c r="E28" s="19" t="s">
        <v>14</v>
      </c>
      <c r="F28" s="19">
        <v>4712</v>
      </c>
      <c r="G28" s="20">
        <v>0.56999999999999995</v>
      </c>
      <c r="H28" s="20">
        <f t="shared" si="0"/>
        <v>2685.8399999999997</v>
      </c>
      <c r="I28" s="12" t="s">
        <v>15</v>
      </c>
      <c r="J28" s="22" t="s">
        <v>16</v>
      </c>
      <c r="K28" s="22" t="s">
        <v>17</v>
      </c>
    </row>
    <row r="29" spans="1:11" s="7" customFormat="1" x14ac:dyDescent="0.25">
      <c r="A29" s="18">
        <v>28</v>
      </c>
      <c r="B29" s="12" t="s">
        <v>54</v>
      </c>
      <c r="C29" s="12" t="s">
        <v>50</v>
      </c>
      <c r="D29" s="13" t="s">
        <v>55</v>
      </c>
      <c r="E29" s="19" t="s">
        <v>14</v>
      </c>
      <c r="F29" s="19">
        <v>9389</v>
      </c>
      <c r="G29" s="20">
        <v>0.09</v>
      </c>
      <c r="H29" s="20">
        <f t="shared" si="0"/>
        <v>845.01</v>
      </c>
      <c r="I29" s="12" t="s">
        <v>15</v>
      </c>
      <c r="J29" s="22" t="s">
        <v>16</v>
      </c>
      <c r="K29" s="22" t="s">
        <v>17</v>
      </c>
    </row>
    <row r="30" spans="1:11" s="7" customFormat="1" ht="25.5" x14ac:dyDescent="0.25">
      <c r="A30" s="18">
        <v>29</v>
      </c>
      <c r="B30" s="12" t="s">
        <v>1427</v>
      </c>
      <c r="C30" s="12" t="s">
        <v>22</v>
      </c>
      <c r="D30" s="13" t="s">
        <v>1428</v>
      </c>
      <c r="E30" s="19" t="s">
        <v>14</v>
      </c>
      <c r="F30" s="19">
        <v>2</v>
      </c>
      <c r="G30" s="20">
        <v>40.339999999999996</v>
      </c>
      <c r="H30" s="20">
        <f t="shared" si="0"/>
        <v>80.679999999999993</v>
      </c>
      <c r="I30" s="12" t="s">
        <v>15</v>
      </c>
      <c r="J30" s="22" t="s">
        <v>16</v>
      </c>
      <c r="K30" s="22" t="s">
        <v>17</v>
      </c>
    </row>
    <row r="31" spans="1:11" s="7" customFormat="1" x14ac:dyDescent="0.25">
      <c r="A31" s="18">
        <v>30</v>
      </c>
      <c r="B31" s="12" t="s">
        <v>1382</v>
      </c>
      <c r="C31" s="12" t="s">
        <v>19</v>
      </c>
      <c r="D31" s="13" t="s">
        <v>1383</v>
      </c>
      <c r="E31" s="19" t="s">
        <v>14</v>
      </c>
      <c r="F31" s="19">
        <v>44</v>
      </c>
      <c r="G31" s="20">
        <v>0.55000000000000004</v>
      </c>
      <c r="H31" s="20">
        <f t="shared" si="0"/>
        <v>24.200000000000003</v>
      </c>
      <c r="I31" s="12" t="s">
        <v>15</v>
      </c>
      <c r="J31" s="22" t="s">
        <v>16</v>
      </c>
      <c r="K31" s="22" t="s">
        <v>17</v>
      </c>
    </row>
    <row r="32" spans="1:11" s="7" customFormat="1" x14ac:dyDescent="0.25">
      <c r="A32" s="18">
        <v>31</v>
      </c>
      <c r="B32" s="12" t="s">
        <v>265</v>
      </c>
      <c r="C32" s="12" t="s">
        <v>266</v>
      </c>
      <c r="D32" s="13" t="s">
        <v>267</v>
      </c>
      <c r="E32" s="19" t="s">
        <v>24</v>
      </c>
      <c r="F32" s="19">
        <v>4</v>
      </c>
      <c r="G32" s="20">
        <v>8.48</v>
      </c>
      <c r="H32" s="20">
        <f t="shared" si="0"/>
        <v>33.92</v>
      </c>
      <c r="I32" s="12" t="s">
        <v>15</v>
      </c>
      <c r="J32" s="22" t="s">
        <v>16</v>
      </c>
      <c r="K32" s="22" t="s">
        <v>17</v>
      </c>
    </row>
    <row r="33" spans="1:11" s="7" customFormat="1" ht="25.5" x14ac:dyDescent="0.25">
      <c r="A33" s="18">
        <v>32</v>
      </c>
      <c r="B33" s="12" t="s">
        <v>1336</v>
      </c>
      <c r="C33" s="12" t="s">
        <v>39</v>
      </c>
      <c r="D33" s="13" t="s">
        <v>1337</v>
      </c>
      <c r="E33" s="19" t="s">
        <v>14</v>
      </c>
      <c r="F33" s="19">
        <v>2</v>
      </c>
      <c r="G33" s="20">
        <v>54</v>
      </c>
      <c r="H33" s="20">
        <f t="shared" si="0"/>
        <v>108</v>
      </c>
      <c r="I33" s="12" t="s">
        <v>15</v>
      </c>
      <c r="J33" s="22" t="s">
        <v>16</v>
      </c>
      <c r="K33" s="22" t="s">
        <v>17</v>
      </c>
    </row>
    <row r="34" spans="1:11" s="7" customFormat="1" x14ac:dyDescent="0.25">
      <c r="A34" s="18">
        <v>33</v>
      </c>
      <c r="B34" s="12" t="s">
        <v>1457</v>
      </c>
      <c r="C34" s="12" t="s">
        <v>137</v>
      </c>
      <c r="D34" s="13" t="s">
        <v>1458</v>
      </c>
      <c r="E34" s="19" t="s">
        <v>14</v>
      </c>
      <c r="F34" s="19">
        <v>12</v>
      </c>
      <c r="G34" s="20">
        <v>146.04</v>
      </c>
      <c r="H34" s="20">
        <f t="shared" si="0"/>
        <v>1752.48</v>
      </c>
      <c r="I34" s="12" t="s">
        <v>15</v>
      </c>
      <c r="J34" s="22" t="s">
        <v>16</v>
      </c>
      <c r="K34" s="22" t="s">
        <v>17</v>
      </c>
    </row>
    <row r="35" spans="1:11" s="7" customFormat="1" x14ac:dyDescent="0.25">
      <c r="A35" s="18">
        <v>34</v>
      </c>
      <c r="B35" s="12" t="s">
        <v>56</v>
      </c>
      <c r="C35" s="12" t="s">
        <v>57</v>
      </c>
      <c r="D35" s="13" t="s">
        <v>58</v>
      </c>
      <c r="E35" s="19" t="s">
        <v>14</v>
      </c>
      <c r="F35" s="19">
        <v>150</v>
      </c>
      <c r="G35" s="20">
        <v>1.5</v>
      </c>
      <c r="H35" s="20">
        <f t="shared" si="0"/>
        <v>225</v>
      </c>
      <c r="I35" s="12" t="s">
        <v>15</v>
      </c>
      <c r="J35" s="22" t="s">
        <v>16</v>
      </c>
      <c r="K35" s="22" t="s">
        <v>17</v>
      </c>
    </row>
    <row r="36" spans="1:11" s="7" customFormat="1" ht="25.5" x14ac:dyDescent="0.25">
      <c r="A36" s="18">
        <v>35</v>
      </c>
      <c r="B36" s="12" t="s">
        <v>1448</v>
      </c>
      <c r="C36" s="12" t="s">
        <v>22</v>
      </c>
      <c r="D36" s="13" t="s">
        <v>1449</v>
      </c>
      <c r="E36" s="19" t="s">
        <v>14</v>
      </c>
      <c r="F36" s="19">
        <v>1</v>
      </c>
      <c r="G36" s="20">
        <v>7.58</v>
      </c>
      <c r="H36" s="20">
        <f t="shared" si="0"/>
        <v>7.58</v>
      </c>
      <c r="I36" s="12" t="s">
        <v>15</v>
      </c>
      <c r="J36" s="22" t="s">
        <v>16</v>
      </c>
      <c r="K36" s="22" t="s">
        <v>17</v>
      </c>
    </row>
    <row r="37" spans="1:11" s="7" customFormat="1" x14ac:dyDescent="0.25">
      <c r="A37" s="18">
        <v>36</v>
      </c>
      <c r="B37" s="12" t="s">
        <v>59</v>
      </c>
      <c r="C37" s="12" t="s">
        <v>60</v>
      </c>
      <c r="D37" s="13" t="s">
        <v>61</v>
      </c>
      <c r="E37" s="19" t="s">
        <v>24</v>
      </c>
      <c r="F37" s="19">
        <v>20</v>
      </c>
      <c r="G37" s="20">
        <v>30.7</v>
      </c>
      <c r="H37" s="20">
        <f t="shared" si="0"/>
        <v>614</v>
      </c>
      <c r="I37" s="12" t="s">
        <v>15</v>
      </c>
      <c r="J37" s="22" t="s">
        <v>16</v>
      </c>
      <c r="K37" s="22" t="s">
        <v>17</v>
      </c>
    </row>
    <row r="38" spans="1:11" s="7" customFormat="1" ht="25.5" x14ac:dyDescent="0.25">
      <c r="A38" s="18">
        <v>37</v>
      </c>
      <c r="B38" s="12" t="s">
        <v>1386</v>
      </c>
      <c r="C38" s="12" t="s">
        <v>425</v>
      </c>
      <c r="D38" s="13" t="s">
        <v>1387</v>
      </c>
      <c r="E38" s="19" t="s">
        <v>14</v>
      </c>
      <c r="F38" s="19">
        <v>2</v>
      </c>
      <c r="G38" s="20">
        <v>22.290000000000003</v>
      </c>
      <c r="H38" s="20">
        <f t="shared" si="0"/>
        <v>44.580000000000005</v>
      </c>
      <c r="I38" s="12" t="s">
        <v>15</v>
      </c>
      <c r="J38" s="22" t="s">
        <v>16</v>
      </c>
      <c r="K38" s="22" t="s">
        <v>17</v>
      </c>
    </row>
    <row r="39" spans="1:11" s="7" customFormat="1" ht="25.5" x14ac:dyDescent="0.25">
      <c r="A39" s="18">
        <v>38</v>
      </c>
      <c r="B39" s="12" t="s">
        <v>62</v>
      </c>
      <c r="C39" s="12" t="s">
        <v>63</v>
      </c>
      <c r="D39" s="13" t="s">
        <v>64</v>
      </c>
      <c r="E39" s="19" t="s">
        <v>24</v>
      </c>
      <c r="F39" s="19">
        <v>82</v>
      </c>
      <c r="G39" s="20">
        <v>19.100000000000001</v>
      </c>
      <c r="H39" s="20">
        <f t="shared" si="0"/>
        <v>1566.2</v>
      </c>
      <c r="I39" s="12" t="s">
        <v>15</v>
      </c>
      <c r="J39" s="22" t="s">
        <v>16</v>
      </c>
      <c r="K39" s="22" t="s">
        <v>17</v>
      </c>
    </row>
    <row r="40" spans="1:11" s="7" customFormat="1" x14ac:dyDescent="0.25">
      <c r="A40" s="18">
        <v>39</v>
      </c>
      <c r="B40" s="12" t="s">
        <v>1392</v>
      </c>
      <c r="C40" s="12" t="s">
        <v>63</v>
      </c>
      <c r="D40" s="13" t="s">
        <v>1393</v>
      </c>
      <c r="E40" s="19" t="s">
        <v>14</v>
      </c>
      <c r="F40" s="19">
        <v>2</v>
      </c>
      <c r="G40" s="20">
        <v>17.309999999999999</v>
      </c>
      <c r="H40" s="20">
        <f t="shared" si="0"/>
        <v>34.619999999999997</v>
      </c>
      <c r="I40" s="12" t="s">
        <v>15</v>
      </c>
      <c r="J40" s="22" t="s">
        <v>16</v>
      </c>
      <c r="K40" s="22" t="s">
        <v>17</v>
      </c>
    </row>
    <row r="41" spans="1:11" s="7" customFormat="1" ht="25.5" x14ac:dyDescent="0.25">
      <c r="A41" s="18">
        <v>40</v>
      </c>
      <c r="B41" s="12" t="s">
        <v>428</v>
      </c>
      <c r="C41" s="12" t="s">
        <v>429</v>
      </c>
      <c r="D41" s="13" t="s">
        <v>430</v>
      </c>
      <c r="E41" s="19" t="s">
        <v>14</v>
      </c>
      <c r="F41" s="19">
        <v>147</v>
      </c>
      <c r="G41" s="20">
        <v>48.23</v>
      </c>
      <c r="H41" s="20">
        <f t="shared" si="0"/>
        <v>7089.8099999999995</v>
      </c>
      <c r="I41" s="12" t="s">
        <v>15</v>
      </c>
      <c r="J41" s="22" t="s">
        <v>16</v>
      </c>
      <c r="K41" s="22" t="s">
        <v>17</v>
      </c>
    </row>
    <row r="42" spans="1:11" s="7" customFormat="1" x14ac:dyDescent="0.25">
      <c r="A42" s="18">
        <v>41</v>
      </c>
      <c r="B42" s="12" t="s">
        <v>65</v>
      </c>
      <c r="C42" s="12" t="s">
        <v>66</v>
      </c>
      <c r="D42" s="13" t="s">
        <v>67</v>
      </c>
      <c r="E42" s="19" t="s">
        <v>68</v>
      </c>
      <c r="F42" s="19">
        <v>100</v>
      </c>
      <c r="G42" s="20">
        <v>0.4</v>
      </c>
      <c r="H42" s="20">
        <f t="shared" si="0"/>
        <v>40</v>
      </c>
      <c r="I42" s="12" t="s">
        <v>15</v>
      </c>
      <c r="J42" s="22" t="s">
        <v>16</v>
      </c>
      <c r="K42" s="22" t="s">
        <v>17</v>
      </c>
    </row>
    <row r="43" spans="1:11" s="7" customFormat="1" x14ac:dyDescent="0.25">
      <c r="A43" s="18">
        <v>42</v>
      </c>
      <c r="B43" s="12" t="s">
        <v>69</v>
      </c>
      <c r="C43" s="12" t="s">
        <v>66</v>
      </c>
      <c r="D43" s="13" t="s">
        <v>70</v>
      </c>
      <c r="E43" s="19" t="s">
        <v>68</v>
      </c>
      <c r="F43" s="19">
        <v>97</v>
      </c>
      <c r="G43" s="20">
        <v>0.4</v>
      </c>
      <c r="H43" s="20">
        <f t="shared" si="0"/>
        <v>38.800000000000004</v>
      </c>
      <c r="I43" s="12" t="s">
        <v>15</v>
      </c>
      <c r="J43" s="22" t="s">
        <v>16</v>
      </c>
      <c r="K43" s="22" t="s">
        <v>17</v>
      </c>
    </row>
    <row r="44" spans="1:11" s="7" customFormat="1" x14ac:dyDescent="0.25">
      <c r="A44" s="18">
        <v>43</v>
      </c>
      <c r="B44" s="12" t="s">
        <v>71</v>
      </c>
      <c r="C44" s="12" t="s">
        <v>66</v>
      </c>
      <c r="D44" s="13" t="s">
        <v>72</v>
      </c>
      <c r="E44" s="19" t="s">
        <v>68</v>
      </c>
      <c r="F44" s="19">
        <v>100</v>
      </c>
      <c r="G44" s="20">
        <v>0.9</v>
      </c>
      <c r="H44" s="20">
        <f t="shared" si="0"/>
        <v>90</v>
      </c>
      <c r="I44" s="12" t="s">
        <v>15</v>
      </c>
      <c r="J44" s="22" t="s">
        <v>16</v>
      </c>
      <c r="K44" s="22" t="s">
        <v>17</v>
      </c>
    </row>
    <row r="45" spans="1:11" s="7" customFormat="1" x14ac:dyDescent="0.25">
      <c r="A45" s="18">
        <v>44</v>
      </c>
      <c r="B45" s="12" t="s">
        <v>73</v>
      </c>
      <c r="C45" s="12" t="s">
        <v>66</v>
      </c>
      <c r="D45" s="13" t="s">
        <v>74</v>
      </c>
      <c r="E45" s="19" t="s">
        <v>68</v>
      </c>
      <c r="F45" s="19">
        <v>100</v>
      </c>
      <c r="G45" s="20">
        <v>0.9</v>
      </c>
      <c r="H45" s="20">
        <f t="shared" si="0"/>
        <v>90</v>
      </c>
      <c r="I45" s="12" t="s">
        <v>15</v>
      </c>
      <c r="J45" s="22" t="s">
        <v>16</v>
      </c>
      <c r="K45" s="22" t="s">
        <v>17</v>
      </c>
    </row>
    <row r="46" spans="1:11" s="7" customFormat="1" x14ac:dyDescent="0.25">
      <c r="A46" s="18">
        <v>45</v>
      </c>
      <c r="B46" s="12" t="s">
        <v>75</v>
      </c>
      <c r="C46" s="12" t="s">
        <v>66</v>
      </c>
      <c r="D46" s="13" t="s">
        <v>76</v>
      </c>
      <c r="E46" s="19" t="s">
        <v>68</v>
      </c>
      <c r="F46" s="19">
        <v>100</v>
      </c>
      <c r="G46" s="20">
        <v>0.9</v>
      </c>
      <c r="H46" s="20">
        <f t="shared" si="0"/>
        <v>90</v>
      </c>
      <c r="I46" s="12" t="s">
        <v>15</v>
      </c>
      <c r="J46" s="22" t="s">
        <v>16</v>
      </c>
      <c r="K46" s="22" t="s">
        <v>17</v>
      </c>
    </row>
    <row r="47" spans="1:11" s="7" customFormat="1" ht="25.5" x14ac:dyDescent="0.25">
      <c r="A47" s="18">
        <v>46</v>
      </c>
      <c r="B47" s="12" t="s">
        <v>77</v>
      </c>
      <c r="C47" s="12" t="s">
        <v>78</v>
      </c>
      <c r="D47" s="13" t="s">
        <v>79</v>
      </c>
      <c r="E47" s="19" t="s">
        <v>24</v>
      </c>
      <c r="F47" s="19">
        <v>99</v>
      </c>
      <c r="G47" s="20">
        <v>6.3</v>
      </c>
      <c r="H47" s="20">
        <f t="shared" si="0"/>
        <v>623.69999999999993</v>
      </c>
      <c r="I47" s="12" t="s">
        <v>15</v>
      </c>
      <c r="J47" s="22" t="s">
        <v>16</v>
      </c>
      <c r="K47" s="22" t="s">
        <v>17</v>
      </c>
    </row>
    <row r="48" spans="1:11" s="7" customFormat="1" x14ac:dyDescent="0.25">
      <c r="A48" s="18">
        <v>47</v>
      </c>
      <c r="B48" s="12" t="s">
        <v>1397</v>
      </c>
      <c r="C48" s="12" t="s">
        <v>143</v>
      </c>
      <c r="D48" s="13" t="s">
        <v>1398</v>
      </c>
      <c r="E48" s="19" t="s">
        <v>14</v>
      </c>
      <c r="F48" s="19">
        <v>7</v>
      </c>
      <c r="G48" s="20">
        <v>3.23</v>
      </c>
      <c r="H48" s="20">
        <f t="shared" si="0"/>
        <v>22.61</v>
      </c>
      <c r="I48" s="12" t="s">
        <v>15</v>
      </c>
      <c r="J48" s="22" t="s">
        <v>16</v>
      </c>
      <c r="K48" s="22" t="s">
        <v>17</v>
      </c>
    </row>
    <row r="49" spans="1:11" s="7" customFormat="1" x14ac:dyDescent="0.25">
      <c r="A49" s="18">
        <v>48</v>
      </c>
      <c r="B49" s="12" t="s">
        <v>435</v>
      </c>
      <c r="C49" s="12" t="s">
        <v>143</v>
      </c>
      <c r="D49" s="13" t="s">
        <v>436</v>
      </c>
      <c r="E49" s="19" t="s">
        <v>14</v>
      </c>
      <c r="F49" s="19">
        <v>38</v>
      </c>
      <c r="G49" s="20">
        <v>4.55</v>
      </c>
      <c r="H49" s="20">
        <f t="shared" si="0"/>
        <v>172.9</v>
      </c>
      <c r="I49" s="12" t="s">
        <v>15</v>
      </c>
      <c r="J49" s="22" t="s">
        <v>16</v>
      </c>
      <c r="K49" s="22" t="s">
        <v>17</v>
      </c>
    </row>
    <row r="50" spans="1:11" s="7" customFormat="1" ht="25.5" x14ac:dyDescent="0.25">
      <c r="A50" s="18">
        <v>49</v>
      </c>
      <c r="B50" s="12" t="s">
        <v>1399</v>
      </c>
      <c r="C50" s="12" t="s">
        <v>81</v>
      </c>
      <c r="D50" s="13" t="s">
        <v>1400</v>
      </c>
      <c r="E50" s="19" t="s">
        <v>24</v>
      </c>
      <c r="F50" s="19">
        <v>1</v>
      </c>
      <c r="G50" s="20">
        <v>4.3599999999999994</v>
      </c>
      <c r="H50" s="20">
        <f t="shared" si="0"/>
        <v>4.3599999999999994</v>
      </c>
      <c r="I50" s="12" t="s">
        <v>15</v>
      </c>
      <c r="J50" s="22" t="s">
        <v>16</v>
      </c>
      <c r="K50" s="22" t="s">
        <v>17</v>
      </c>
    </row>
    <row r="51" spans="1:11" s="7" customFormat="1" ht="25.5" x14ac:dyDescent="0.25">
      <c r="A51" s="18">
        <v>50</v>
      </c>
      <c r="B51" s="12" t="s">
        <v>80</v>
      </c>
      <c r="C51" s="12" t="s">
        <v>81</v>
      </c>
      <c r="D51" s="13" t="s">
        <v>82</v>
      </c>
      <c r="E51" s="19" t="s">
        <v>24</v>
      </c>
      <c r="F51" s="19">
        <v>41</v>
      </c>
      <c r="G51" s="20">
        <v>1.25</v>
      </c>
      <c r="H51" s="20">
        <f t="shared" si="0"/>
        <v>51.25</v>
      </c>
      <c r="I51" s="12" t="s">
        <v>15</v>
      </c>
      <c r="J51" s="22" t="s">
        <v>16</v>
      </c>
      <c r="K51" s="22" t="s">
        <v>17</v>
      </c>
    </row>
    <row r="52" spans="1:11" s="7" customFormat="1" ht="25.5" x14ac:dyDescent="0.25">
      <c r="A52" s="18">
        <v>51</v>
      </c>
      <c r="B52" s="12" t="s">
        <v>83</v>
      </c>
      <c r="C52" s="12" t="s">
        <v>84</v>
      </c>
      <c r="D52" s="13" t="s">
        <v>85</v>
      </c>
      <c r="E52" s="19" t="s">
        <v>24</v>
      </c>
      <c r="F52" s="19">
        <v>27</v>
      </c>
      <c r="G52" s="20">
        <v>5.5</v>
      </c>
      <c r="H52" s="20">
        <f t="shared" si="0"/>
        <v>148.5</v>
      </c>
      <c r="I52" s="12" t="s">
        <v>15</v>
      </c>
      <c r="J52" s="22" t="s">
        <v>16</v>
      </c>
      <c r="K52" s="22" t="s">
        <v>17</v>
      </c>
    </row>
    <row r="53" spans="1:11" x14ac:dyDescent="0.25">
      <c r="A53" s="18">
        <v>52</v>
      </c>
      <c r="B53" s="12" t="s">
        <v>86</v>
      </c>
      <c r="C53" s="12" t="s">
        <v>34</v>
      </c>
      <c r="D53" s="13" t="s">
        <v>87</v>
      </c>
      <c r="E53" s="19" t="s">
        <v>14</v>
      </c>
      <c r="F53" s="19">
        <v>213</v>
      </c>
      <c r="G53" s="20">
        <v>1.2</v>
      </c>
      <c r="H53" s="20">
        <f t="shared" si="0"/>
        <v>255.6</v>
      </c>
      <c r="I53" s="12" t="s">
        <v>15</v>
      </c>
      <c r="J53" s="22" t="s">
        <v>16</v>
      </c>
      <c r="K53" s="22" t="s">
        <v>17</v>
      </c>
    </row>
    <row r="54" spans="1:11" x14ac:dyDescent="0.25">
      <c r="A54" s="18">
        <v>53</v>
      </c>
      <c r="B54" s="12" t="s">
        <v>88</v>
      </c>
      <c r="C54" s="12" t="s">
        <v>31</v>
      </c>
      <c r="D54" s="13" t="s">
        <v>89</v>
      </c>
      <c r="E54" s="19" t="s">
        <v>14</v>
      </c>
      <c r="F54" s="19">
        <v>3</v>
      </c>
      <c r="G54" s="20">
        <v>13</v>
      </c>
      <c r="H54" s="20">
        <f t="shared" si="0"/>
        <v>39</v>
      </c>
      <c r="I54" s="12" t="s">
        <v>15</v>
      </c>
      <c r="J54" s="22" t="s">
        <v>16</v>
      </c>
      <c r="K54" s="22" t="s">
        <v>17</v>
      </c>
    </row>
    <row r="55" spans="1:11" x14ac:dyDescent="0.25">
      <c r="A55" s="18">
        <v>54</v>
      </c>
      <c r="B55" s="12" t="s">
        <v>90</v>
      </c>
      <c r="C55" s="12" t="s">
        <v>31</v>
      </c>
      <c r="D55" s="13" t="s">
        <v>91</v>
      </c>
      <c r="E55" s="19" t="s">
        <v>14</v>
      </c>
      <c r="F55" s="19">
        <v>16</v>
      </c>
      <c r="G55" s="20">
        <v>1.62</v>
      </c>
      <c r="H55" s="20">
        <f t="shared" si="0"/>
        <v>25.92</v>
      </c>
      <c r="I55" s="12" t="s">
        <v>15</v>
      </c>
      <c r="J55" s="22" t="s">
        <v>16</v>
      </c>
      <c r="K55" s="22" t="s">
        <v>17</v>
      </c>
    </row>
    <row r="56" spans="1:11" x14ac:dyDescent="0.25">
      <c r="A56" s="18">
        <v>55</v>
      </c>
      <c r="B56" s="12" t="s">
        <v>1360</v>
      </c>
      <c r="C56" s="12" t="s">
        <v>1361</v>
      </c>
      <c r="D56" s="13" t="s">
        <v>1362</v>
      </c>
      <c r="E56" s="19" t="s">
        <v>14</v>
      </c>
      <c r="F56" s="19">
        <v>2</v>
      </c>
      <c r="G56" s="20">
        <v>16.950000000000003</v>
      </c>
      <c r="H56" s="20">
        <f t="shared" si="0"/>
        <v>33.900000000000006</v>
      </c>
      <c r="I56" s="12" t="s">
        <v>15</v>
      </c>
      <c r="J56" s="22" t="s">
        <v>16</v>
      </c>
      <c r="K56" s="22" t="s">
        <v>17</v>
      </c>
    </row>
    <row r="57" spans="1:11" ht="25.5" x14ac:dyDescent="0.25">
      <c r="A57" s="18">
        <v>56</v>
      </c>
      <c r="B57" s="12" t="s">
        <v>842</v>
      </c>
      <c r="C57" s="12" t="s">
        <v>31</v>
      </c>
      <c r="D57" s="13" t="s">
        <v>843</v>
      </c>
      <c r="E57" s="19" t="s">
        <v>14</v>
      </c>
      <c r="F57" s="19">
        <v>32</v>
      </c>
      <c r="G57" s="20">
        <v>7.39</v>
      </c>
      <c r="H57" s="20">
        <f t="shared" si="0"/>
        <v>236.48</v>
      </c>
      <c r="I57" s="12" t="s">
        <v>15</v>
      </c>
      <c r="J57" s="22" t="s">
        <v>16</v>
      </c>
      <c r="K57" s="22" t="s">
        <v>17</v>
      </c>
    </row>
    <row r="58" spans="1:11" x14ac:dyDescent="0.25">
      <c r="A58" s="18">
        <v>57</v>
      </c>
      <c r="B58" s="12" t="s">
        <v>1405</v>
      </c>
      <c r="C58" s="12" t="s">
        <v>39</v>
      </c>
      <c r="D58" s="13" t="s">
        <v>1406</v>
      </c>
      <c r="E58" s="19" t="s">
        <v>14</v>
      </c>
      <c r="F58" s="19">
        <v>33</v>
      </c>
      <c r="G58" s="20">
        <v>7.55</v>
      </c>
      <c r="H58" s="20">
        <f t="shared" si="0"/>
        <v>249.15</v>
      </c>
      <c r="I58" s="12" t="s">
        <v>15</v>
      </c>
      <c r="J58" s="22" t="s">
        <v>16</v>
      </c>
      <c r="K58" s="22" t="s">
        <v>17</v>
      </c>
    </row>
    <row r="59" spans="1:11" ht="25.5" x14ac:dyDescent="0.25">
      <c r="A59" s="18">
        <v>58</v>
      </c>
      <c r="B59" s="12" t="s">
        <v>1407</v>
      </c>
      <c r="C59" s="12" t="s">
        <v>266</v>
      </c>
      <c r="D59" s="13" t="s">
        <v>1408</v>
      </c>
      <c r="E59" s="19" t="s">
        <v>24</v>
      </c>
      <c r="F59" s="19">
        <v>4</v>
      </c>
      <c r="G59" s="20">
        <v>17.130000000000003</v>
      </c>
      <c r="H59" s="20">
        <f t="shared" si="0"/>
        <v>68.52000000000001</v>
      </c>
      <c r="I59" s="12" t="s">
        <v>15</v>
      </c>
      <c r="J59" s="22" t="s">
        <v>16</v>
      </c>
      <c r="K59" s="22" t="s">
        <v>17</v>
      </c>
    </row>
    <row r="60" spans="1:11" x14ac:dyDescent="0.25">
      <c r="A60" s="18">
        <v>59</v>
      </c>
      <c r="B60" s="12" t="s">
        <v>1409</v>
      </c>
      <c r="C60" s="12" t="s">
        <v>972</v>
      </c>
      <c r="D60" s="13" t="s">
        <v>1410</v>
      </c>
      <c r="E60" s="19" t="s">
        <v>14</v>
      </c>
      <c r="F60" s="19">
        <v>8</v>
      </c>
      <c r="G60" s="20">
        <v>4.29</v>
      </c>
      <c r="H60" s="20">
        <f t="shared" si="0"/>
        <v>34.32</v>
      </c>
      <c r="I60" s="12" t="s">
        <v>15</v>
      </c>
      <c r="J60" s="22" t="s">
        <v>16</v>
      </c>
      <c r="K60" s="22" t="s">
        <v>17</v>
      </c>
    </row>
    <row r="61" spans="1:11" ht="38.25" x14ac:dyDescent="0.25">
      <c r="A61" s="18">
        <v>60</v>
      </c>
      <c r="B61" s="12" t="s">
        <v>971</v>
      </c>
      <c r="C61" s="12" t="s">
        <v>972</v>
      </c>
      <c r="D61" s="13" t="s">
        <v>973</v>
      </c>
      <c r="E61" s="19" t="s">
        <v>14</v>
      </c>
      <c r="F61" s="19">
        <v>2</v>
      </c>
      <c r="G61" s="20">
        <v>20.21</v>
      </c>
      <c r="H61" s="20">
        <f t="shared" si="0"/>
        <v>40.42</v>
      </c>
      <c r="I61" s="12" t="s">
        <v>15</v>
      </c>
      <c r="J61" s="22" t="s">
        <v>16</v>
      </c>
      <c r="K61" s="22" t="s">
        <v>17</v>
      </c>
    </row>
    <row r="62" spans="1:11" s="9" customFormat="1" x14ac:dyDescent="0.25">
      <c r="A62" s="18">
        <v>61</v>
      </c>
      <c r="B62" s="12" t="s">
        <v>1384</v>
      </c>
      <c r="C62" s="12" t="s">
        <v>290</v>
      </c>
      <c r="D62" s="13" t="s">
        <v>1385</v>
      </c>
      <c r="E62" s="19" t="s">
        <v>14</v>
      </c>
      <c r="F62" s="19">
        <v>1</v>
      </c>
      <c r="G62" s="20">
        <v>26.51</v>
      </c>
      <c r="H62" s="20">
        <f t="shared" si="0"/>
        <v>26.51</v>
      </c>
      <c r="I62" s="12" t="s">
        <v>15</v>
      </c>
      <c r="J62" s="22" t="s">
        <v>16</v>
      </c>
      <c r="K62" s="22" t="s">
        <v>17</v>
      </c>
    </row>
    <row r="63" spans="1:11" s="9" customFormat="1" x14ac:dyDescent="0.25">
      <c r="A63" s="18">
        <v>62</v>
      </c>
      <c r="B63" s="12" t="s">
        <v>92</v>
      </c>
      <c r="C63" s="12" t="s">
        <v>93</v>
      </c>
      <c r="D63" s="13" t="s">
        <v>94</v>
      </c>
      <c r="E63" s="19" t="s">
        <v>14</v>
      </c>
      <c r="F63" s="19">
        <v>80</v>
      </c>
      <c r="G63" s="20">
        <v>0.8</v>
      </c>
      <c r="H63" s="20">
        <f t="shared" si="0"/>
        <v>64</v>
      </c>
      <c r="I63" s="12" t="s">
        <v>15</v>
      </c>
      <c r="J63" s="22" t="s">
        <v>16</v>
      </c>
      <c r="K63" s="22" t="s">
        <v>17</v>
      </c>
    </row>
    <row r="64" spans="1:11" s="9" customFormat="1" x14ac:dyDescent="0.25">
      <c r="A64" s="18">
        <v>63</v>
      </c>
      <c r="B64" s="12" t="s">
        <v>1252</v>
      </c>
      <c r="C64" s="12" t="s">
        <v>1253</v>
      </c>
      <c r="D64" s="13" t="s">
        <v>1254</v>
      </c>
      <c r="E64" s="19" t="s">
        <v>24</v>
      </c>
      <c r="F64" s="19">
        <v>6</v>
      </c>
      <c r="G64" s="20">
        <v>16.64</v>
      </c>
      <c r="H64" s="20">
        <f t="shared" si="0"/>
        <v>99.84</v>
      </c>
      <c r="I64" s="12" t="s">
        <v>15</v>
      </c>
      <c r="J64" s="22" t="s">
        <v>16</v>
      </c>
      <c r="K64" s="22" t="s">
        <v>17</v>
      </c>
    </row>
    <row r="65" spans="1:11" s="9" customFormat="1" x14ac:dyDescent="0.25">
      <c r="A65" s="18">
        <v>64</v>
      </c>
      <c r="B65" s="12" t="s">
        <v>1463</v>
      </c>
      <c r="C65" s="12" t="s">
        <v>137</v>
      </c>
      <c r="D65" s="13" t="s">
        <v>1464</v>
      </c>
      <c r="E65" s="19" t="s">
        <v>14</v>
      </c>
      <c r="F65" s="19">
        <v>1</v>
      </c>
      <c r="G65" s="20">
        <v>197.10999999999999</v>
      </c>
      <c r="H65" s="20">
        <f t="shared" si="0"/>
        <v>197.10999999999999</v>
      </c>
      <c r="I65" s="12" t="s">
        <v>15</v>
      </c>
      <c r="J65" s="22" t="s">
        <v>16</v>
      </c>
      <c r="K65" s="22" t="s">
        <v>17</v>
      </c>
    </row>
    <row r="66" spans="1:11" s="9" customFormat="1" ht="25.5" x14ac:dyDescent="0.25">
      <c r="A66" s="18">
        <v>65</v>
      </c>
      <c r="B66" s="12" t="s">
        <v>1348</v>
      </c>
      <c r="C66" s="12" t="s">
        <v>1349</v>
      </c>
      <c r="D66" s="13" t="s">
        <v>1350</v>
      </c>
      <c r="E66" s="19" t="s">
        <v>191</v>
      </c>
      <c r="F66" s="19">
        <v>8</v>
      </c>
      <c r="G66" s="20">
        <v>6.3199999999999994</v>
      </c>
      <c r="H66" s="20">
        <f t="shared" ref="H66:H129" si="1">F66*G66</f>
        <v>50.559999999999995</v>
      </c>
      <c r="I66" s="12" t="s">
        <v>15</v>
      </c>
      <c r="J66" s="22" t="s">
        <v>16</v>
      </c>
      <c r="K66" s="22" t="s">
        <v>17</v>
      </c>
    </row>
    <row r="67" spans="1:11" s="9" customFormat="1" ht="25.5" x14ac:dyDescent="0.25">
      <c r="A67" s="18">
        <v>66</v>
      </c>
      <c r="B67" s="12" t="s">
        <v>95</v>
      </c>
      <c r="C67" s="12" t="s">
        <v>81</v>
      </c>
      <c r="D67" s="13" t="s">
        <v>96</v>
      </c>
      <c r="E67" s="19" t="s">
        <v>14</v>
      </c>
      <c r="F67" s="19">
        <v>72</v>
      </c>
      <c r="G67" s="20">
        <v>13.57</v>
      </c>
      <c r="H67" s="20">
        <f t="shared" si="1"/>
        <v>977.04</v>
      </c>
      <c r="I67" s="12" t="s">
        <v>15</v>
      </c>
      <c r="J67" s="22" t="s">
        <v>16</v>
      </c>
      <c r="K67" s="22" t="s">
        <v>17</v>
      </c>
    </row>
    <row r="68" spans="1:11" s="9" customFormat="1" ht="25.5" x14ac:dyDescent="0.25">
      <c r="A68" s="18">
        <v>67</v>
      </c>
      <c r="B68" s="12" t="s">
        <v>1417</v>
      </c>
      <c r="C68" s="12" t="s">
        <v>1041</v>
      </c>
      <c r="D68" s="13" t="s">
        <v>1418</v>
      </c>
      <c r="E68" s="19" t="s">
        <v>14</v>
      </c>
      <c r="F68" s="19">
        <v>14</v>
      </c>
      <c r="G68" s="20">
        <v>49.11</v>
      </c>
      <c r="H68" s="20">
        <f t="shared" si="1"/>
        <v>687.54</v>
      </c>
      <c r="I68" s="12" t="s">
        <v>15</v>
      </c>
      <c r="J68" s="22" t="s">
        <v>16</v>
      </c>
      <c r="K68" s="22" t="s">
        <v>17</v>
      </c>
    </row>
    <row r="69" spans="1:11" s="9" customFormat="1" x14ac:dyDescent="0.25">
      <c r="A69" s="18">
        <v>68</v>
      </c>
      <c r="B69" s="12" t="s">
        <v>1413</v>
      </c>
      <c r="C69" s="12" t="s">
        <v>19</v>
      </c>
      <c r="D69" s="13" t="s">
        <v>1414</v>
      </c>
      <c r="E69" s="19" t="s">
        <v>14</v>
      </c>
      <c r="F69" s="19">
        <v>360</v>
      </c>
      <c r="G69" s="20">
        <v>0.46</v>
      </c>
      <c r="H69" s="20">
        <f t="shared" si="1"/>
        <v>165.6</v>
      </c>
      <c r="I69" s="12" t="s">
        <v>15</v>
      </c>
      <c r="J69" s="22" t="s">
        <v>16</v>
      </c>
      <c r="K69" s="22" t="s">
        <v>17</v>
      </c>
    </row>
    <row r="70" spans="1:11" s="9" customFormat="1" x14ac:dyDescent="0.25">
      <c r="A70" s="18">
        <v>69</v>
      </c>
      <c r="B70" s="12" t="s">
        <v>1419</v>
      </c>
      <c r="C70" s="12" t="s">
        <v>1420</v>
      </c>
      <c r="D70" s="13" t="s">
        <v>1421</v>
      </c>
      <c r="E70" s="19" t="s">
        <v>14</v>
      </c>
      <c r="F70" s="19">
        <v>52</v>
      </c>
      <c r="G70" s="20">
        <v>3.67</v>
      </c>
      <c r="H70" s="20">
        <f t="shared" si="1"/>
        <v>190.84</v>
      </c>
      <c r="I70" s="12" t="s">
        <v>15</v>
      </c>
      <c r="J70" s="22" t="s">
        <v>16</v>
      </c>
      <c r="K70" s="22" t="s">
        <v>17</v>
      </c>
    </row>
    <row r="71" spans="1:11" s="9" customFormat="1" x14ac:dyDescent="0.25">
      <c r="A71" s="18">
        <v>70</v>
      </c>
      <c r="B71" s="12" t="s">
        <v>97</v>
      </c>
      <c r="C71" s="12" t="s">
        <v>98</v>
      </c>
      <c r="D71" s="13" t="s">
        <v>99</v>
      </c>
      <c r="E71" s="19" t="s">
        <v>14</v>
      </c>
      <c r="F71" s="19">
        <v>12</v>
      </c>
      <c r="G71" s="20">
        <v>44.1</v>
      </c>
      <c r="H71" s="20">
        <f t="shared" si="1"/>
        <v>529.20000000000005</v>
      </c>
      <c r="I71" s="12" t="s">
        <v>15</v>
      </c>
      <c r="J71" s="22" t="s">
        <v>16</v>
      </c>
      <c r="K71" s="22" t="s">
        <v>17</v>
      </c>
    </row>
    <row r="72" spans="1:11" s="9" customFormat="1" x14ac:dyDescent="0.25">
      <c r="A72" s="18">
        <v>71</v>
      </c>
      <c r="B72" s="12" t="s">
        <v>1422</v>
      </c>
      <c r="C72" s="12" t="s">
        <v>297</v>
      </c>
      <c r="D72" s="13" t="s">
        <v>1423</v>
      </c>
      <c r="E72" s="19" t="s">
        <v>14</v>
      </c>
      <c r="F72" s="19">
        <v>5</v>
      </c>
      <c r="G72" s="20">
        <v>2.95</v>
      </c>
      <c r="H72" s="20">
        <f t="shared" si="1"/>
        <v>14.75</v>
      </c>
      <c r="I72" s="12" t="s">
        <v>15</v>
      </c>
      <c r="J72" s="22" t="s">
        <v>16</v>
      </c>
      <c r="K72" s="22" t="s">
        <v>17</v>
      </c>
    </row>
    <row r="73" spans="1:11" s="9" customFormat="1" x14ac:dyDescent="0.25">
      <c r="A73" s="18">
        <v>72</v>
      </c>
      <c r="B73" s="12" t="s">
        <v>1424</v>
      </c>
      <c r="C73" s="12" t="s">
        <v>1420</v>
      </c>
      <c r="D73" s="13" t="s">
        <v>1425</v>
      </c>
      <c r="E73" s="19" t="s">
        <v>14</v>
      </c>
      <c r="F73" s="19">
        <v>12</v>
      </c>
      <c r="G73" s="20">
        <v>1.72</v>
      </c>
      <c r="H73" s="20">
        <f t="shared" si="1"/>
        <v>20.64</v>
      </c>
      <c r="I73" s="12" t="s">
        <v>15</v>
      </c>
      <c r="J73" s="22" t="s">
        <v>16</v>
      </c>
      <c r="K73" s="22" t="s">
        <v>17</v>
      </c>
    </row>
    <row r="74" spans="1:11" s="9" customFormat="1" x14ac:dyDescent="0.25">
      <c r="A74" s="18">
        <v>73</v>
      </c>
      <c r="B74" s="12" t="s">
        <v>100</v>
      </c>
      <c r="C74" s="12" t="s">
        <v>57</v>
      </c>
      <c r="D74" s="13" t="s">
        <v>101</v>
      </c>
      <c r="E74" s="19" t="s">
        <v>14</v>
      </c>
      <c r="F74" s="19">
        <v>262</v>
      </c>
      <c r="G74" s="20">
        <v>3</v>
      </c>
      <c r="H74" s="20">
        <f t="shared" si="1"/>
        <v>786</v>
      </c>
      <c r="I74" s="12" t="s">
        <v>15</v>
      </c>
      <c r="J74" s="22" t="s">
        <v>16</v>
      </c>
      <c r="K74" s="22" t="s">
        <v>17</v>
      </c>
    </row>
    <row r="75" spans="1:11" s="9" customFormat="1" x14ac:dyDescent="0.25">
      <c r="A75" s="18">
        <v>74</v>
      </c>
      <c r="B75" s="12" t="s">
        <v>1411</v>
      </c>
      <c r="C75" s="12" t="s">
        <v>1412</v>
      </c>
      <c r="D75" s="13">
        <v>902</v>
      </c>
      <c r="E75" s="19" t="s">
        <v>14</v>
      </c>
      <c r="F75" s="19">
        <v>177</v>
      </c>
      <c r="G75" s="20">
        <v>1.41</v>
      </c>
      <c r="H75" s="20">
        <f t="shared" si="1"/>
        <v>249.57</v>
      </c>
      <c r="I75" s="12" t="s">
        <v>105</v>
      </c>
      <c r="J75" s="22" t="s">
        <v>16</v>
      </c>
      <c r="K75" s="22" t="s">
        <v>17</v>
      </c>
    </row>
    <row r="76" spans="1:11" s="9" customFormat="1" ht="25.5" x14ac:dyDescent="0.25">
      <c r="A76" s="18">
        <v>75</v>
      </c>
      <c r="B76" s="12" t="s">
        <v>1342</v>
      </c>
      <c r="C76" s="12" t="s">
        <v>186</v>
      </c>
      <c r="D76" s="13">
        <v>13982</v>
      </c>
      <c r="E76" s="19" t="s">
        <v>14</v>
      </c>
      <c r="F76" s="19">
        <v>5</v>
      </c>
      <c r="G76" s="20">
        <v>228</v>
      </c>
      <c r="H76" s="20">
        <f t="shared" si="1"/>
        <v>1140</v>
      </c>
      <c r="I76" s="12" t="s">
        <v>105</v>
      </c>
      <c r="J76" s="22" t="s">
        <v>16</v>
      </c>
      <c r="K76" s="22" t="s">
        <v>17</v>
      </c>
    </row>
    <row r="77" spans="1:11" s="9" customFormat="1" ht="25.5" x14ac:dyDescent="0.25">
      <c r="A77" s="18">
        <v>76</v>
      </c>
      <c r="B77" s="12" t="s">
        <v>1574</v>
      </c>
      <c r="C77" s="12" t="s">
        <v>1575</v>
      </c>
      <c r="D77" s="13">
        <v>549210</v>
      </c>
      <c r="E77" s="19" t="s">
        <v>24</v>
      </c>
      <c r="F77" s="19">
        <v>1</v>
      </c>
      <c r="G77" s="20">
        <v>236.17999999999998</v>
      </c>
      <c r="H77" s="20">
        <f t="shared" si="1"/>
        <v>236.17999999999998</v>
      </c>
      <c r="I77" s="12" t="s">
        <v>105</v>
      </c>
      <c r="J77" s="19" t="s">
        <v>16</v>
      </c>
      <c r="K77" s="19" t="s">
        <v>17</v>
      </c>
    </row>
    <row r="78" spans="1:11" s="9" customFormat="1" x14ac:dyDescent="0.25">
      <c r="A78" s="18">
        <v>77</v>
      </c>
      <c r="B78" s="12" t="s">
        <v>1426</v>
      </c>
      <c r="C78" s="12" t="s">
        <v>63</v>
      </c>
      <c r="D78" s="13">
        <v>650011</v>
      </c>
      <c r="E78" s="19" t="s">
        <v>24</v>
      </c>
      <c r="F78" s="19">
        <v>40</v>
      </c>
      <c r="G78" s="20">
        <v>3.67</v>
      </c>
      <c r="H78" s="20">
        <f t="shared" si="1"/>
        <v>146.80000000000001</v>
      </c>
      <c r="I78" s="12" t="s">
        <v>105</v>
      </c>
      <c r="J78" s="22" t="s">
        <v>16</v>
      </c>
      <c r="K78" s="22" t="s">
        <v>17</v>
      </c>
    </row>
    <row r="79" spans="1:11" s="9" customFormat="1" ht="25.5" x14ac:dyDescent="0.25">
      <c r="A79" s="18">
        <v>78</v>
      </c>
      <c r="B79" s="12" t="s">
        <v>1351</v>
      </c>
      <c r="C79" s="12" t="s">
        <v>1028</v>
      </c>
      <c r="D79" s="13">
        <v>10060580</v>
      </c>
      <c r="E79" s="19" t="s">
        <v>14</v>
      </c>
      <c r="F79" s="19">
        <v>311</v>
      </c>
      <c r="G79" s="20">
        <v>5.62</v>
      </c>
      <c r="H79" s="20">
        <f t="shared" si="1"/>
        <v>1747.82</v>
      </c>
      <c r="I79" s="12" t="s">
        <v>105</v>
      </c>
      <c r="J79" s="22" t="s">
        <v>16</v>
      </c>
      <c r="K79" s="22" t="s">
        <v>17</v>
      </c>
    </row>
    <row r="80" spans="1:11" s="9" customFormat="1" x14ac:dyDescent="0.25">
      <c r="A80" s="18">
        <v>79</v>
      </c>
      <c r="B80" s="12" t="s">
        <v>1338</v>
      </c>
      <c r="C80" s="12" t="s">
        <v>879</v>
      </c>
      <c r="D80" s="13" t="s">
        <v>1573</v>
      </c>
      <c r="E80" s="19" t="s">
        <v>68</v>
      </c>
      <c r="F80" s="19">
        <v>25</v>
      </c>
      <c r="G80" s="20">
        <v>2.8099999999999996</v>
      </c>
      <c r="H80" s="20">
        <f t="shared" si="1"/>
        <v>70.249999999999986</v>
      </c>
      <c r="I80" s="12" t="s">
        <v>105</v>
      </c>
      <c r="J80" s="19" t="s">
        <v>16</v>
      </c>
      <c r="K80" s="19" t="s">
        <v>17</v>
      </c>
    </row>
    <row r="81" spans="1:11" s="9" customFormat="1" x14ac:dyDescent="0.25">
      <c r="A81" s="18">
        <v>80</v>
      </c>
      <c r="B81" s="12" t="s">
        <v>1365</v>
      </c>
      <c r="C81" s="12" t="s">
        <v>1296</v>
      </c>
      <c r="D81" s="13" t="s">
        <v>1366</v>
      </c>
      <c r="E81" s="19" t="s">
        <v>236</v>
      </c>
      <c r="F81" s="19">
        <v>2</v>
      </c>
      <c r="G81" s="20">
        <v>35.72</v>
      </c>
      <c r="H81" s="20">
        <f t="shared" si="1"/>
        <v>71.44</v>
      </c>
      <c r="I81" s="12" t="s">
        <v>105</v>
      </c>
      <c r="J81" s="22" t="s">
        <v>16</v>
      </c>
      <c r="K81" s="22" t="s">
        <v>17</v>
      </c>
    </row>
    <row r="82" spans="1:11" s="9" customFormat="1" ht="25.5" x14ac:dyDescent="0.25">
      <c r="A82" s="18">
        <v>81</v>
      </c>
      <c r="B82" s="12" t="s">
        <v>1372</v>
      </c>
      <c r="C82" s="12" t="s">
        <v>39</v>
      </c>
      <c r="D82" s="13" t="s">
        <v>1373</v>
      </c>
      <c r="E82" s="19" t="s">
        <v>14</v>
      </c>
      <c r="F82" s="19">
        <v>199</v>
      </c>
      <c r="G82" s="20">
        <v>26.16</v>
      </c>
      <c r="H82" s="20">
        <f t="shared" si="1"/>
        <v>5205.84</v>
      </c>
      <c r="I82" s="12" t="s">
        <v>105</v>
      </c>
      <c r="J82" s="22" t="s">
        <v>16</v>
      </c>
      <c r="K82" s="22" t="s">
        <v>17</v>
      </c>
    </row>
    <row r="83" spans="1:11" s="9" customFormat="1" x14ac:dyDescent="0.25">
      <c r="A83" s="18">
        <v>82</v>
      </c>
      <c r="B83" s="12" t="s">
        <v>102</v>
      </c>
      <c r="C83" s="12" t="s">
        <v>103</v>
      </c>
      <c r="D83" s="13" t="s">
        <v>104</v>
      </c>
      <c r="E83" s="19" t="s">
        <v>14</v>
      </c>
      <c r="F83" s="19">
        <v>18</v>
      </c>
      <c r="G83" s="20">
        <v>5.2</v>
      </c>
      <c r="H83" s="20">
        <f t="shared" si="1"/>
        <v>93.600000000000009</v>
      </c>
      <c r="I83" s="12" t="s">
        <v>105</v>
      </c>
      <c r="J83" s="22" t="s">
        <v>16</v>
      </c>
      <c r="K83" s="22" t="s">
        <v>17</v>
      </c>
    </row>
    <row r="84" spans="1:11" s="9" customFormat="1" x14ac:dyDescent="0.25">
      <c r="A84" s="18">
        <v>83</v>
      </c>
      <c r="B84" s="12" t="s">
        <v>106</v>
      </c>
      <c r="C84" s="12" t="s">
        <v>103</v>
      </c>
      <c r="D84" s="13" t="s">
        <v>107</v>
      </c>
      <c r="E84" s="19" t="s">
        <v>14</v>
      </c>
      <c r="F84" s="19">
        <v>130</v>
      </c>
      <c r="G84" s="20">
        <v>4.1900000000000004</v>
      </c>
      <c r="H84" s="20">
        <f t="shared" si="1"/>
        <v>544.70000000000005</v>
      </c>
      <c r="I84" s="12" t="s">
        <v>105</v>
      </c>
      <c r="J84" s="22" t="s">
        <v>16</v>
      </c>
      <c r="K84" s="22" t="s">
        <v>17</v>
      </c>
    </row>
    <row r="85" spans="1:11" s="9" customFormat="1" x14ac:dyDescent="0.25">
      <c r="A85" s="18">
        <v>84</v>
      </c>
      <c r="B85" s="12" t="s">
        <v>108</v>
      </c>
      <c r="C85" s="12" t="s">
        <v>109</v>
      </c>
      <c r="D85" s="13" t="s">
        <v>110</v>
      </c>
      <c r="E85" s="19" t="s">
        <v>14</v>
      </c>
      <c r="F85" s="19">
        <v>119</v>
      </c>
      <c r="G85" s="20">
        <v>5.53</v>
      </c>
      <c r="H85" s="20">
        <f t="shared" si="1"/>
        <v>658.07</v>
      </c>
      <c r="I85" s="12" t="s">
        <v>105</v>
      </c>
      <c r="J85" s="22" t="s">
        <v>16</v>
      </c>
      <c r="K85" s="22" t="s">
        <v>17</v>
      </c>
    </row>
    <row r="86" spans="1:11" s="9" customFormat="1" x14ac:dyDescent="0.25">
      <c r="A86" s="18">
        <v>85</v>
      </c>
      <c r="B86" s="12" t="s">
        <v>1571</v>
      </c>
      <c r="C86" s="12" t="s">
        <v>19</v>
      </c>
      <c r="D86" s="13" t="s">
        <v>1572</v>
      </c>
      <c r="E86" s="19" t="s">
        <v>14</v>
      </c>
      <c r="F86" s="19">
        <v>80</v>
      </c>
      <c r="G86" s="20">
        <v>0.74</v>
      </c>
      <c r="H86" s="20">
        <f t="shared" si="1"/>
        <v>59.2</v>
      </c>
      <c r="I86" s="12" t="s">
        <v>105</v>
      </c>
      <c r="J86" s="19" t="s">
        <v>16</v>
      </c>
      <c r="K86" s="19" t="s">
        <v>17</v>
      </c>
    </row>
    <row r="87" spans="1:11" s="9" customFormat="1" ht="25.5" x14ac:dyDescent="0.25">
      <c r="A87" s="18">
        <v>86</v>
      </c>
      <c r="B87" s="12" t="s">
        <v>1569</v>
      </c>
      <c r="C87" s="12" t="s">
        <v>205</v>
      </c>
      <c r="D87" s="13" t="s">
        <v>1570</v>
      </c>
      <c r="E87" s="19" t="s">
        <v>14</v>
      </c>
      <c r="F87" s="19">
        <v>1</v>
      </c>
      <c r="G87" s="20">
        <v>16500</v>
      </c>
      <c r="H87" s="20">
        <f t="shared" si="1"/>
        <v>16500</v>
      </c>
      <c r="I87" s="12" t="s">
        <v>105</v>
      </c>
      <c r="J87" s="19" t="s">
        <v>16</v>
      </c>
      <c r="K87" s="19" t="s">
        <v>17</v>
      </c>
    </row>
    <row r="88" spans="1:11" s="9" customFormat="1" ht="25.5" x14ac:dyDescent="0.25">
      <c r="A88" s="18">
        <v>87</v>
      </c>
      <c r="B88" s="12" t="s">
        <v>111</v>
      </c>
      <c r="C88" s="12" t="s">
        <v>112</v>
      </c>
      <c r="D88" s="13" t="s">
        <v>113</v>
      </c>
      <c r="E88" s="19" t="s">
        <v>14</v>
      </c>
      <c r="F88" s="19">
        <v>134</v>
      </c>
      <c r="G88" s="20">
        <v>41.2</v>
      </c>
      <c r="H88" s="20">
        <f t="shared" si="1"/>
        <v>5520.8</v>
      </c>
      <c r="I88" s="12" t="s">
        <v>105</v>
      </c>
      <c r="J88" s="22" t="s">
        <v>16</v>
      </c>
      <c r="K88" s="22" t="s">
        <v>17</v>
      </c>
    </row>
    <row r="89" spans="1:11" s="9" customFormat="1" x14ac:dyDescent="0.25">
      <c r="A89" s="18">
        <v>88</v>
      </c>
      <c r="B89" s="12" t="s">
        <v>1455</v>
      </c>
      <c r="C89" s="12" t="s">
        <v>137</v>
      </c>
      <c r="D89" s="13" t="s">
        <v>1456</v>
      </c>
      <c r="E89" s="19" t="s">
        <v>14</v>
      </c>
      <c r="F89" s="19">
        <v>2</v>
      </c>
      <c r="G89" s="20">
        <v>176.92999999999998</v>
      </c>
      <c r="H89" s="20">
        <f t="shared" si="1"/>
        <v>353.85999999999996</v>
      </c>
      <c r="I89" s="12" t="s">
        <v>105</v>
      </c>
      <c r="J89" s="22" t="s">
        <v>16</v>
      </c>
      <c r="K89" s="22" t="s">
        <v>17</v>
      </c>
    </row>
    <row r="90" spans="1:11" s="9" customFormat="1" x14ac:dyDescent="0.25">
      <c r="A90" s="18">
        <v>89</v>
      </c>
      <c r="B90" s="12" t="s">
        <v>1457</v>
      </c>
      <c r="C90" s="12" t="s">
        <v>137</v>
      </c>
      <c r="D90" s="13" t="s">
        <v>1458</v>
      </c>
      <c r="E90" s="19" t="s">
        <v>14</v>
      </c>
      <c r="F90" s="19">
        <v>15</v>
      </c>
      <c r="G90" s="20">
        <v>146.04</v>
      </c>
      <c r="H90" s="20">
        <f t="shared" si="1"/>
        <v>2190.6</v>
      </c>
      <c r="I90" s="12" t="s">
        <v>105</v>
      </c>
      <c r="J90" s="22" t="s">
        <v>16</v>
      </c>
      <c r="K90" s="22" t="s">
        <v>17</v>
      </c>
    </row>
    <row r="91" spans="1:11" s="9" customFormat="1" x14ac:dyDescent="0.25">
      <c r="A91" s="18">
        <v>90</v>
      </c>
      <c r="B91" s="12" t="s">
        <v>1459</v>
      </c>
      <c r="C91" s="12" t="s">
        <v>1453</v>
      </c>
      <c r="D91" s="13" t="s">
        <v>1460</v>
      </c>
      <c r="E91" s="19" t="s">
        <v>14</v>
      </c>
      <c r="F91" s="19">
        <v>3</v>
      </c>
      <c r="G91" s="20">
        <v>153.16999999999999</v>
      </c>
      <c r="H91" s="20">
        <f t="shared" si="1"/>
        <v>459.51</v>
      </c>
      <c r="I91" s="12" t="s">
        <v>105</v>
      </c>
      <c r="J91" s="22" t="s">
        <v>16</v>
      </c>
      <c r="K91" s="22" t="s">
        <v>17</v>
      </c>
    </row>
    <row r="92" spans="1:11" s="9" customFormat="1" x14ac:dyDescent="0.25">
      <c r="A92" s="18">
        <v>91</v>
      </c>
      <c r="B92" s="12" t="s">
        <v>1461</v>
      </c>
      <c r="C92" s="12" t="s">
        <v>1453</v>
      </c>
      <c r="D92" s="13" t="s">
        <v>1462</v>
      </c>
      <c r="E92" s="19" t="s">
        <v>14</v>
      </c>
      <c r="F92" s="19">
        <v>3</v>
      </c>
      <c r="G92" s="20">
        <v>156.72999999999999</v>
      </c>
      <c r="H92" s="20">
        <f t="shared" si="1"/>
        <v>470.18999999999994</v>
      </c>
      <c r="I92" s="12" t="s">
        <v>105</v>
      </c>
      <c r="J92" s="22" t="s">
        <v>16</v>
      </c>
      <c r="K92" s="22" t="s">
        <v>17</v>
      </c>
    </row>
    <row r="93" spans="1:11" s="9" customFormat="1" ht="25.5" x14ac:dyDescent="0.25">
      <c r="A93" s="18">
        <v>92</v>
      </c>
      <c r="B93" s="12" t="s">
        <v>114</v>
      </c>
      <c r="C93" s="12" t="s">
        <v>115</v>
      </c>
      <c r="D93" s="13" t="s">
        <v>116</v>
      </c>
      <c r="E93" s="19" t="s">
        <v>14</v>
      </c>
      <c r="F93" s="19">
        <v>1</v>
      </c>
      <c r="G93" s="20">
        <v>2.23</v>
      </c>
      <c r="H93" s="20">
        <f t="shared" si="1"/>
        <v>2.23</v>
      </c>
      <c r="I93" s="12" t="s">
        <v>105</v>
      </c>
      <c r="J93" s="22" t="s">
        <v>16</v>
      </c>
      <c r="K93" s="22" t="s">
        <v>17</v>
      </c>
    </row>
    <row r="94" spans="1:11" s="9" customFormat="1" ht="25.5" x14ac:dyDescent="0.25">
      <c r="A94" s="18">
        <v>93</v>
      </c>
      <c r="B94" s="12" t="s">
        <v>117</v>
      </c>
      <c r="C94" s="12" t="s">
        <v>115</v>
      </c>
      <c r="D94" s="13" t="s">
        <v>118</v>
      </c>
      <c r="E94" s="19" t="s">
        <v>14</v>
      </c>
      <c r="F94" s="19">
        <v>26</v>
      </c>
      <c r="G94" s="20">
        <v>1.51</v>
      </c>
      <c r="H94" s="20">
        <f t="shared" si="1"/>
        <v>39.26</v>
      </c>
      <c r="I94" s="12" t="s">
        <v>105</v>
      </c>
      <c r="J94" s="22" t="s">
        <v>16</v>
      </c>
      <c r="K94" s="22" t="s">
        <v>17</v>
      </c>
    </row>
    <row r="95" spans="1:11" s="9" customFormat="1" ht="25.5" x14ac:dyDescent="0.25">
      <c r="A95" s="18">
        <v>94</v>
      </c>
      <c r="B95" s="12" t="s">
        <v>119</v>
      </c>
      <c r="C95" s="12" t="s">
        <v>115</v>
      </c>
      <c r="D95" s="13" t="s">
        <v>120</v>
      </c>
      <c r="E95" s="19" t="s">
        <v>14</v>
      </c>
      <c r="F95" s="19">
        <v>153</v>
      </c>
      <c r="G95" s="20">
        <v>18.399999999999999</v>
      </c>
      <c r="H95" s="20">
        <f t="shared" si="1"/>
        <v>2815.2</v>
      </c>
      <c r="I95" s="12" t="s">
        <v>105</v>
      </c>
      <c r="J95" s="22" t="s">
        <v>16</v>
      </c>
      <c r="K95" s="22" t="s">
        <v>17</v>
      </c>
    </row>
    <row r="96" spans="1:11" s="9" customFormat="1" ht="25.5" x14ac:dyDescent="0.25">
      <c r="A96" s="18">
        <v>95</v>
      </c>
      <c r="B96" s="12" t="s">
        <v>121</v>
      </c>
      <c r="C96" s="12" t="s">
        <v>115</v>
      </c>
      <c r="D96" s="13" t="s">
        <v>122</v>
      </c>
      <c r="E96" s="19" t="s">
        <v>14</v>
      </c>
      <c r="F96" s="19">
        <v>90</v>
      </c>
      <c r="G96" s="20">
        <v>3.78</v>
      </c>
      <c r="H96" s="20">
        <f t="shared" si="1"/>
        <v>340.2</v>
      </c>
      <c r="I96" s="12" t="s">
        <v>105</v>
      </c>
      <c r="J96" s="22" t="s">
        <v>16</v>
      </c>
      <c r="K96" s="22" t="s">
        <v>17</v>
      </c>
    </row>
    <row r="97" spans="1:11" s="9" customFormat="1" ht="25.5" x14ac:dyDescent="0.25">
      <c r="A97" s="18">
        <v>96</v>
      </c>
      <c r="B97" s="12" t="s">
        <v>123</v>
      </c>
      <c r="C97" s="12" t="s">
        <v>115</v>
      </c>
      <c r="D97" s="13" t="s">
        <v>124</v>
      </c>
      <c r="E97" s="19" t="s">
        <v>14</v>
      </c>
      <c r="F97" s="19">
        <v>99</v>
      </c>
      <c r="G97" s="20">
        <v>11.82</v>
      </c>
      <c r="H97" s="20">
        <f t="shared" si="1"/>
        <v>1170.18</v>
      </c>
      <c r="I97" s="12" t="s">
        <v>105</v>
      </c>
      <c r="J97" s="22" t="s">
        <v>16</v>
      </c>
      <c r="K97" s="22" t="s">
        <v>17</v>
      </c>
    </row>
    <row r="98" spans="1:11" s="9" customFormat="1" ht="25.5" x14ac:dyDescent="0.25">
      <c r="A98" s="18">
        <v>97</v>
      </c>
      <c r="B98" s="12" t="s">
        <v>125</v>
      </c>
      <c r="C98" s="12" t="s">
        <v>115</v>
      </c>
      <c r="D98" s="13" t="s">
        <v>126</v>
      </c>
      <c r="E98" s="19" t="s">
        <v>14</v>
      </c>
      <c r="F98" s="19">
        <v>2</v>
      </c>
      <c r="G98" s="20">
        <v>7.39</v>
      </c>
      <c r="H98" s="20">
        <f t="shared" si="1"/>
        <v>14.78</v>
      </c>
      <c r="I98" s="12" t="s">
        <v>105</v>
      </c>
      <c r="J98" s="22" t="s">
        <v>16</v>
      </c>
      <c r="K98" s="22" t="s">
        <v>17</v>
      </c>
    </row>
    <row r="99" spans="1:11" s="9" customFormat="1" ht="25.5" x14ac:dyDescent="0.25">
      <c r="A99" s="18">
        <v>98</v>
      </c>
      <c r="B99" s="12" t="s">
        <v>127</v>
      </c>
      <c r="C99" s="12" t="s">
        <v>115</v>
      </c>
      <c r="D99" s="13" t="s">
        <v>128</v>
      </c>
      <c r="E99" s="19" t="s">
        <v>14</v>
      </c>
      <c r="F99" s="19">
        <v>11</v>
      </c>
      <c r="G99" s="20">
        <v>3.78</v>
      </c>
      <c r="H99" s="20">
        <f t="shared" si="1"/>
        <v>41.58</v>
      </c>
      <c r="I99" s="12" t="s">
        <v>105</v>
      </c>
      <c r="J99" s="22" t="s">
        <v>16</v>
      </c>
      <c r="K99" s="22" t="s">
        <v>17</v>
      </c>
    </row>
    <row r="100" spans="1:11" s="9" customFormat="1" ht="25.5" x14ac:dyDescent="0.25">
      <c r="A100" s="18">
        <v>99</v>
      </c>
      <c r="B100" s="12" t="s">
        <v>129</v>
      </c>
      <c r="C100" s="12" t="s">
        <v>115</v>
      </c>
      <c r="D100" s="13" t="s">
        <v>130</v>
      </c>
      <c r="E100" s="19" t="s">
        <v>14</v>
      </c>
      <c r="F100" s="19">
        <v>114</v>
      </c>
      <c r="G100" s="20">
        <v>2.78</v>
      </c>
      <c r="H100" s="20">
        <f t="shared" si="1"/>
        <v>316.91999999999996</v>
      </c>
      <c r="I100" s="12" t="s">
        <v>105</v>
      </c>
      <c r="J100" s="22" t="s">
        <v>16</v>
      </c>
      <c r="K100" s="22" t="s">
        <v>17</v>
      </c>
    </row>
    <row r="101" spans="1:11" s="9" customFormat="1" x14ac:dyDescent="0.25">
      <c r="A101" s="18">
        <v>100</v>
      </c>
      <c r="B101" s="12" t="s">
        <v>131</v>
      </c>
      <c r="C101" s="12" t="s">
        <v>39</v>
      </c>
      <c r="D101" s="13" t="s">
        <v>132</v>
      </c>
      <c r="E101" s="19" t="s">
        <v>14</v>
      </c>
      <c r="F101" s="19">
        <v>273</v>
      </c>
      <c r="G101" s="20">
        <v>6.18</v>
      </c>
      <c r="H101" s="20">
        <f t="shared" si="1"/>
        <v>1687.1399999999999</v>
      </c>
      <c r="I101" s="12" t="s">
        <v>105</v>
      </c>
      <c r="J101" s="22" t="s">
        <v>16</v>
      </c>
      <c r="K101" s="22" t="s">
        <v>17</v>
      </c>
    </row>
    <row r="102" spans="1:11" s="9" customFormat="1" x14ac:dyDescent="0.25">
      <c r="A102" s="18">
        <v>101</v>
      </c>
      <c r="B102" s="12" t="s">
        <v>133</v>
      </c>
      <c r="C102" s="12" t="s">
        <v>134</v>
      </c>
      <c r="D102" s="13" t="s">
        <v>135</v>
      </c>
      <c r="E102" s="19" t="s">
        <v>14</v>
      </c>
      <c r="F102" s="19">
        <v>166</v>
      </c>
      <c r="G102" s="20">
        <v>75</v>
      </c>
      <c r="H102" s="20">
        <f t="shared" si="1"/>
        <v>12450</v>
      </c>
      <c r="I102" s="12" t="s">
        <v>105</v>
      </c>
      <c r="J102" s="22" t="s">
        <v>16</v>
      </c>
      <c r="K102" s="22" t="s">
        <v>17</v>
      </c>
    </row>
    <row r="103" spans="1:11" s="9" customFormat="1" ht="25.5" x14ac:dyDescent="0.25">
      <c r="A103" s="18">
        <v>102</v>
      </c>
      <c r="B103" s="12" t="s">
        <v>136</v>
      </c>
      <c r="C103" s="12" t="s">
        <v>137</v>
      </c>
      <c r="D103" s="13" t="s">
        <v>138</v>
      </c>
      <c r="E103" s="19" t="s">
        <v>14</v>
      </c>
      <c r="F103" s="19">
        <v>125</v>
      </c>
      <c r="G103" s="20">
        <v>68.12</v>
      </c>
      <c r="H103" s="20">
        <f t="shared" si="1"/>
        <v>8515</v>
      </c>
      <c r="I103" s="12" t="s">
        <v>105</v>
      </c>
      <c r="J103" s="22" t="s">
        <v>16</v>
      </c>
      <c r="K103" s="22" t="s">
        <v>17</v>
      </c>
    </row>
    <row r="104" spans="1:11" s="9" customFormat="1" ht="25.5" x14ac:dyDescent="0.25">
      <c r="A104" s="18">
        <v>103</v>
      </c>
      <c r="B104" s="12" t="s">
        <v>1394</v>
      </c>
      <c r="C104" s="12" t="s">
        <v>1395</v>
      </c>
      <c r="D104" s="13" t="s">
        <v>1396</v>
      </c>
      <c r="E104" s="19" t="s">
        <v>14</v>
      </c>
      <c r="F104" s="19">
        <v>14</v>
      </c>
      <c r="G104" s="20">
        <v>35.200000000000003</v>
      </c>
      <c r="H104" s="20">
        <f t="shared" si="1"/>
        <v>492.80000000000007</v>
      </c>
      <c r="I104" s="12" t="s">
        <v>105</v>
      </c>
      <c r="J104" s="22" t="s">
        <v>16</v>
      </c>
      <c r="K104" s="22" t="s">
        <v>17</v>
      </c>
    </row>
    <row r="105" spans="1:11" s="9" customFormat="1" x14ac:dyDescent="0.25">
      <c r="A105" s="18">
        <v>104</v>
      </c>
      <c r="B105" s="12" t="s">
        <v>1563</v>
      </c>
      <c r="C105" s="12" t="s">
        <v>63</v>
      </c>
      <c r="D105" s="13" t="s">
        <v>1564</v>
      </c>
      <c r="E105" s="19" t="s">
        <v>24</v>
      </c>
      <c r="F105" s="19">
        <v>2</v>
      </c>
      <c r="G105" s="20">
        <v>25.26</v>
      </c>
      <c r="H105" s="20">
        <f t="shared" si="1"/>
        <v>50.52</v>
      </c>
      <c r="I105" s="12" t="s">
        <v>105</v>
      </c>
      <c r="J105" s="19" t="s">
        <v>16</v>
      </c>
      <c r="K105" s="19" t="s">
        <v>17</v>
      </c>
    </row>
    <row r="106" spans="1:11" s="9" customFormat="1" ht="25.5" x14ac:dyDescent="0.25">
      <c r="A106" s="18">
        <v>105</v>
      </c>
      <c r="B106" s="12" t="s">
        <v>139</v>
      </c>
      <c r="C106" s="12" t="s">
        <v>140</v>
      </c>
      <c r="D106" s="13" t="s">
        <v>141</v>
      </c>
      <c r="E106" s="19" t="s">
        <v>14</v>
      </c>
      <c r="F106" s="19">
        <v>600</v>
      </c>
      <c r="G106" s="20">
        <v>7.03</v>
      </c>
      <c r="H106" s="20">
        <f t="shared" si="1"/>
        <v>4218</v>
      </c>
      <c r="I106" s="12" t="s">
        <v>105</v>
      </c>
      <c r="J106" s="22" t="s">
        <v>16</v>
      </c>
      <c r="K106" s="22" t="s">
        <v>17</v>
      </c>
    </row>
    <row r="107" spans="1:11" s="9" customFormat="1" x14ac:dyDescent="0.25">
      <c r="A107" s="18">
        <v>106</v>
      </c>
      <c r="B107" s="12" t="s">
        <v>142</v>
      </c>
      <c r="C107" s="12" t="s">
        <v>143</v>
      </c>
      <c r="D107" s="13" t="s">
        <v>144</v>
      </c>
      <c r="E107" s="19" t="s">
        <v>14</v>
      </c>
      <c r="F107" s="19">
        <v>891</v>
      </c>
      <c r="G107" s="20">
        <v>1.68</v>
      </c>
      <c r="H107" s="20">
        <f t="shared" si="1"/>
        <v>1496.8799999999999</v>
      </c>
      <c r="I107" s="12" t="s">
        <v>105</v>
      </c>
      <c r="J107" s="22" t="s">
        <v>16</v>
      </c>
      <c r="K107" s="22" t="s">
        <v>17</v>
      </c>
    </row>
    <row r="108" spans="1:11" s="9" customFormat="1" x14ac:dyDescent="0.25">
      <c r="A108" s="18">
        <v>107</v>
      </c>
      <c r="B108" s="12" t="s">
        <v>145</v>
      </c>
      <c r="C108" s="12" t="s">
        <v>143</v>
      </c>
      <c r="D108" s="13" t="s">
        <v>146</v>
      </c>
      <c r="E108" s="19" t="s">
        <v>14</v>
      </c>
      <c r="F108" s="19">
        <v>171</v>
      </c>
      <c r="G108" s="20">
        <v>12</v>
      </c>
      <c r="H108" s="20">
        <f t="shared" si="1"/>
        <v>2052</v>
      </c>
      <c r="I108" s="12" t="s">
        <v>105</v>
      </c>
      <c r="J108" s="22" t="s">
        <v>16</v>
      </c>
      <c r="K108" s="22" t="s">
        <v>17</v>
      </c>
    </row>
    <row r="109" spans="1:11" s="9" customFormat="1" x14ac:dyDescent="0.25">
      <c r="A109" s="18">
        <v>108</v>
      </c>
      <c r="B109" s="12" t="s">
        <v>147</v>
      </c>
      <c r="C109" s="12" t="s">
        <v>143</v>
      </c>
      <c r="D109" s="13" t="s">
        <v>148</v>
      </c>
      <c r="E109" s="19" t="s">
        <v>14</v>
      </c>
      <c r="F109" s="19">
        <v>425</v>
      </c>
      <c r="G109" s="20">
        <v>28.5</v>
      </c>
      <c r="H109" s="20">
        <f t="shared" si="1"/>
        <v>12112.5</v>
      </c>
      <c r="I109" s="12" t="s">
        <v>105</v>
      </c>
      <c r="J109" s="22" t="s">
        <v>16</v>
      </c>
      <c r="K109" s="22" t="s">
        <v>17</v>
      </c>
    </row>
    <row r="110" spans="1:11" s="9" customFormat="1" x14ac:dyDescent="0.25">
      <c r="A110" s="18">
        <v>109</v>
      </c>
      <c r="B110" s="12" t="s">
        <v>817</v>
      </c>
      <c r="C110" s="12" t="s">
        <v>143</v>
      </c>
      <c r="D110" s="13" t="s">
        <v>818</v>
      </c>
      <c r="E110" s="19" t="s">
        <v>14</v>
      </c>
      <c r="F110" s="19">
        <v>9</v>
      </c>
      <c r="G110" s="20">
        <v>22.07</v>
      </c>
      <c r="H110" s="20">
        <f t="shared" si="1"/>
        <v>198.63</v>
      </c>
      <c r="I110" s="12" t="s">
        <v>105</v>
      </c>
      <c r="J110" s="19" t="s">
        <v>16</v>
      </c>
      <c r="K110" s="19" t="s">
        <v>17</v>
      </c>
    </row>
    <row r="111" spans="1:11" s="9" customFormat="1" x14ac:dyDescent="0.25">
      <c r="A111" s="18">
        <v>110</v>
      </c>
      <c r="B111" s="12" t="s">
        <v>149</v>
      </c>
      <c r="C111" s="12" t="s">
        <v>143</v>
      </c>
      <c r="D111" s="13" t="s">
        <v>150</v>
      </c>
      <c r="E111" s="19" t="s">
        <v>14</v>
      </c>
      <c r="F111" s="19">
        <v>60</v>
      </c>
      <c r="G111" s="20">
        <v>5.6</v>
      </c>
      <c r="H111" s="20">
        <f t="shared" si="1"/>
        <v>336</v>
      </c>
      <c r="I111" s="12" t="s">
        <v>105</v>
      </c>
      <c r="J111" s="22" t="s">
        <v>16</v>
      </c>
      <c r="K111" s="22" t="s">
        <v>17</v>
      </c>
    </row>
    <row r="112" spans="1:11" s="9" customFormat="1" x14ac:dyDescent="0.25">
      <c r="A112" s="18">
        <v>111</v>
      </c>
      <c r="B112" s="12" t="s">
        <v>151</v>
      </c>
      <c r="C112" s="12" t="s">
        <v>143</v>
      </c>
      <c r="D112" s="13" t="s">
        <v>152</v>
      </c>
      <c r="E112" s="19" t="s">
        <v>14</v>
      </c>
      <c r="F112" s="19">
        <v>739</v>
      </c>
      <c r="G112" s="20">
        <v>12.7</v>
      </c>
      <c r="H112" s="20">
        <f t="shared" si="1"/>
        <v>9385.2999999999993</v>
      </c>
      <c r="I112" s="12" t="s">
        <v>105</v>
      </c>
      <c r="J112" s="22" t="s">
        <v>16</v>
      </c>
      <c r="K112" s="22" t="s">
        <v>17</v>
      </c>
    </row>
    <row r="113" spans="1:11" s="9" customFormat="1" x14ac:dyDescent="0.25">
      <c r="A113" s="18">
        <v>112</v>
      </c>
      <c r="B113" s="12" t="s">
        <v>153</v>
      </c>
      <c r="C113" s="12" t="s">
        <v>143</v>
      </c>
      <c r="D113" s="13" t="s">
        <v>154</v>
      </c>
      <c r="E113" s="19" t="s">
        <v>14</v>
      </c>
      <c r="F113" s="19">
        <v>750</v>
      </c>
      <c r="G113" s="20">
        <v>14.88</v>
      </c>
      <c r="H113" s="20">
        <f t="shared" si="1"/>
        <v>11160</v>
      </c>
      <c r="I113" s="12" t="s">
        <v>105</v>
      </c>
      <c r="J113" s="22" t="s">
        <v>16</v>
      </c>
      <c r="K113" s="22" t="s">
        <v>17</v>
      </c>
    </row>
    <row r="114" spans="1:11" s="9" customFormat="1" x14ac:dyDescent="0.25">
      <c r="A114" s="18">
        <v>113</v>
      </c>
      <c r="B114" s="12" t="s">
        <v>155</v>
      </c>
      <c r="C114" s="12" t="s">
        <v>143</v>
      </c>
      <c r="D114" s="13" t="s">
        <v>156</v>
      </c>
      <c r="E114" s="19" t="s">
        <v>14</v>
      </c>
      <c r="F114" s="19">
        <v>730</v>
      </c>
      <c r="G114" s="20">
        <v>18.75</v>
      </c>
      <c r="H114" s="20">
        <f t="shared" si="1"/>
        <v>13687.5</v>
      </c>
      <c r="I114" s="12" t="s">
        <v>105</v>
      </c>
      <c r="J114" s="22" t="s">
        <v>16</v>
      </c>
      <c r="K114" s="22" t="s">
        <v>17</v>
      </c>
    </row>
    <row r="115" spans="1:11" s="9" customFormat="1" x14ac:dyDescent="0.25">
      <c r="A115" s="18">
        <v>114</v>
      </c>
      <c r="B115" s="12" t="s">
        <v>157</v>
      </c>
      <c r="C115" s="12" t="s">
        <v>158</v>
      </c>
      <c r="D115" s="13" t="s">
        <v>159</v>
      </c>
      <c r="E115" s="19" t="s">
        <v>14</v>
      </c>
      <c r="F115" s="19">
        <v>102</v>
      </c>
      <c r="G115" s="20">
        <v>62.26</v>
      </c>
      <c r="H115" s="20">
        <f t="shared" si="1"/>
        <v>6350.5199999999995</v>
      </c>
      <c r="I115" s="12" t="s">
        <v>105</v>
      </c>
      <c r="J115" s="22" t="s">
        <v>16</v>
      </c>
      <c r="K115" s="22" t="s">
        <v>17</v>
      </c>
    </row>
    <row r="116" spans="1:11" s="9" customFormat="1" x14ac:dyDescent="0.25">
      <c r="A116" s="18">
        <v>115</v>
      </c>
      <c r="B116" s="12" t="s">
        <v>160</v>
      </c>
      <c r="C116" s="12" t="s">
        <v>158</v>
      </c>
      <c r="D116" s="13" t="s">
        <v>161</v>
      </c>
      <c r="E116" s="19" t="s">
        <v>14</v>
      </c>
      <c r="F116" s="19">
        <v>195</v>
      </c>
      <c r="G116" s="20">
        <v>52</v>
      </c>
      <c r="H116" s="20">
        <f t="shared" si="1"/>
        <v>10140</v>
      </c>
      <c r="I116" s="12" t="s">
        <v>105</v>
      </c>
      <c r="J116" s="22" t="s">
        <v>16</v>
      </c>
      <c r="K116" s="22" t="s">
        <v>17</v>
      </c>
    </row>
    <row r="117" spans="1:11" s="9" customFormat="1" ht="25.5" x14ac:dyDescent="0.25">
      <c r="A117" s="18">
        <v>116</v>
      </c>
      <c r="B117" s="12" t="s">
        <v>1403</v>
      </c>
      <c r="C117" s="12" t="s">
        <v>81</v>
      </c>
      <c r="D117" s="13" t="s">
        <v>1404</v>
      </c>
      <c r="E117" s="19" t="s">
        <v>24</v>
      </c>
      <c r="F117" s="19">
        <v>41</v>
      </c>
      <c r="G117" s="20">
        <v>52.16</v>
      </c>
      <c r="H117" s="20">
        <f t="shared" si="1"/>
        <v>2138.56</v>
      </c>
      <c r="I117" s="12" t="s">
        <v>105</v>
      </c>
      <c r="J117" s="22" t="s">
        <v>16</v>
      </c>
      <c r="K117" s="22" t="s">
        <v>17</v>
      </c>
    </row>
    <row r="118" spans="1:11" s="9" customFormat="1" x14ac:dyDescent="0.25">
      <c r="A118" s="18">
        <v>117</v>
      </c>
      <c r="B118" s="12" t="s">
        <v>162</v>
      </c>
      <c r="C118" s="12" t="s">
        <v>143</v>
      </c>
      <c r="D118" s="13" t="s">
        <v>163</v>
      </c>
      <c r="E118" s="19" t="s">
        <v>14</v>
      </c>
      <c r="F118" s="19">
        <v>21</v>
      </c>
      <c r="G118" s="20">
        <v>15</v>
      </c>
      <c r="H118" s="20">
        <f t="shared" si="1"/>
        <v>315</v>
      </c>
      <c r="I118" s="12" t="s">
        <v>105</v>
      </c>
      <c r="J118" s="22" t="s">
        <v>16</v>
      </c>
      <c r="K118" s="22" t="s">
        <v>17</v>
      </c>
    </row>
    <row r="119" spans="1:11" s="9" customFormat="1" x14ac:dyDescent="0.25">
      <c r="A119" s="18">
        <v>118</v>
      </c>
      <c r="B119" s="12" t="s">
        <v>1565</v>
      </c>
      <c r="C119" s="12" t="s">
        <v>1361</v>
      </c>
      <c r="D119" s="13" t="s">
        <v>1566</v>
      </c>
      <c r="E119" s="19" t="s">
        <v>14</v>
      </c>
      <c r="F119" s="19">
        <v>2</v>
      </c>
      <c r="G119" s="20">
        <v>11.06</v>
      </c>
      <c r="H119" s="20">
        <f t="shared" si="1"/>
        <v>22.12</v>
      </c>
      <c r="I119" s="12" t="s">
        <v>105</v>
      </c>
      <c r="J119" s="19" t="s">
        <v>16</v>
      </c>
      <c r="K119" s="19" t="s">
        <v>17</v>
      </c>
    </row>
    <row r="120" spans="1:11" s="9" customFormat="1" x14ac:dyDescent="0.25">
      <c r="A120" s="18">
        <v>119</v>
      </c>
      <c r="B120" s="12" t="s">
        <v>164</v>
      </c>
      <c r="C120" s="12" t="s">
        <v>165</v>
      </c>
      <c r="D120" s="13" t="s">
        <v>166</v>
      </c>
      <c r="E120" s="19" t="s">
        <v>14</v>
      </c>
      <c r="F120" s="19">
        <v>6</v>
      </c>
      <c r="G120" s="20">
        <v>22</v>
      </c>
      <c r="H120" s="20">
        <f t="shared" si="1"/>
        <v>132</v>
      </c>
      <c r="I120" s="12" t="s">
        <v>105</v>
      </c>
      <c r="J120" s="22" t="s">
        <v>16</v>
      </c>
      <c r="K120" s="22" t="s">
        <v>17</v>
      </c>
    </row>
    <row r="121" spans="1:11" s="9" customFormat="1" x14ac:dyDescent="0.25">
      <c r="A121" s="18">
        <v>120</v>
      </c>
      <c r="B121" s="12" t="s">
        <v>167</v>
      </c>
      <c r="C121" s="12" t="s">
        <v>165</v>
      </c>
      <c r="D121" s="13" t="s">
        <v>168</v>
      </c>
      <c r="E121" s="19" t="s">
        <v>14</v>
      </c>
      <c r="F121" s="19">
        <v>24</v>
      </c>
      <c r="G121" s="20">
        <v>22</v>
      </c>
      <c r="H121" s="20">
        <f t="shared" si="1"/>
        <v>528</v>
      </c>
      <c r="I121" s="12" t="s">
        <v>105</v>
      </c>
      <c r="J121" s="22" t="s">
        <v>16</v>
      </c>
      <c r="K121" s="22" t="s">
        <v>17</v>
      </c>
    </row>
    <row r="122" spans="1:11" s="9" customFormat="1" x14ac:dyDescent="0.25">
      <c r="A122" s="18">
        <v>121</v>
      </c>
      <c r="B122" s="12" t="s">
        <v>169</v>
      </c>
      <c r="C122" s="12" t="s">
        <v>165</v>
      </c>
      <c r="D122" s="13" t="s">
        <v>170</v>
      </c>
      <c r="E122" s="19" t="s">
        <v>14</v>
      </c>
      <c r="F122" s="19">
        <v>12</v>
      </c>
      <c r="G122" s="20">
        <v>22</v>
      </c>
      <c r="H122" s="20">
        <f t="shared" si="1"/>
        <v>264</v>
      </c>
      <c r="I122" s="12" t="s">
        <v>105</v>
      </c>
      <c r="J122" s="22" t="s">
        <v>16</v>
      </c>
      <c r="K122" s="22" t="s">
        <v>17</v>
      </c>
    </row>
    <row r="123" spans="1:11" s="9" customFormat="1" x14ac:dyDescent="0.25">
      <c r="A123" s="18">
        <v>122</v>
      </c>
      <c r="B123" s="12" t="s">
        <v>171</v>
      </c>
      <c r="C123" s="12" t="s">
        <v>172</v>
      </c>
      <c r="D123" s="13" t="s">
        <v>173</v>
      </c>
      <c r="E123" s="19" t="s">
        <v>14</v>
      </c>
      <c r="F123" s="19">
        <v>5</v>
      </c>
      <c r="G123" s="20">
        <v>7</v>
      </c>
      <c r="H123" s="20">
        <f t="shared" si="1"/>
        <v>35</v>
      </c>
      <c r="I123" s="12" t="s">
        <v>105</v>
      </c>
      <c r="J123" s="22" t="s">
        <v>16</v>
      </c>
      <c r="K123" s="22" t="s">
        <v>17</v>
      </c>
    </row>
    <row r="124" spans="1:11" s="9" customFormat="1" x14ac:dyDescent="0.25">
      <c r="A124" s="18">
        <v>123</v>
      </c>
      <c r="B124" s="12" t="s">
        <v>174</v>
      </c>
      <c r="C124" s="12" t="s">
        <v>175</v>
      </c>
      <c r="D124" s="13" t="s">
        <v>176</v>
      </c>
      <c r="E124" s="19" t="s">
        <v>14</v>
      </c>
      <c r="F124" s="19">
        <v>85</v>
      </c>
      <c r="G124" s="20">
        <v>15</v>
      </c>
      <c r="H124" s="20">
        <f t="shared" si="1"/>
        <v>1275</v>
      </c>
      <c r="I124" s="12" t="s">
        <v>105</v>
      </c>
      <c r="J124" s="22" t="s">
        <v>16</v>
      </c>
      <c r="K124" s="22" t="s">
        <v>17</v>
      </c>
    </row>
    <row r="125" spans="1:11" s="9" customFormat="1" x14ac:dyDescent="0.25">
      <c r="A125" s="18">
        <v>124</v>
      </c>
      <c r="B125" s="12" t="s">
        <v>177</v>
      </c>
      <c r="C125" s="12" t="s">
        <v>137</v>
      </c>
      <c r="D125" s="13" t="s">
        <v>178</v>
      </c>
      <c r="E125" s="19" t="s">
        <v>14</v>
      </c>
      <c r="F125" s="19">
        <v>355</v>
      </c>
      <c r="G125" s="20">
        <v>5.74</v>
      </c>
      <c r="H125" s="20">
        <f t="shared" si="1"/>
        <v>2037.7</v>
      </c>
      <c r="I125" s="12" t="s">
        <v>105</v>
      </c>
      <c r="J125" s="22" t="s">
        <v>16</v>
      </c>
      <c r="K125" s="22" t="s">
        <v>17</v>
      </c>
    </row>
    <row r="126" spans="1:11" s="9" customFormat="1" ht="25.5" x14ac:dyDescent="0.25">
      <c r="A126" s="18">
        <v>125</v>
      </c>
      <c r="B126" s="12" t="s">
        <v>1452</v>
      </c>
      <c r="C126" s="12" t="s">
        <v>1453</v>
      </c>
      <c r="D126" s="13" t="s">
        <v>1454</v>
      </c>
      <c r="E126" s="19" t="s">
        <v>14</v>
      </c>
      <c r="F126" s="19">
        <v>1</v>
      </c>
      <c r="G126" s="20">
        <v>654.25</v>
      </c>
      <c r="H126" s="20">
        <f t="shared" si="1"/>
        <v>654.25</v>
      </c>
      <c r="I126" s="12" t="s">
        <v>105</v>
      </c>
      <c r="J126" s="22" t="s">
        <v>16</v>
      </c>
      <c r="K126" s="22" t="s">
        <v>17</v>
      </c>
    </row>
    <row r="127" spans="1:11" s="9" customFormat="1" ht="25.5" x14ac:dyDescent="0.25">
      <c r="A127" s="18">
        <v>126</v>
      </c>
      <c r="B127" s="12" t="s">
        <v>179</v>
      </c>
      <c r="C127" s="12" t="s">
        <v>180</v>
      </c>
      <c r="D127" s="13" t="s">
        <v>181</v>
      </c>
      <c r="E127" s="19" t="s">
        <v>182</v>
      </c>
      <c r="F127" s="19">
        <v>78</v>
      </c>
      <c r="G127" s="20">
        <v>94.86</v>
      </c>
      <c r="H127" s="20">
        <f t="shared" si="1"/>
        <v>7399.08</v>
      </c>
      <c r="I127" s="12" t="s">
        <v>105</v>
      </c>
      <c r="J127" s="22" t="s">
        <v>16</v>
      </c>
      <c r="K127" s="22" t="s">
        <v>17</v>
      </c>
    </row>
    <row r="128" spans="1:11" s="9" customFormat="1" ht="38.25" x14ac:dyDescent="0.25">
      <c r="A128" s="18">
        <v>127</v>
      </c>
      <c r="B128" s="12" t="s">
        <v>183</v>
      </c>
      <c r="C128" s="12" t="s">
        <v>180</v>
      </c>
      <c r="D128" s="13" t="s">
        <v>184</v>
      </c>
      <c r="E128" s="19" t="s">
        <v>182</v>
      </c>
      <c r="F128" s="19">
        <v>183</v>
      </c>
      <c r="G128" s="20">
        <v>32.67</v>
      </c>
      <c r="H128" s="20">
        <f t="shared" si="1"/>
        <v>5978.6100000000006</v>
      </c>
      <c r="I128" s="12" t="s">
        <v>105</v>
      </c>
      <c r="J128" s="22" t="s">
        <v>16</v>
      </c>
      <c r="K128" s="22" t="s">
        <v>17</v>
      </c>
    </row>
    <row r="129" spans="1:11" s="9" customFormat="1" ht="25.5" x14ac:dyDescent="0.25">
      <c r="A129" s="18">
        <v>128</v>
      </c>
      <c r="B129" s="12" t="s">
        <v>185</v>
      </c>
      <c r="C129" s="12" t="s">
        <v>186</v>
      </c>
      <c r="D129" s="13" t="s">
        <v>187</v>
      </c>
      <c r="E129" s="19" t="s">
        <v>14</v>
      </c>
      <c r="F129" s="19">
        <v>46</v>
      </c>
      <c r="G129" s="20">
        <v>9.17</v>
      </c>
      <c r="H129" s="20">
        <f t="shared" si="1"/>
        <v>421.82</v>
      </c>
      <c r="I129" s="12" t="s">
        <v>105</v>
      </c>
      <c r="J129" s="22" t="s">
        <v>16</v>
      </c>
      <c r="K129" s="22" t="s">
        <v>17</v>
      </c>
    </row>
    <row r="130" spans="1:11" s="9" customFormat="1" ht="25.5" x14ac:dyDescent="0.25">
      <c r="A130" s="18">
        <v>129</v>
      </c>
      <c r="B130" s="12" t="s">
        <v>1465</v>
      </c>
      <c r="C130" s="12" t="s">
        <v>186</v>
      </c>
      <c r="D130" s="13" t="s">
        <v>1466</v>
      </c>
      <c r="E130" s="19" t="s">
        <v>14</v>
      </c>
      <c r="F130" s="19">
        <v>1</v>
      </c>
      <c r="G130" s="20">
        <v>765.54</v>
      </c>
      <c r="H130" s="20">
        <f t="shared" ref="H130:H193" si="2">F130*G130</f>
        <v>765.54</v>
      </c>
      <c r="I130" s="12" t="s">
        <v>105</v>
      </c>
      <c r="J130" s="22" t="s">
        <v>16</v>
      </c>
      <c r="K130" s="22" t="s">
        <v>17</v>
      </c>
    </row>
    <row r="131" spans="1:11" s="9" customFormat="1" ht="25.5" x14ac:dyDescent="0.25">
      <c r="A131" s="18">
        <v>130</v>
      </c>
      <c r="B131" s="12" t="s">
        <v>188</v>
      </c>
      <c r="C131" s="12" t="s">
        <v>189</v>
      </c>
      <c r="D131" s="13" t="s">
        <v>190</v>
      </c>
      <c r="E131" s="19" t="s">
        <v>191</v>
      </c>
      <c r="F131" s="19">
        <v>207</v>
      </c>
      <c r="G131" s="20">
        <v>19.11</v>
      </c>
      <c r="H131" s="20">
        <f t="shared" si="2"/>
        <v>3955.77</v>
      </c>
      <c r="I131" s="12" t="s">
        <v>105</v>
      </c>
      <c r="J131" s="22" t="s">
        <v>16</v>
      </c>
      <c r="K131" s="22" t="s">
        <v>17</v>
      </c>
    </row>
    <row r="132" spans="1:11" s="9" customFormat="1" ht="25.5" x14ac:dyDescent="0.25">
      <c r="A132" s="18">
        <v>131</v>
      </c>
      <c r="B132" s="12" t="s">
        <v>192</v>
      </c>
      <c r="C132" s="12" t="s">
        <v>193</v>
      </c>
      <c r="D132" s="13" t="s">
        <v>194</v>
      </c>
      <c r="E132" s="19" t="s">
        <v>191</v>
      </c>
      <c r="F132" s="19">
        <v>65</v>
      </c>
      <c r="G132" s="20">
        <v>4.9400000000000004</v>
      </c>
      <c r="H132" s="20">
        <f t="shared" si="2"/>
        <v>321.10000000000002</v>
      </c>
      <c r="I132" s="12" t="s">
        <v>105</v>
      </c>
      <c r="J132" s="22" t="s">
        <v>16</v>
      </c>
      <c r="K132" s="22" t="s">
        <v>17</v>
      </c>
    </row>
    <row r="133" spans="1:11" s="9" customFormat="1" ht="25.5" x14ac:dyDescent="0.25">
      <c r="A133" s="18">
        <v>132</v>
      </c>
      <c r="B133" s="12" t="s">
        <v>195</v>
      </c>
      <c r="C133" s="12" t="s">
        <v>196</v>
      </c>
      <c r="D133" s="13" t="s">
        <v>197</v>
      </c>
      <c r="E133" s="19" t="s">
        <v>14</v>
      </c>
      <c r="F133" s="19">
        <v>210</v>
      </c>
      <c r="G133" s="20">
        <v>13</v>
      </c>
      <c r="H133" s="20">
        <f t="shared" si="2"/>
        <v>2730</v>
      </c>
      <c r="I133" s="12" t="s">
        <v>105</v>
      </c>
      <c r="J133" s="22" t="s">
        <v>16</v>
      </c>
      <c r="K133" s="22" t="s">
        <v>17</v>
      </c>
    </row>
    <row r="134" spans="1:11" s="9" customFormat="1" ht="25.5" x14ac:dyDescent="0.25">
      <c r="A134" s="18">
        <v>133</v>
      </c>
      <c r="B134" s="12" t="s">
        <v>198</v>
      </c>
      <c r="C134" s="12" t="s">
        <v>196</v>
      </c>
      <c r="D134" s="13" t="s">
        <v>199</v>
      </c>
      <c r="E134" s="19" t="s">
        <v>14</v>
      </c>
      <c r="F134" s="19">
        <v>202</v>
      </c>
      <c r="G134" s="20">
        <v>13</v>
      </c>
      <c r="H134" s="20">
        <f t="shared" si="2"/>
        <v>2626</v>
      </c>
      <c r="I134" s="12" t="s">
        <v>105</v>
      </c>
      <c r="J134" s="22" t="s">
        <v>16</v>
      </c>
      <c r="K134" s="22" t="s">
        <v>17</v>
      </c>
    </row>
    <row r="135" spans="1:11" s="9" customFormat="1" x14ac:dyDescent="0.25">
      <c r="A135" s="18">
        <v>134</v>
      </c>
      <c r="B135" s="12" t="s">
        <v>200</v>
      </c>
      <c r="C135" s="12" t="s">
        <v>189</v>
      </c>
      <c r="D135" s="13" t="s">
        <v>201</v>
      </c>
      <c r="E135" s="19" t="s">
        <v>191</v>
      </c>
      <c r="F135" s="19">
        <v>9</v>
      </c>
      <c r="G135" s="20">
        <v>36.56</v>
      </c>
      <c r="H135" s="20">
        <f t="shared" si="2"/>
        <v>329.04</v>
      </c>
      <c r="I135" s="12" t="s">
        <v>105</v>
      </c>
      <c r="J135" s="22" t="s">
        <v>16</v>
      </c>
      <c r="K135" s="22" t="s">
        <v>17</v>
      </c>
    </row>
    <row r="136" spans="1:11" s="9" customFormat="1" x14ac:dyDescent="0.25">
      <c r="A136" s="18">
        <v>135</v>
      </c>
      <c r="B136" s="12" t="s">
        <v>202</v>
      </c>
      <c r="C136" s="12" t="s">
        <v>189</v>
      </c>
      <c r="D136" s="13" t="s">
        <v>203</v>
      </c>
      <c r="E136" s="19" t="s">
        <v>14</v>
      </c>
      <c r="F136" s="19">
        <v>6</v>
      </c>
      <c r="G136" s="20">
        <v>31.29</v>
      </c>
      <c r="H136" s="20">
        <f t="shared" si="2"/>
        <v>187.74</v>
      </c>
      <c r="I136" s="12" t="s">
        <v>105</v>
      </c>
      <c r="J136" s="22" t="s">
        <v>16</v>
      </c>
      <c r="K136" s="22" t="s">
        <v>17</v>
      </c>
    </row>
    <row r="137" spans="1:11" s="9" customFormat="1" x14ac:dyDescent="0.25">
      <c r="A137" s="18">
        <v>136</v>
      </c>
      <c r="B137" s="12" t="s">
        <v>204</v>
      </c>
      <c r="C137" s="12" t="s">
        <v>205</v>
      </c>
      <c r="D137" s="13" t="s">
        <v>206</v>
      </c>
      <c r="E137" s="19" t="s">
        <v>14</v>
      </c>
      <c r="F137" s="19">
        <v>1</v>
      </c>
      <c r="G137" s="20">
        <v>278.47000000000003</v>
      </c>
      <c r="H137" s="20">
        <f t="shared" si="2"/>
        <v>278.47000000000003</v>
      </c>
      <c r="I137" s="12" t="s">
        <v>105</v>
      </c>
      <c r="J137" s="22" t="s">
        <v>16</v>
      </c>
      <c r="K137" s="22" t="s">
        <v>17</v>
      </c>
    </row>
    <row r="138" spans="1:11" s="9" customFormat="1" x14ac:dyDescent="0.25">
      <c r="A138" s="18">
        <v>137</v>
      </c>
      <c r="B138" s="12" t="s">
        <v>207</v>
      </c>
      <c r="C138" s="12" t="s">
        <v>208</v>
      </c>
      <c r="D138" s="12">
        <v>440</v>
      </c>
      <c r="E138" s="19" t="s">
        <v>14</v>
      </c>
      <c r="F138" s="19">
        <v>2</v>
      </c>
      <c r="G138" s="20">
        <v>33.11</v>
      </c>
      <c r="H138" s="20">
        <f t="shared" si="2"/>
        <v>66.22</v>
      </c>
      <c r="I138" s="14" t="s">
        <v>209</v>
      </c>
      <c r="J138" s="22" t="s">
        <v>16</v>
      </c>
      <c r="K138" s="22" t="s">
        <v>17</v>
      </c>
    </row>
    <row r="139" spans="1:11" s="9" customFormat="1" x14ac:dyDescent="0.25">
      <c r="A139" s="18">
        <v>138</v>
      </c>
      <c r="B139" s="12" t="s">
        <v>210</v>
      </c>
      <c r="C139" s="12" t="s">
        <v>63</v>
      </c>
      <c r="D139" s="12">
        <v>630805</v>
      </c>
      <c r="E139" s="19" t="s">
        <v>14</v>
      </c>
      <c r="F139" s="19">
        <v>18</v>
      </c>
      <c r="G139" s="20">
        <v>1.0900000000000001</v>
      </c>
      <c r="H139" s="20">
        <f t="shared" si="2"/>
        <v>19.62</v>
      </c>
      <c r="I139" s="14" t="s">
        <v>209</v>
      </c>
      <c r="J139" s="22" t="s">
        <v>16</v>
      </c>
      <c r="K139" s="22" t="s">
        <v>17</v>
      </c>
    </row>
    <row r="140" spans="1:11" s="9" customFormat="1" x14ac:dyDescent="0.25">
      <c r="A140" s="18">
        <v>139</v>
      </c>
      <c r="B140" s="12" t="s">
        <v>211</v>
      </c>
      <c r="C140" s="12" t="s">
        <v>212</v>
      </c>
      <c r="D140" s="12" t="s">
        <v>213</v>
      </c>
      <c r="E140" s="19" t="s">
        <v>191</v>
      </c>
      <c r="F140" s="19">
        <v>1</v>
      </c>
      <c r="G140" s="20">
        <v>41.47</v>
      </c>
      <c r="H140" s="20">
        <f t="shared" si="2"/>
        <v>41.47</v>
      </c>
      <c r="I140" s="14" t="s">
        <v>209</v>
      </c>
      <c r="J140" s="22" t="s">
        <v>16</v>
      </c>
      <c r="K140" s="22" t="s">
        <v>17</v>
      </c>
    </row>
    <row r="141" spans="1:11" s="9" customFormat="1" x14ac:dyDescent="0.25">
      <c r="A141" s="18">
        <v>140</v>
      </c>
      <c r="B141" s="12" t="s">
        <v>214</v>
      </c>
      <c r="C141" s="12" t="s">
        <v>215</v>
      </c>
      <c r="D141" s="12" t="s">
        <v>216</v>
      </c>
      <c r="E141" s="19" t="s">
        <v>14</v>
      </c>
      <c r="F141" s="19">
        <v>20</v>
      </c>
      <c r="G141" s="20">
        <v>0.46</v>
      </c>
      <c r="H141" s="20">
        <f t="shared" si="2"/>
        <v>9.2000000000000011</v>
      </c>
      <c r="I141" s="14" t="s">
        <v>209</v>
      </c>
      <c r="J141" s="22" t="s">
        <v>16</v>
      </c>
      <c r="K141" s="22" t="s">
        <v>17</v>
      </c>
    </row>
    <row r="142" spans="1:11" s="9" customFormat="1" ht="25.5" x14ac:dyDescent="0.25">
      <c r="A142" s="18">
        <v>141</v>
      </c>
      <c r="B142" s="12" t="s">
        <v>217</v>
      </c>
      <c r="C142" s="12" t="s">
        <v>212</v>
      </c>
      <c r="D142" s="12" t="s">
        <v>218</v>
      </c>
      <c r="E142" s="19" t="s">
        <v>191</v>
      </c>
      <c r="F142" s="19">
        <v>5</v>
      </c>
      <c r="G142" s="20">
        <v>16.55</v>
      </c>
      <c r="H142" s="20">
        <f t="shared" si="2"/>
        <v>82.75</v>
      </c>
      <c r="I142" s="14" t="s">
        <v>209</v>
      </c>
      <c r="J142" s="22" t="s">
        <v>16</v>
      </c>
      <c r="K142" s="22" t="s">
        <v>17</v>
      </c>
    </row>
    <row r="143" spans="1:11" s="9" customFormat="1" x14ac:dyDescent="0.25">
      <c r="A143" s="18">
        <v>142</v>
      </c>
      <c r="B143" s="12" t="s">
        <v>219</v>
      </c>
      <c r="C143" s="12" t="s">
        <v>98</v>
      </c>
      <c r="D143" s="12" t="s">
        <v>220</v>
      </c>
      <c r="E143" s="19" t="s">
        <v>14</v>
      </c>
      <c r="F143" s="19">
        <v>1</v>
      </c>
      <c r="G143" s="20">
        <v>7.2</v>
      </c>
      <c r="H143" s="20">
        <f t="shared" si="2"/>
        <v>7.2</v>
      </c>
      <c r="I143" s="14" t="s">
        <v>209</v>
      </c>
      <c r="J143" s="22" t="s">
        <v>16</v>
      </c>
      <c r="K143" s="22" t="s">
        <v>17</v>
      </c>
    </row>
    <row r="144" spans="1:11" s="9" customFormat="1" x14ac:dyDescent="0.25">
      <c r="A144" s="18">
        <v>143</v>
      </c>
      <c r="B144" s="12" t="s">
        <v>221</v>
      </c>
      <c r="C144" s="12" t="s">
        <v>222</v>
      </c>
      <c r="D144" s="13" t="s">
        <v>223</v>
      </c>
      <c r="E144" s="19" t="s">
        <v>14</v>
      </c>
      <c r="F144" s="19">
        <v>1667</v>
      </c>
      <c r="G144" s="20">
        <v>1.8</v>
      </c>
      <c r="H144" s="20">
        <f t="shared" si="2"/>
        <v>3000.6</v>
      </c>
      <c r="I144" s="12" t="s">
        <v>209</v>
      </c>
      <c r="J144" s="22" t="s">
        <v>16</v>
      </c>
      <c r="K144" s="22" t="s">
        <v>17</v>
      </c>
    </row>
    <row r="145" spans="1:11" s="9" customFormat="1" ht="25.5" x14ac:dyDescent="0.25">
      <c r="A145" s="18">
        <v>144</v>
      </c>
      <c r="B145" s="12" t="s">
        <v>224</v>
      </c>
      <c r="C145" s="12" t="s">
        <v>225</v>
      </c>
      <c r="D145" s="13" t="s">
        <v>226</v>
      </c>
      <c r="E145" s="19" t="s">
        <v>14</v>
      </c>
      <c r="F145" s="19">
        <v>1987</v>
      </c>
      <c r="G145" s="20">
        <v>7.7</v>
      </c>
      <c r="H145" s="20">
        <f t="shared" si="2"/>
        <v>15299.9</v>
      </c>
      <c r="I145" s="12" t="s">
        <v>209</v>
      </c>
      <c r="J145" s="22" t="s">
        <v>16</v>
      </c>
      <c r="K145" s="22" t="s">
        <v>17</v>
      </c>
    </row>
    <row r="146" spans="1:11" s="9" customFormat="1" ht="25.5" x14ac:dyDescent="0.25">
      <c r="A146" s="18">
        <v>145</v>
      </c>
      <c r="B146" s="12" t="s">
        <v>227</v>
      </c>
      <c r="C146" s="12" t="s">
        <v>28</v>
      </c>
      <c r="D146" s="12" t="s">
        <v>228</v>
      </c>
      <c r="E146" s="19" t="s">
        <v>191</v>
      </c>
      <c r="F146" s="19">
        <v>1</v>
      </c>
      <c r="G146" s="20">
        <v>23.01</v>
      </c>
      <c r="H146" s="20">
        <f t="shared" si="2"/>
        <v>23.01</v>
      </c>
      <c r="I146" s="14" t="s">
        <v>209</v>
      </c>
      <c r="J146" s="22" t="s">
        <v>16</v>
      </c>
      <c r="K146" s="22" t="s">
        <v>17</v>
      </c>
    </row>
    <row r="147" spans="1:11" s="9" customFormat="1" x14ac:dyDescent="0.25">
      <c r="A147" s="18">
        <v>146</v>
      </c>
      <c r="B147" s="12" t="s">
        <v>229</v>
      </c>
      <c r="C147" s="12" t="s">
        <v>63</v>
      </c>
      <c r="D147" s="12" t="s">
        <v>230</v>
      </c>
      <c r="E147" s="19" t="s">
        <v>14</v>
      </c>
      <c r="F147" s="19">
        <v>6</v>
      </c>
      <c r="G147" s="20">
        <v>0.84</v>
      </c>
      <c r="H147" s="20">
        <f t="shared" si="2"/>
        <v>5.04</v>
      </c>
      <c r="I147" s="14" t="s">
        <v>209</v>
      </c>
      <c r="J147" s="22" t="s">
        <v>16</v>
      </c>
      <c r="K147" s="22" t="s">
        <v>17</v>
      </c>
    </row>
    <row r="148" spans="1:11" s="9" customFormat="1" x14ac:dyDescent="0.25">
      <c r="A148" s="18">
        <v>147</v>
      </c>
      <c r="B148" s="12" t="s">
        <v>231</v>
      </c>
      <c r="C148" s="12" t="s">
        <v>215</v>
      </c>
      <c r="D148" s="12" t="s">
        <v>232</v>
      </c>
      <c r="E148" s="19" t="s">
        <v>24</v>
      </c>
      <c r="F148" s="19">
        <v>1</v>
      </c>
      <c r="G148" s="20">
        <v>17.28</v>
      </c>
      <c r="H148" s="20">
        <f t="shared" si="2"/>
        <v>17.28</v>
      </c>
      <c r="I148" s="14" t="s">
        <v>209</v>
      </c>
      <c r="J148" s="22" t="s">
        <v>16</v>
      </c>
      <c r="K148" s="22" t="s">
        <v>17</v>
      </c>
    </row>
    <row r="149" spans="1:11" s="9" customFormat="1" x14ac:dyDescent="0.25">
      <c r="A149" s="18">
        <v>148</v>
      </c>
      <c r="B149" s="12" t="s">
        <v>233</v>
      </c>
      <c r="C149" s="12" t="s">
        <v>234</v>
      </c>
      <c r="D149" s="13" t="s">
        <v>235</v>
      </c>
      <c r="E149" s="19" t="s">
        <v>236</v>
      </c>
      <c r="F149" s="19">
        <v>186</v>
      </c>
      <c r="G149" s="20">
        <v>15.67</v>
      </c>
      <c r="H149" s="20">
        <f t="shared" si="2"/>
        <v>2914.62</v>
      </c>
      <c r="I149" s="12" t="s">
        <v>209</v>
      </c>
      <c r="J149" s="22" t="s">
        <v>16</v>
      </c>
      <c r="K149" s="22" t="s">
        <v>17</v>
      </c>
    </row>
    <row r="150" spans="1:11" s="9" customFormat="1" x14ac:dyDescent="0.25">
      <c r="A150" s="18">
        <v>149</v>
      </c>
      <c r="B150" s="12" t="s">
        <v>237</v>
      </c>
      <c r="C150" s="12" t="s">
        <v>234</v>
      </c>
      <c r="D150" s="13" t="s">
        <v>238</v>
      </c>
      <c r="E150" s="19" t="s">
        <v>236</v>
      </c>
      <c r="F150" s="19">
        <v>188</v>
      </c>
      <c r="G150" s="20">
        <v>24.23</v>
      </c>
      <c r="H150" s="20">
        <f t="shared" si="2"/>
        <v>4555.24</v>
      </c>
      <c r="I150" s="12" t="s">
        <v>209</v>
      </c>
      <c r="J150" s="22" t="s">
        <v>16</v>
      </c>
      <c r="K150" s="22" t="s">
        <v>17</v>
      </c>
    </row>
    <row r="151" spans="1:11" s="9" customFormat="1" x14ac:dyDescent="0.25">
      <c r="A151" s="18">
        <v>150</v>
      </c>
      <c r="B151" s="12" t="s">
        <v>239</v>
      </c>
      <c r="C151" s="12" t="s">
        <v>234</v>
      </c>
      <c r="D151" s="13" t="s">
        <v>240</v>
      </c>
      <c r="E151" s="19" t="s">
        <v>236</v>
      </c>
      <c r="F151" s="19">
        <v>178</v>
      </c>
      <c r="G151" s="20">
        <v>15.67</v>
      </c>
      <c r="H151" s="20">
        <f t="shared" si="2"/>
        <v>2789.2599999999998</v>
      </c>
      <c r="I151" s="12" t="s">
        <v>209</v>
      </c>
      <c r="J151" s="22" t="s">
        <v>16</v>
      </c>
      <c r="K151" s="22" t="s">
        <v>17</v>
      </c>
    </row>
    <row r="152" spans="1:11" s="9" customFormat="1" x14ac:dyDescent="0.25">
      <c r="A152" s="18">
        <v>151</v>
      </c>
      <c r="B152" s="12" t="s">
        <v>241</v>
      </c>
      <c r="C152" s="12" t="s">
        <v>234</v>
      </c>
      <c r="D152" s="13" t="s">
        <v>242</v>
      </c>
      <c r="E152" s="19" t="s">
        <v>236</v>
      </c>
      <c r="F152" s="19">
        <v>196</v>
      </c>
      <c r="G152" s="20">
        <v>24.23</v>
      </c>
      <c r="H152" s="20">
        <f t="shared" si="2"/>
        <v>4749.08</v>
      </c>
      <c r="I152" s="12" t="s">
        <v>209</v>
      </c>
      <c r="J152" s="22" t="s">
        <v>16</v>
      </c>
      <c r="K152" s="22" t="s">
        <v>17</v>
      </c>
    </row>
    <row r="153" spans="1:11" s="9" customFormat="1" ht="25.5" x14ac:dyDescent="0.25">
      <c r="A153" s="18">
        <v>152</v>
      </c>
      <c r="B153" s="12" t="s">
        <v>644</v>
      </c>
      <c r="C153" s="12" t="s">
        <v>39</v>
      </c>
      <c r="D153" s="13" t="s">
        <v>645</v>
      </c>
      <c r="E153" s="19" t="s">
        <v>14</v>
      </c>
      <c r="F153" s="19">
        <v>2</v>
      </c>
      <c r="G153" s="20">
        <v>82.77</v>
      </c>
      <c r="H153" s="20">
        <f t="shared" si="2"/>
        <v>165.54</v>
      </c>
      <c r="I153" s="12" t="s">
        <v>209</v>
      </c>
      <c r="J153" s="22" t="s">
        <v>16</v>
      </c>
      <c r="K153" s="22" t="s">
        <v>17</v>
      </c>
    </row>
    <row r="154" spans="1:11" ht="25.5" x14ac:dyDescent="0.25">
      <c r="A154" s="18">
        <v>153</v>
      </c>
      <c r="B154" s="12" t="s">
        <v>243</v>
      </c>
      <c r="C154" s="12" t="s">
        <v>39</v>
      </c>
      <c r="D154" s="12" t="s">
        <v>244</v>
      </c>
      <c r="E154" s="19" t="s">
        <v>14</v>
      </c>
      <c r="F154" s="19">
        <v>2</v>
      </c>
      <c r="G154" s="20">
        <v>227.06</v>
      </c>
      <c r="H154" s="20">
        <f t="shared" si="2"/>
        <v>454.12</v>
      </c>
      <c r="I154" s="14" t="s">
        <v>209</v>
      </c>
      <c r="J154" s="22" t="s">
        <v>16</v>
      </c>
      <c r="K154" s="22" t="s">
        <v>17</v>
      </c>
    </row>
    <row r="155" spans="1:11" s="9" customFormat="1" x14ac:dyDescent="0.25">
      <c r="A155" s="18">
        <v>154</v>
      </c>
      <c r="B155" s="12" t="s">
        <v>1333</v>
      </c>
      <c r="C155" s="12" t="s">
        <v>39</v>
      </c>
      <c r="D155" s="13" t="s">
        <v>1334</v>
      </c>
      <c r="E155" s="19" t="s">
        <v>24</v>
      </c>
      <c r="F155" s="19">
        <v>3</v>
      </c>
      <c r="G155" s="20">
        <v>172.1</v>
      </c>
      <c r="H155" s="20">
        <f t="shared" si="2"/>
        <v>516.29999999999995</v>
      </c>
      <c r="I155" s="12" t="s">
        <v>209</v>
      </c>
      <c r="J155" s="22" t="s">
        <v>16</v>
      </c>
      <c r="K155" s="22" t="s">
        <v>17</v>
      </c>
    </row>
    <row r="156" spans="1:11" s="9" customFormat="1" x14ac:dyDescent="0.25">
      <c r="A156" s="18">
        <v>155</v>
      </c>
      <c r="B156" s="12" t="s">
        <v>245</v>
      </c>
      <c r="C156" s="12" t="s">
        <v>246</v>
      </c>
      <c r="D156" s="12" t="s">
        <v>247</v>
      </c>
      <c r="E156" s="19" t="s">
        <v>14</v>
      </c>
      <c r="F156" s="19">
        <v>1</v>
      </c>
      <c r="G156" s="20">
        <v>18.82</v>
      </c>
      <c r="H156" s="20">
        <f t="shared" si="2"/>
        <v>18.82</v>
      </c>
      <c r="I156" s="14" t="s">
        <v>209</v>
      </c>
      <c r="J156" s="22" t="s">
        <v>16</v>
      </c>
      <c r="K156" s="22" t="s">
        <v>17</v>
      </c>
    </row>
    <row r="157" spans="1:11" s="9" customFormat="1" x14ac:dyDescent="0.25">
      <c r="A157" s="18">
        <v>156</v>
      </c>
      <c r="B157" s="12" t="s">
        <v>248</v>
      </c>
      <c r="C157" s="12" t="s">
        <v>39</v>
      </c>
      <c r="D157" s="12" t="s">
        <v>249</v>
      </c>
      <c r="E157" s="19" t="s">
        <v>14</v>
      </c>
      <c r="F157" s="19">
        <v>2</v>
      </c>
      <c r="G157" s="20">
        <v>159.31</v>
      </c>
      <c r="H157" s="20">
        <f t="shared" si="2"/>
        <v>318.62</v>
      </c>
      <c r="I157" s="14" t="s">
        <v>209</v>
      </c>
      <c r="J157" s="22" t="s">
        <v>16</v>
      </c>
      <c r="K157" s="22" t="s">
        <v>17</v>
      </c>
    </row>
    <row r="158" spans="1:11" s="9" customFormat="1" ht="38.25" x14ac:dyDescent="0.25">
      <c r="A158" s="18">
        <v>157</v>
      </c>
      <c r="B158" s="12" t="s">
        <v>250</v>
      </c>
      <c r="C158" s="12" t="s">
        <v>39</v>
      </c>
      <c r="D158" s="12" t="s">
        <v>251</v>
      </c>
      <c r="E158" s="19" t="s">
        <v>14</v>
      </c>
      <c r="F158" s="19">
        <v>1</v>
      </c>
      <c r="G158" s="20">
        <v>852.02</v>
      </c>
      <c r="H158" s="20">
        <f t="shared" si="2"/>
        <v>852.02</v>
      </c>
      <c r="I158" s="14" t="s">
        <v>209</v>
      </c>
      <c r="J158" s="22" t="s">
        <v>16</v>
      </c>
      <c r="K158" s="22" t="s">
        <v>17</v>
      </c>
    </row>
    <row r="159" spans="1:11" s="9" customFormat="1" ht="25.5" x14ac:dyDescent="0.25">
      <c r="A159" s="18">
        <v>158</v>
      </c>
      <c r="B159" s="12" t="s">
        <v>252</v>
      </c>
      <c r="C159" s="12" t="s">
        <v>39</v>
      </c>
      <c r="D159" s="12" t="s">
        <v>253</v>
      </c>
      <c r="E159" s="19" t="s">
        <v>14</v>
      </c>
      <c r="F159" s="19">
        <v>1</v>
      </c>
      <c r="G159" s="20">
        <v>464</v>
      </c>
      <c r="H159" s="20">
        <f t="shared" si="2"/>
        <v>464</v>
      </c>
      <c r="I159" s="14" t="s">
        <v>209</v>
      </c>
      <c r="J159" s="22" t="s">
        <v>16</v>
      </c>
      <c r="K159" s="22" t="s">
        <v>17</v>
      </c>
    </row>
    <row r="160" spans="1:11" s="9" customFormat="1" x14ac:dyDescent="0.25">
      <c r="A160" s="18">
        <v>159</v>
      </c>
      <c r="B160" s="12" t="s">
        <v>254</v>
      </c>
      <c r="C160" s="12" t="s">
        <v>255</v>
      </c>
      <c r="D160" s="12" t="s">
        <v>256</v>
      </c>
      <c r="E160" s="19" t="s">
        <v>191</v>
      </c>
      <c r="F160" s="19">
        <v>2</v>
      </c>
      <c r="G160" s="20">
        <v>11.1</v>
      </c>
      <c r="H160" s="20">
        <f t="shared" si="2"/>
        <v>22.2</v>
      </c>
      <c r="I160" s="14" t="s">
        <v>209</v>
      </c>
      <c r="J160" s="22" t="s">
        <v>16</v>
      </c>
      <c r="K160" s="22" t="s">
        <v>17</v>
      </c>
    </row>
    <row r="161" spans="1:11" s="9" customFormat="1" ht="25.5" x14ac:dyDescent="0.25">
      <c r="A161" s="18">
        <v>160</v>
      </c>
      <c r="B161" s="12" t="s">
        <v>257</v>
      </c>
      <c r="C161" s="12" t="s">
        <v>255</v>
      </c>
      <c r="D161" s="12" t="s">
        <v>258</v>
      </c>
      <c r="E161" s="19" t="s">
        <v>14</v>
      </c>
      <c r="F161" s="19">
        <v>8</v>
      </c>
      <c r="G161" s="20">
        <v>0.76</v>
      </c>
      <c r="H161" s="20">
        <f t="shared" si="2"/>
        <v>6.08</v>
      </c>
      <c r="I161" s="14" t="s">
        <v>209</v>
      </c>
      <c r="J161" s="22" t="s">
        <v>16</v>
      </c>
      <c r="K161" s="22" t="s">
        <v>17</v>
      </c>
    </row>
    <row r="162" spans="1:11" s="9" customFormat="1" x14ac:dyDescent="0.25">
      <c r="A162" s="18">
        <v>161</v>
      </c>
      <c r="B162" s="12" t="s">
        <v>259</v>
      </c>
      <c r="C162" s="12" t="s">
        <v>260</v>
      </c>
      <c r="D162" s="13" t="s">
        <v>261</v>
      </c>
      <c r="E162" s="19" t="s">
        <v>14</v>
      </c>
      <c r="F162" s="19">
        <v>492</v>
      </c>
      <c r="G162" s="20">
        <v>4.3600000000000003</v>
      </c>
      <c r="H162" s="20">
        <f t="shared" si="2"/>
        <v>2145.1200000000003</v>
      </c>
      <c r="I162" s="12" t="s">
        <v>209</v>
      </c>
      <c r="J162" s="22" t="s">
        <v>16</v>
      </c>
      <c r="K162" s="22" t="s">
        <v>17</v>
      </c>
    </row>
    <row r="163" spans="1:11" s="9" customFormat="1" ht="25.5" x14ac:dyDescent="0.25">
      <c r="A163" s="18">
        <v>162</v>
      </c>
      <c r="B163" s="12" t="s">
        <v>262</v>
      </c>
      <c r="C163" s="12" t="s">
        <v>263</v>
      </c>
      <c r="D163" s="12" t="s">
        <v>264</v>
      </c>
      <c r="E163" s="19" t="s">
        <v>24</v>
      </c>
      <c r="F163" s="19">
        <v>1</v>
      </c>
      <c r="G163" s="20">
        <v>28</v>
      </c>
      <c r="H163" s="20">
        <f t="shared" si="2"/>
        <v>28</v>
      </c>
      <c r="I163" s="14" t="s">
        <v>209</v>
      </c>
      <c r="J163" s="22" t="s">
        <v>16</v>
      </c>
      <c r="K163" s="22" t="s">
        <v>17</v>
      </c>
    </row>
    <row r="164" spans="1:11" s="9" customFormat="1" x14ac:dyDescent="0.25">
      <c r="A164" s="18">
        <v>163</v>
      </c>
      <c r="B164" s="12" t="s">
        <v>265</v>
      </c>
      <c r="C164" s="12" t="s">
        <v>266</v>
      </c>
      <c r="D164" s="12" t="s">
        <v>267</v>
      </c>
      <c r="E164" s="19" t="s">
        <v>191</v>
      </c>
      <c r="F164" s="19">
        <v>1</v>
      </c>
      <c r="G164" s="20">
        <v>8.48</v>
      </c>
      <c r="H164" s="20">
        <f t="shared" si="2"/>
        <v>8.48</v>
      </c>
      <c r="I164" s="14" t="s">
        <v>209</v>
      </c>
      <c r="J164" s="22" t="s">
        <v>16</v>
      </c>
      <c r="K164" s="22" t="s">
        <v>17</v>
      </c>
    </row>
    <row r="165" spans="1:11" s="9" customFormat="1" x14ac:dyDescent="0.25">
      <c r="A165" s="18">
        <v>164</v>
      </c>
      <c r="B165" s="12" t="s">
        <v>268</v>
      </c>
      <c r="C165" s="12" t="s">
        <v>63</v>
      </c>
      <c r="D165" s="12" t="s">
        <v>269</v>
      </c>
      <c r="E165" s="19" t="s">
        <v>14</v>
      </c>
      <c r="F165" s="19">
        <v>2</v>
      </c>
      <c r="G165" s="20">
        <v>8.6</v>
      </c>
      <c r="H165" s="20">
        <f t="shared" si="2"/>
        <v>17.2</v>
      </c>
      <c r="I165" s="14" t="s">
        <v>209</v>
      </c>
      <c r="J165" s="22" t="s">
        <v>16</v>
      </c>
      <c r="K165" s="22" t="s">
        <v>17</v>
      </c>
    </row>
    <row r="166" spans="1:11" s="9" customFormat="1" x14ac:dyDescent="0.25">
      <c r="A166" s="18">
        <v>165</v>
      </c>
      <c r="B166" s="12" t="s">
        <v>270</v>
      </c>
      <c r="C166" s="12" t="s">
        <v>255</v>
      </c>
      <c r="D166" s="12" t="s">
        <v>271</v>
      </c>
      <c r="E166" s="19" t="s">
        <v>24</v>
      </c>
      <c r="F166" s="19">
        <v>2</v>
      </c>
      <c r="G166" s="20">
        <v>5.54</v>
      </c>
      <c r="H166" s="20">
        <f t="shared" si="2"/>
        <v>11.08</v>
      </c>
      <c r="I166" s="14" t="s">
        <v>209</v>
      </c>
      <c r="J166" s="22" t="s">
        <v>16</v>
      </c>
      <c r="K166" s="22" t="s">
        <v>17</v>
      </c>
    </row>
    <row r="167" spans="1:11" s="9" customFormat="1" ht="25.5" x14ac:dyDescent="0.25">
      <c r="A167" s="18">
        <v>166</v>
      </c>
      <c r="B167" s="12" t="s">
        <v>272</v>
      </c>
      <c r="C167" s="12" t="s">
        <v>273</v>
      </c>
      <c r="D167" s="12" t="s">
        <v>274</v>
      </c>
      <c r="E167" s="19" t="s">
        <v>191</v>
      </c>
      <c r="F167" s="19">
        <v>1</v>
      </c>
      <c r="G167" s="20">
        <v>11.38</v>
      </c>
      <c r="H167" s="20">
        <f t="shared" si="2"/>
        <v>11.38</v>
      </c>
      <c r="I167" s="14" t="s">
        <v>209</v>
      </c>
      <c r="J167" s="22" t="s">
        <v>16</v>
      </c>
      <c r="K167" s="22" t="s">
        <v>17</v>
      </c>
    </row>
    <row r="168" spans="1:11" s="9" customFormat="1" ht="25.5" x14ac:dyDescent="0.25">
      <c r="A168" s="18">
        <v>167</v>
      </c>
      <c r="B168" s="12" t="s">
        <v>275</v>
      </c>
      <c r="C168" s="12" t="s">
        <v>276</v>
      </c>
      <c r="D168" s="13" t="s">
        <v>277</v>
      </c>
      <c r="E168" s="19" t="s">
        <v>14</v>
      </c>
      <c r="F168" s="19">
        <v>100</v>
      </c>
      <c r="G168" s="20">
        <v>0.85</v>
      </c>
      <c r="H168" s="20">
        <f t="shared" si="2"/>
        <v>85</v>
      </c>
      <c r="I168" s="12" t="s">
        <v>209</v>
      </c>
      <c r="J168" s="22" t="s">
        <v>16</v>
      </c>
      <c r="K168" s="22" t="s">
        <v>17</v>
      </c>
    </row>
    <row r="169" spans="1:11" s="9" customFormat="1" x14ac:dyDescent="0.25">
      <c r="A169" s="18">
        <v>168</v>
      </c>
      <c r="B169" s="12" t="s">
        <v>278</v>
      </c>
      <c r="C169" s="12" t="s">
        <v>279</v>
      </c>
      <c r="D169" s="13" t="s">
        <v>280</v>
      </c>
      <c r="E169" s="19" t="s">
        <v>14</v>
      </c>
      <c r="F169" s="19">
        <v>1</v>
      </c>
      <c r="G169" s="20">
        <v>25</v>
      </c>
      <c r="H169" s="20">
        <f t="shared" si="2"/>
        <v>25</v>
      </c>
      <c r="I169" s="12" t="s">
        <v>209</v>
      </c>
      <c r="J169" s="22" t="s">
        <v>16</v>
      </c>
      <c r="K169" s="22" t="s">
        <v>17</v>
      </c>
    </row>
    <row r="170" spans="1:11" s="9" customFormat="1" ht="25.5" x14ac:dyDescent="0.25">
      <c r="A170" s="18">
        <v>169</v>
      </c>
      <c r="B170" s="12" t="s">
        <v>281</v>
      </c>
      <c r="C170" s="12" t="s">
        <v>282</v>
      </c>
      <c r="D170" s="13" t="s">
        <v>283</v>
      </c>
      <c r="E170" s="19" t="s">
        <v>14</v>
      </c>
      <c r="F170" s="19">
        <v>200</v>
      </c>
      <c r="G170" s="20">
        <v>7.0000000000000007E-2</v>
      </c>
      <c r="H170" s="20">
        <f t="shared" si="2"/>
        <v>14.000000000000002</v>
      </c>
      <c r="I170" s="12" t="s">
        <v>209</v>
      </c>
      <c r="J170" s="22" t="s">
        <v>16</v>
      </c>
      <c r="K170" s="22" t="s">
        <v>17</v>
      </c>
    </row>
    <row r="171" spans="1:11" s="9" customFormat="1" ht="25.5" x14ac:dyDescent="0.25">
      <c r="A171" s="18">
        <v>170</v>
      </c>
      <c r="B171" s="12" t="s">
        <v>284</v>
      </c>
      <c r="C171" s="12" t="s">
        <v>282</v>
      </c>
      <c r="D171" s="13" t="s">
        <v>285</v>
      </c>
      <c r="E171" s="19" t="s">
        <v>14</v>
      </c>
      <c r="F171" s="19">
        <v>100</v>
      </c>
      <c r="G171" s="20">
        <v>0.09</v>
      </c>
      <c r="H171" s="20">
        <f t="shared" si="2"/>
        <v>9</v>
      </c>
      <c r="I171" s="12" t="s">
        <v>209</v>
      </c>
      <c r="J171" s="22" t="s">
        <v>16</v>
      </c>
      <c r="K171" s="22" t="s">
        <v>17</v>
      </c>
    </row>
    <row r="172" spans="1:11" s="9" customFormat="1" x14ac:dyDescent="0.25">
      <c r="A172" s="18">
        <v>171</v>
      </c>
      <c r="B172" s="12" t="s">
        <v>286</v>
      </c>
      <c r="C172" s="12" t="s">
        <v>287</v>
      </c>
      <c r="D172" s="13" t="s">
        <v>288</v>
      </c>
      <c r="E172" s="19" t="s">
        <v>14</v>
      </c>
      <c r="F172" s="19">
        <v>900</v>
      </c>
      <c r="G172" s="20">
        <v>0.02</v>
      </c>
      <c r="H172" s="20">
        <f t="shared" si="2"/>
        <v>18</v>
      </c>
      <c r="I172" s="12" t="s">
        <v>209</v>
      </c>
      <c r="J172" s="22" t="s">
        <v>16</v>
      </c>
      <c r="K172" s="22" t="s">
        <v>17</v>
      </c>
    </row>
    <row r="173" spans="1:11" s="9" customFormat="1" x14ac:dyDescent="0.25">
      <c r="A173" s="18">
        <v>172</v>
      </c>
      <c r="B173" s="12" t="s">
        <v>289</v>
      </c>
      <c r="C173" s="12" t="s">
        <v>290</v>
      </c>
      <c r="D173" s="12" t="s">
        <v>291</v>
      </c>
      <c r="E173" s="19" t="s">
        <v>14</v>
      </c>
      <c r="F173" s="19">
        <v>1</v>
      </c>
      <c r="G173" s="20">
        <v>18.63</v>
      </c>
      <c r="H173" s="20">
        <f t="shared" si="2"/>
        <v>18.63</v>
      </c>
      <c r="I173" s="14" t="s">
        <v>209</v>
      </c>
      <c r="J173" s="22" t="s">
        <v>16</v>
      </c>
      <c r="K173" s="22" t="s">
        <v>17</v>
      </c>
    </row>
    <row r="174" spans="1:11" s="9" customFormat="1" x14ac:dyDescent="0.25">
      <c r="A174" s="18">
        <v>173</v>
      </c>
      <c r="B174" s="12" t="s">
        <v>292</v>
      </c>
      <c r="C174" s="12" t="s">
        <v>255</v>
      </c>
      <c r="D174" s="12" t="s">
        <v>293</v>
      </c>
      <c r="E174" s="19" t="s">
        <v>24</v>
      </c>
      <c r="F174" s="19">
        <v>2</v>
      </c>
      <c r="G174" s="20">
        <v>2.42</v>
      </c>
      <c r="H174" s="20">
        <f t="shared" si="2"/>
        <v>4.84</v>
      </c>
      <c r="I174" s="14" t="s">
        <v>209</v>
      </c>
      <c r="J174" s="22" t="s">
        <v>16</v>
      </c>
      <c r="K174" s="22" t="s">
        <v>17</v>
      </c>
    </row>
    <row r="175" spans="1:11" s="9" customFormat="1" ht="25.5" x14ac:dyDescent="0.25">
      <c r="A175" s="18">
        <v>174</v>
      </c>
      <c r="B175" s="12" t="s">
        <v>294</v>
      </c>
      <c r="C175" s="12" t="s">
        <v>255</v>
      </c>
      <c r="D175" s="12" t="s">
        <v>295</v>
      </c>
      <c r="E175" s="19" t="s">
        <v>191</v>
      </c>
      <c r="F175" s="19">
        <v>2</v>
      </c>
      <c r="G175" s="20">
        <v>13.61</v>
      </c>
      <c r="H175" s="20">
        <f t="shared" si="2"/>
        <v>27.22</v>
      </c>
      <c r="I175" s="14" t="s">
        <v>209</v>
      </c>
      <c r="J175" s="22" t="s">
        <v>16</v>
      </c>
      <c r="K175" s="22" t="s">
        <v>17</v>
      </c>
    </row>
    <row r="176" spans="1:11" s="9" customFormat="1" x14ac:dyDescent="0.25">
      <c r="A176" s="18">
        <v>175</v>
      </c>
      <c r="B176" s="12" t="s">
        <v>296</v>
      </c>
      <c r="C176" s="12" t="s">
        <v>297</v>
      </c>
      <c r="D176" s="12" t="s">
        <v>298</v>
      </c>
      <c r="E176" s="19" t="s">
        <v>14</v>
      </c>
      <c r="F176" s="19">
        <v>2</v>
      </c>
      <c r="G176" s="20">
        <v>35.76</v>
      </c>
      <c r="H176" s="20">
        <f t="shared" si="2"/>
        <v>71.52</v>
      </c>
      <c r="I176" s="14" t="s">
        <v>209</v>
      </c>
      <c r="J176" s="22" t="s">
        <v>16</v>
      </c>
      <c r="K176" s="22" t="s">
        <v>17</v>
      </c>
    </row>
    <row r="177" spans="1:11" s="9" customFormat="1" x14ac:dyDescent="0.25">
      <c r="A177" s="18">
        <v>176</v>
      </c>
      <c r="B177" s="12" t="s">
        <v>299</v>
      </c>
      <c r="C177" s="12" t="s">
        <v>300</v>
      </c>
      <c r="D177" s="12" t="s">
        <v>301</v>
      </c>
      <c r="E177" s="19" t="s">
        <v>14</v>
      </c>
      <c r="F177" s="19">
        <v>1</v>
      </c>
      <c r="G177" s="20">
        <v>64.09</v>
      </c>
      <c r="H177" s="20">
        <f t="shared" si="2"/>
        <v>64.09</v>
      </c>
      <c r="I177" s="14" t="s">
        <v>209</v>
      </c>
      <c r="J177" s="22" t="s">
        <v>16</v>
      </c>
      <c r="K177" s="22" t="s">
        <v>17</v>
      </c>
    </row>
    <row r="178" spans="1:11" s="9" customFormat="1" x14ac:dyDescent="0.25">
      <c r="A178" s="18">
        <v>177</v>
      </c>
      <c r="B178" s="12" t="s">
        <v>302</v>
      </c>
      <c r="C178" s="12" t="s">
        <v>303</v>
      </c>
      <c r="D178" s="13" t="s">
        <v>304</v>
      </c>
      <c r="E178" s="19" t="s">
        <v>14</v>
      </c>
      <c r="F178" s="19">
        <v>986</v>
      </c>
      <c r="G178" s="20">
        <v>1.3</v>
      </c>
      <c r="H178" s="20">
        <f t="shared" si="2"/>
        <v>1281.8</v>
      </c>
      <c r="I178" s="12" t="s">
        <v>209</v>
      </c>
      <c r="J178" s="22" t="s">
        <v>16</v>
      </c>
      <c r="K178" s="22" t="s">
        <v>17</v>
      </c>
    </row>
    <row r="179" spans="1:11" s="9" customFormat="1" x14ac:dyDescent="0.25">
      <c r="A179" s="18">
        <v>178</v>
      </c>
      <c r="B179" s="12" t="s">
        <v>305</v>
      </c>
      <c r="C179" s="12" t="s">
        <v>63</v>
      </c>
      <c r="D179" s="13">
        <v>660020</v>
      </c>
      <c r="E179" s="19" t="s">
        <v>14</v>
      </c>
      <c r="F179" s="19">
        <v>1</v>
      </c>
      <c r="G179" s="20">
        <v>1133.72</v>
      </c>
      <c r="H179" s="20">
        <f t="shared" si="2"/>
        <v>1133.72</v>
      </c>
      <c r="I179" s="12" t="s">
        <v>306</v>
      </c>
      <c r="J179" s="22" t="s">
        <v>307</v>
      </c>
      <c r="K179" s="22" t="s">
        <v>308</v>
      </c>
    </row>
    <row r="180" spans="1:11" s="9" customFormat="1" x14ac:dyDescent="0.25">
      <c r="A180" s="18">
        <v>179</v>
      </c>
      <c r="B180" s="12" t="s">
        <v>1313</v>
      </c>
      <c r="C180" s="12" t="s">
        <v>1314</v>
      </c>
      <c r="D180" s="13" t="s">
        <v>1315</v>
      </c>
      <c r="E180" s="19" t="s">
        <v>14</v>
      </c>
      <c r="F180" s="19">
        <v>1</v>
      </c>
      <c r="G180" s="20">
        <v>93.1</v>
      </c>
      <c r="H180" s="20">
        <f t="shared" si="2"/>
        <v>93.1</v>
      </c>
      <c r="I180" s="12" t="s">
        <v>306</v>
      </c>
      <c r="J180" s="22" t="s">
        <v>307</v>
      </c>
      <c r="K180" s="22" t="s">
        <v>308</v>
      </c>
    </row>
    <row r="181" spans="1:11" s="9" customFormat="1" x14ac:dyDescent="0.25">
      <c r="A181" s="18">
        <v>180</v>
      </c>
      <c r="B181" s="12" t="s">
        <v>1331</v>
      </c>
      <c r="C181" s="12" t="s">
        <v>539</v>
      </c>
      <c r="D181" s="13" t="s">
        <v>1332</v>
      </c>
      <c r="E181" s="19" t="s">
        <v>191</v>
      </c>
      <c r="F181" s="19">
        <v>1</v>
      </c>
      <c r="G181" s="20">
        <v>375.53</v>
      </c>
      <c r="H181" s="20">
        <f t="shared" si="2"/>
        <v>375.53</v>
      </c>
      <c r="I181" s="12" t="s">
        <v>306</v>
      </c>
      <c r="J181" s="22" t="s">
        <v>307</v>
      </c>
      <c r="K181" s="22" t="s">
        <v>308</v>
      </c>
    </row>
    <row r="182" spans="1:11" s="9" customFormat="1" ht="25.5" x14ac:dyDescent="0.25">
      <c r="A182" s="18">
        <v>181</v>
      </c>
      <c r="B182" s="26" t="s">
        <v>310</v>
      </c>
      <c r="C182" s="26" t="s">
        <v>311</v>
      </c>
      <c r="D182" s="27" t="s">
        <v>309</v>
      </c>
      <c r="E182" s="19" t="s">
        <v>14</v>
      </c>
      <c r="F182" s="19">
        <v>1</v>
      </c>
      <c r="G182" s="20">
        <v>1841.1</v>
      </c>
      <c r="H182" s="20">
        <f t="shared" si="2"/>
        <v>1841.1</v>
      </c>
      <c r="I182" s="12" t="s">
        <v>306</v>
      </c>
      <c r="J182" s="22" t="s">
        <v>307</v>
      </c>
      <c r="K182" s="22" t="s">
        <v>308</v>
      </c>
    </row>
    <row r="183" spans="1:11" s="9" customFormat="1" ht="25.5" x14ac:dyDescent="0.25">
      <c r="A183" s="18">
        <v>182</v>
      </c>
      <c r="B183" s="12" t="s">
        <v>1319</v>
      </c>
      <c r="C183" s="12" t="s">
        <v>311</v>
      </c>
      <c r="D183" s="12" t="s">
        <v>1318</v>
      </c>
      <c r="E183" s="19" t="s">
        <v>14</v>
      </c>
      <c r="F183" s="19">
        <v>1</v>
      </c>
      <c r="G183" s="20">
        <v>799.5</v>
      </c>
      <c r="H183" s="20">
        <f t="shared" si="2"/>
        <v>799.5</v>
      </c>
      <c r="I183" s="14" t="s">
        <v>306</v>
      </c>
      <c r="J183" s="22" t="s">
        <v>307</v>
      </c>
      <c r="K183" s="22" t="s">
        <v>308</v>
      </c>
    </row>
    <row r="184" spans="1:11" s="9" customFormat="1" ht="25.5" x14ac:dyDescent="0.25">
      <c r="A184" s="18">
        <v>183</v>
      </c>
      <c r="B184" s="12" t="s">
        <v>1316</v>
      </c>
      <c r="C184" s="12" t="s">
        <v>311</v>
      </c>
      <c r="D184" s="13" t="s">
        <v>1317</v>
      </c>
      <c r="E184" s="19" t="s">
        <v>14</v>
      </c>
      <c r="F184" s="19">
        <v>1</v>
      </c>
      <c r="G184" s="20">
        <v>622.91999999999996</v>
      </c>
      <c r="H184" s="20">
        <f t="shared" si="2"/>
        <v>622.91999999999996</v>
      </c>
      <c r="I184" s="12" t="s">
        <v>306</v>
      </c>
      <c r="J184" s="22" t="s">
        <v>307</v>
      </c>
      <c r="K184" s="22" t="s">
        <v>308</v>
      </c>
    </row>
    <row r="185" spans="1:11" s="9" customFormat="1" x14ac:dyDescent="0.25">
      <c r="A185" s="18">
        <v>184</v>
      </c>
      <c r="B185" s="12" t="s">
        <v>312</v>
      </c>
      <c r="C185" s="12" t="s">
        <v>186</v>
      </c>
      <c r="D185" s="13">
        <v>13940</v>
      </c>
      <c r="E185" s="19" t="s">
        <v>191</v>
      </c>
      <c r="F185" s="19">
        <v>4</v>
      </c>
      <c r="G185" s="20">
        <v>34.700000000000003</v>
      </c>
      <c r="H185" s="20">
        <f t="shared" si="2"/>
        <v>138.80000000000001</v>
      </c>
      <c r="I185" s="12" t="s">
        <v>313</v>
      </c>
      <c r="J185" s="22" t="s">
        <v>16</v>
      </c>
      <c r="K185" s="22" t="s">
        <v>17</v>
      </c>
    </row>
    <row r="186" spans="1:11" s="9" customFormat="1" x14ac:dyDescent="0.25">
      <c r="A186" s="18">
        <v>185</v>
      </c>
      <c r="B186" s="12" t="s">
        <v>314</v>
      </c>
      <c r="C186" s="12" t="s">
        <v>39</v>
      </c>
      <c r="D186" s="13">
        <v>13977</v>
      </c>
      <c r="E186" s="19" t="s">
        <v>14</v>
      </c>
      <c r="F186" s="19">
        <v>1</v>
      </c>
      <c r="G186" s="20">
        <v>354.1</v>
      </c>
      <c r="H186" s="20">
        <f t="shared" si="2"/>
        <v>354.1</v>
      </c>
      <c r="I186" s="12" t="s">
        <v>313</v>
      </c>
      <c r="J186" s="22" t="s">
        <v>16</v>
      </c>
      <c r="K186" s="22" t="s">
        <v>17</v>
      </c>
    </row>
    <row r="187" spans="1:11" s="9" customFormat="1" x14ac:dyDescent="0.25">
      <c r="A187" s="18">
        <v>186</v>
      </c>
      <c r="B187" s="12" t="s">
        <v>315</v>
      </c>
      <c r="C187" s="12" t="s">
        <v>39</v>
      </c>
      <c r="D187" s="12">
        <v>54936</v>
      </c>
      <c r="E187" s="19" t="s">
        <v>14</v>
      </c>
      <c r="F187" s="19">
        <v>6</v>
      </c>
      <c r="G187" s="20">
        <v>1.52</v>
      </c>
      <c r="H187" s="20">
        <f t="shared" si="2"/>
        <v>9.120000000000001</v>
      </c>
      <c r="I187" s="12" t="s">
        <v>313</v>
      </c>
      <c r="J187" s="22" t="s">
        <v>16</v>
      </c>
      <c r="K187" s="22" t="s">
        <v>17</v>
      </c>
    </row>
    <row r="188" spans="1:11" s="9" customFormat="1" x14ac:dyDescent="0.25">
      <c r="A188" s="18">
        <v>187</v>
      </c>
      <c r="B188" s="12" t="s">
        <v>316</v>
      </c>
      <c r="C188" s="12" t="s">
        <v>317</v>
      </c>
      <c r="D188" s="12">
        <v>85073</v>
      </c>
      <c r="E188" s="19" t="s">
        <v>14</v>
      </c>
      <c r="F188" s="19">
        <v>15</v>
      </c>
      <c r="G188" s="20">
        <v>7.57</v>
      </c>
      <c r="H188" s="20">
        <f t="shared" si="2"/>
        <v>113.55000000000001</v>
      </c>
      <c r="I188" s="12" t="s">
        <v>313</v>
      </c>
      <c r="J188" s="22" t="s">
        <v>16</v>
      </c>
      <c r="K188" s="22" t="s">
        <v>17</v>
      </c>
    </row>
    <row r="189" spans="1:11" s="9" customFormat="1" x14ac:dyDescent="0.25">
      <c r="A189" s="18">
        <v>188</v>
      </c>
      <c r="B189" s="12" t="s">
        <v>318</v>
      </c>
      <c r="C189" s="12" t="s">
        <v>319</v>
      </c>
      <c r="D189" s="12">
        <v>117407</v>
      </c>
      <c r="E189" s="19" t="s">
        <v>14</v>
      </c>
      <c r="F189" s="19">
        <v>50</v>
      </c>
      <c r="G189" s="20">
        <v>7.79</v>
      </c>
      <c r="H189" s="20">
        <f t="shared" si="2"/>
        <v>389.5</v>
      </c>
      <c r="I189" s="12" t="s">
        <v>313</v>
      </c>
      <c r="J189" s="22" t="s">
        <v>16</v>
      </c>
      <c r="K189" s="22" t="s">
        <v>17</v>
      </c>
    </row>
    <row r="190" spans="1:11" s="9" customFormat="1" ht="25.5" x14ac:dyDescent="0.25">
      <c r="A190" s="18">
        <v>189</v>
      </c>
      <c r="B190" s="12" t="s">
        <v>320</v>
      </c>
      <c r="C190" s="12" t="s">
        <v>205</v>
      </c>
      <c r="D190" s="12">
        <v>235410</v>
      </c>
      <c r="E190" s="19" t="s">
        <v>14</v>
      </c>
      <c r="F190" s="19">
        <v>31</v>
      </c>
      <c r="G190" s="20">
        <v>233.7</v>
      </c>
      <c r="H190" s="20">
        <f t="shared" si="2"/>
        <v>7244.7</v>
      </c>
      <c r="I190" s="12" t="s">
        <v>313</v>
      </c>
      <c r="J190" s="22" t="s">
        <v>16</v>
      </c>
      <c r="K190" s="22" t="s">
        <v>17</v>
      </c>
    </row>
    <row r="191" spans="1:11" s="9" customFormat="1" ht="25.5" x14ac:dyDescent="0.25">
      <c r="A191" s="18">
        <v>190</v>
      </c>
      <c r="B191" s="12" t="s">
        <v>321</v>
      </c>
      <c r="C191" s="12" t="s">
        <v>205</v>
      </c>
      <c r="D191" s="12">
        <v>235439</v>
      </c>
      <c r="E191" s="19" t="s">
        <v>14</v>
      </c>
      <c r="F191" s="19">
        <v>10</v>
      </c>
      <c r="G191" s="20">
        <v>137.33000000000001</v>
      </c>
      <c r="H191" s="20">
        <f t="shared" si="2"/>
        <v>1373.3000000000002</v>
      </c>
      <c r="I191" s="12" t="s">
        <v>313</v>
      </c>
      <c r="J191" s="22" t="s">
        <v>16</v>
      </c>
      <c r="K191" s="22" t="s">
        <v>17</v>
      </c>
    </row>
    <row r="192" spans="1:11" s="9" customFormat="1" ht="25.5" x14ac:dyDescent="0.25">
      <c r="A192" s="18">
        <v>191</v>
      </c>
      <c r="B192" s="12" t="s">
        <v>322</v>
      </c>
      <c r="C192" s="12" t="s">
        <v>323</v>
      </c>
      <c r="D192" s="13">
        <v>911401836285</v>
      </c>
      <c r="E192" s="19" t="s">
        <v>14</v>
      </c>
      <c r="F192" s="19">
        <v>45</v>
      </c>
      <c r="G192" s="20">
        <v>45.2</v>
      </c>
      <c r="H192" s="20">
        <f t="shared" si="2"/>
        <v>2034.0000000000002</v>
      </c>
      <c r="I192" s="12" t="s">
        <v>313</v>
      </c>
      <c r="J192" s="22" t="s">
        <v>16</v>
      </c>
      <c r="K192" s="22" t="s">
        <v>17</v>
      </c>
    </row>
    <row r="193" spans="1:11" s="9" customFormat="1" ht="25.5" x14ac:dyDescent="0.25">
      <c r="A193" s="18">
        <v>192</v>
      </c>
      <c r="B193" s="12" t="s">
        <v>1546</v>
      </c>
      <c r="C193" s="12" t="s">
        <v>22</v>
      </c>
      <c r="D193" s="13" t="s">
        <v>1547</v>
      </c>
      <c r="E193" s="19" t="s">
        <v>24</v>
      </c>
      <c r="F193" s="19">
        <v>2</v>
      </c>
      <c r="G193" s="20">
        <v>79.45</v>
      </c>
      <c r="H193" s="20">
        <f t="shared" si="2"/>
        <v>158.9</v>
      </c>
      <c r="I193" s="12" t="s">
        <v>313</v>
      </c>
      <c r="J193" s="22" t="s">
        <v>16</v>
      </c>
      <c r="K193" s="22" t="s">
        <v>17</v>
      </c>
    </row>
    <row r="194" spans="1:11" s="9" customFormat="1" x14ac:dyDescent="0.25">
      <c r="A194" s="18">
        <v>193</v>
      </c>
      <c r="B194" s="12" t="s">
        <v>324</v>
      </c>
      <c r="C194" s="12" t="s">
        <v>143</v>
      </c>
      <c r="D194" s="12" t="s">
        <v>325</v>
      </c>
      <c r="E194" s="19" t="s">
        <v>14</v>
      </c>
      <c r="F194" s="19">
        <v>20</v>
      </c>
      <c r="G194" s="20">
        <v>2.48</v>
      </c>
      <c r="H194" s="20">
        <f t="shared" ref="H194:H257" si="3">F194*G194</f>
        <v>49.6</v>
      </c>
      <c r="I194" s="12" t="s">
        <v>313</v>
      </c>
      <c r="J194" s="22" t="s">
        <v>16</v>
      </c>
      <c r="K194" s="22" t="s">
        <v>17</v>
      </c>
    </row>
    <row r="195" spans="1:11" s="9" customFormat="1" x14ac:dyDescent="0.25">
      <c r="A195" s="18">
        <v>194</v>
      </c>
      <c r="B195" s="12" t="s">
        <v>326</v>
      </c>
      <c r="C195" s="12" t="s">
        <v>22</v>
      </c>
      <c r="D195" s="12" t="s">
        <v>327</v>
      </c>
      <c r="E195" s="19" t="s">
        <v>14</v>
      </c>
      <c r="F195" s="19">
        <v>51</v>
      </c>
      <c r="G195" s="20">
        <v>0.33</v>
      </c>
      <c r="H195" s="20">
        <f t="shared" si="3"/>
        <v>16.830000000000002</v>
      </c>
      <c r="I195" s="12" t="s">
        <v>313</v>
      </c>
      <c r="J195" s="22" t="s">
        <v>16</v>
      </c>
      <c r="K195" s="22" t="s">
        <v>17</v>
      </c>
    </row>
    <row r="196" spans="1:11" s="9" customFormat="1" x14ac:dyDescent="0.25">
      <c r="A196" s="18">
        <v>195</v>
      </c>
      <c r="B196" s="12" t="s">
        <v>329</v>
      </c>
      <c r="C196" s="12" t="s">
        <v>212</v>
      </c>
      <c r="D196" s="12" t="s">
        <v>330</v>
      </c>
      <c r="E196" s="19" t="s">
        <v>24</v>
      </c>
      <c r="F196" s="19">
        <v>20</v>
      </c>
      <c r="G196" s="20">
        <v>4.3099999999999996</v>
      </c>
      <c r="H196" s="20">
        <f t="shared" si="3"/>
        <v>86.199999999999989</v>
      </c>
      <c r="I196" s="12" t="s">
        <v>313</v>
      </c>
      <c r="J196" s="22" t="s">
        <v>16</v>
      </c>
      <c r="K196" s="22" t="s">
        <v>17</v>
      </c>
    </row>
    <row r="197" spans="1:11" s="9" customFormat="1" x14ac:dyDescent="0.25">
      <c r="A197" s="18">
        <v>196</v>
      </c>
      <c r="B197" s="12" t="s">
        <v>331</v>
      </c>
      <c r="C197" s="12" t="s">
        <v>212</v>
      </c>
      <c r="D197" s="12" t="s">
        <v>332</v>
      </c>
      <c r="E197" s="19" t="s">
        <v>24</v>
      </c>
      <c r="F197" s="19">
        <v>19</v>
      </c>
      <c r="G197" s="20">
        <v>12.4</v>
      </c>
      <c r="H197" s="20">
        <f t="shared" si="3"/>
        <v>235.6</v>
      </c>
      <c r="I197" s="12" t="s">
        <v>313</v>
      </c>
      <c r="J197" s="22" t="s">
        <v>16</v>
      </c>
      <c r="K197" s="22" t="s">
        <v>17</v>
      </c>
    </row>
    <row r="198" spans="1:11" s="9" customFormat="1" ht="25.5" x14ac:dyDescent="0.25">
      <c r="A198" s="18">
        <v>197</v>
      </c>
      <c r="B198" s="12" t="s">
        <v>333</v>
      </c>
      <c r="C198" s="12" t="s">
        <v>334</v>
      </c>
      <c r="D198" s="12" t="s">
        <v>335</v>
      </c>
      <c r="E198" s="19" t="s">
        <v>191</v>
      </c>
      <c r="F198" s="19">
        <v>100</v>
      </c>
      <c r="G198" s="20">
        <v>19.77</v>
      </c>
      <c r="H198" s="20">
        <f t="shared" si="3"/>
        <v>1977</v>
      </c>
      <c r="I198" s="12" t="s">
        <v>313</v>
      </c>
      <c r="J198" s="22" t="s">
        <v>16</v>
      </c>
      <c r="K198" s="22" t="s">
        <v>17</v>
      </c>
    </row>
    <row r="199" spans="1:11" s="9" customFormat="1" ht="25.5" x14ac:dyDescent="0.25">
      <c r="A199" s="18">
        <v>198</v>
      </c>
      <c r="B199" s="12" t="s">
        <v>336</v>
      </c>
      <c r="C199" s="12" t="s">
        <v>334</v>
      </c>
      <c r="D199" s="12" t="s">
        <v>337</v>
      </c>
      <c r="E199" s="19" t="s">
        <v>191</v>
      </c>
      <c r="F199" s="19">
        <v>55</v>
      </c>
      <c r="G199" s="20">
        <v>17</v>
      </c>
      <c r="H199" s="20">
        <f t="shared" si="3"/>
        <v>935</v>
      </c>
      <c r="I199" s="12" t="s">
        <v>313</v>
      </c>
      <c r="J199" s="22" t="s">
        <v>16</v>
      </c>
      <c r="K199" s="22" t="s">
        <v>17</v>
      </c>
    </row>
    <row r="200" spans="1:11" s="9" customFormat="1" ht="25.5" x14ac:dyDescent="0.25">
      <c r="A200" s="18">
        <v>199</v>
      </c>
      <c r="B200" s="12" t="s">
        <v>338</v>
      </c>
      <c r="C200" s="12" t="s">
        <v>334</v>
      </c>
      <c r="D200" s="12" t="s">
        <v>339</v>
      </c>
      <c r="E200" s="19" t="s">
        <v>191</v>
      </c>
      <c r="F200" s="19">
        <v>80</v>
      </c>
      <c r="G200" s="20">
        <v>21.44</v>
      </c>
      <c r="H200" s="20">
        <f t="shared" si="3"/>
        <v>1715.2</v>
      </c>
      <c r="I200" s="12" t="s">
        <v>313</v>
      </c>
      <c r="J200" s="22" t="s">
        <v>16</v>
      </c>
      <c r="K200" s="22" t="s">
        <v>17</v>
      </c>
    </row>
    <row r="201" spans="1:11" s="9" customFormat="1" ht="25.5" x14ac:dyDescent="0.25">
      <c r="A201" s="18">
        <v>200</v>
      </c>
      <c r="B201" s="12" t="s">
        <v>340</v>
      </c>
      <c r="C201" s="12" t="s">
        <v>341</v>
      </c>
      <c r="D201" s="13" t="s">
        <v>342</v>
      </c>
      <c r="E201" s="19" t="s">
        <v>236</v>
      </c>
      <c r="F201" s="19">
        <v>70</v>
      </c>
      <c r="G201" s="20">
        <v>4.7</v>
      </c>
      <c r="H201" s="20">
        <f t="shared" si="3"/>
        <v>329</v>
      </c>
      <c r="I201" s="12" t="s">
        <v>313</v>
      </c>
      <c r="J201" s="22" t="s">
        <v>16</v>
      </c>
      <c r="K201" s="22" t="s">
        <v>17</v>
      </c>
    </row>
    <row r="202" spans="1:11" s="9" customFormat="1" ht="25.5" x14ac:dyDescent="0.25">
      <c r="A202" s="18">
        <v>201</v>
      </c>
      <c r="B202" s="12" t="s">
        <v>343</v>
      </c>
      <c r="C202" s="12" t="s">
        <v>341</v>
      </c>
      <c r="D202" s="13" t="s">
        <v>344</v>
      </c>
      <c r="E202" s="19" t="s">
        <v>236</v>
      </c>
      <c r="F202" s="19">
        <v>79</v>
      </c>
      <c r="G202" s="20">
        <v>4.7</v>
      </c>
      <c r="H202" s="20">
        <f t="shared" si="3"/>
        <v>371.3</v>
      </c>
      <c r="I202" s="12" t="s">
        <v>313</v>
      </c>
      <c r="J202" s="22" t="s">
        <v>16</v>
      </c>
      <c r="K202" s="22" t="s">
        <v>17</v>
      </c>
    </row>
    <row r="203" spans="1:11" s="9" customFormat="1" ht="25.5" x14ac:dyDescent="0.25">
      <c r="A203" s="18">
        <v>202</v>
      </c>
      <c r="B203" s="12" t="s">
        <v>345</v>
      </c>
      <c r="C203" s="12" t="s">
        <v>341</v>
      </c>
      <c r="D203" s="13" t="s">
        <v>346</v>
      </c>
      <c r="E203" s="19" t="s">
        <v>236</v>
      </c>
      <c r="F203" s="19">
        <v>86</v>
      </c>
      <c r="G203" s="20">
        <v>4.7</v>
      </c>
      <c r="H203" s="20">
        <f t="shared" si="3"/>
        <v>404.2</v>
      </c>
      <c r="I203" s="12" t="s">
        <v>313</v>
      </c>
      <c r="J203" s="22" t="s">
        <v>16</v>
      </c>
      <c r="K203" s="22" t="s">
        <v>17</v>
      </c>
    </row>
    <row r="204" spans="1:11" s="9" customFormat="1" x14ac:dyDescent="0.25">
      <c r="A204" s="18">
        <v>203</v>
      </c>
      <c r="B204" s="12" t="s">
        <v>347</v>
      </c>
      <c r="C204" s="12" t="s">
        <v>348</v>
      </c>
      <c r="D204" s="12" t="s">
        <v>349</v>
      </c>
      <c r="E204" s="19" t="s">
        <v>191</v>
      </c>
      <c r="F204" s="19">
        <v>16</v>
      </c>
      <c r="G204" s="20">
        <v>21.37</v>
      </c>
      <c r="H204" s="20">
        <f t="shared" si="3"/>
        <v>341.92</v>
      </c>
      <c r="I204" s="12" t="s">
        <v>313</v>
      </c>
      <c r="J204" s="22" t="s">
        <v>16</v>
      </c>
      <c r="K204" s="22" t="s">
        <v>17</v>
      </c>
    </row>
    <row r="205" spans="1:11" s="9" customFormat="1" x14ac:dyDescent="0.25">
      <c r="A205" s="18">
        <v>204</v>
      </c>
      <c r="B205" s="12" t="s">
        <v>350</v>
      </c>
      <c r="C205" s="12" t="s">
        <v>351</v>
      </c>
      <c r="D205" s="12" t="s">
        <v>352</v>
      </c>
      <c r="E205" s="19" t="s">
        <v>14</v>
      </c>
      <c r="F205" s="19">
        <v>200</v>
      </c>
      <c r="G205" s="20">
        <v>2.41</v>
      </c>
      <c r="H205" s="20">
        <f t="shared" si="3"/>
        <v>482</v>
      </c>
      <c r="I205" s="12" t="s">
        <v>313</v>
      </c>
      <c r="J205" s="22" t="s">
        <v>16</v>
      </c>
      <c r="K205" s="22" t="s">
        <v>17</v>
      </c>
    </row>
    <row r="206" spans="1:11" s="9" customFormat="1" x14ac:dyDescent="0.25">
      <c r="A206" s="18">
        <v>205</v>
      </c>
      <c r="B206" s="12" t="s">
        <v>353</v>
      </c>
      <c r="C206" s="12" t="s">
        <v>354</v>
      </c>
      <c r="D206" s="12" t="s">
        <v>355</v>
      </c>
      <c r="E206" s="19" t="s">
        <v>24</v>
      </c>
      <c r="F206" s="19">
        <v>28</v>
      </c>
      <c r="G206" s="20">
        <v>16.37</v>
      </c>
      <c r="H206" s="20">
        <f t="shared" si="3"/>
        <v>458.36</v>
      </c>
      <c r="I206" s="12" t="s">
        <v>313</v>
      </c>
      <c r="J206" s="22" t="s">
        <v>16</v>
      </c>
      <c r="K206" s="22" t="s">
        <v>17</v>
      </c>
    </row>
    <row r="207" spans="1:11" s="9" customFormat="1" ht="25.5" x14ac:dyDescent="0.25">
      <c r="A207" s="18">
        <v>206</v>
      </c>
      <c r="B207" s="12" t="s">
        <v>356</v>
      </c>
      <c r="C207" s="12" t="s">
        <v>39</v>
      </c>
      <c r="D207" s="12" t="s">
        <v>357</v>
      </c>
      <c r="E207" s="19" t="s">
        <v>14</v>
      </c>
      <c r="F207" s="19">
        <v>10</v>
      </c>
      <c r="G207" s="20">
        <v>37.29</v>
      </c>
      <c r="H207" s="20">
        <f t="shared" si="3"/>
        <v>372.9</v>
      </c>
      <c r="I207" s="12" t="s">
        <v>313</v>
      </c>
      <c r="J207" s="22" t="s">
        <v>16</v>
      </c>
      <c r="K207" s="22" t="s">
        <v>17</v>
      </c>
    </row>
    <row r="208" spans="1:11" s="9" customFormat="1" ht="25.5" x14ac:dyDescent="0.25">
      <c r="A208" s="18">
        <v>207</v>
      </c>
      <c r="B208" s="12" t="s">
        <v>358</v>
      </c>
      <c r="C208" s="12" t="s">
        <v>39</v>
      </c>
      <c r="D208" s="12" t="s">
        <v>359</v>
      </c>
      <c r="E208" s="19" t="s">
        <v>14</v>
      </c>
      <c r="F208" s="19">
        <v>16</v>
      </c>
      <c r="G208" s="20">
        <v>29.97</v>
      </c>
      <c r="H208" s="20">
        <f t="shared" si="3"/>
        <v>479.52</v>
      </c>
      <c r="I208" s="12" t="s">
        <v>313</v>
      </c>
      <c r="J208" s="22" t="s">
        <v>16</v>
      </c>
      <c r="K208" s="22" t="s">
        <v>17</v>
      </c>
    </row>
    <row r="209" spans="1:11" s="9" customFormat="1" x14ac:dyDescent="0.25">
      <c r="A209" s="18">
        <v>208</v>
      </c>
      <c r="B209" s="12" t="s">
        <v>360</v>
      </c>
      <c r="C209" s="12" t="s">
        <v>39</v>
      </c>
      <c r="D209" s="12" t="s">
        <v>361</v>
      </c>
      <c r="E209" s="19" t="s">
        <v>14</v>
      </c>
      <c r="F209" s="19">
        <v>16</v>
      </c>
      <c r="G209" s="20">
        <v>19.239999999999998</v>
      </c>
      <c r="H209" s="20">
        <f t="shared" si="3"/>
        <v>307.83999999999997</v>
      </c>
      <c r="I209" s="12" t="s">
        <v>313</v>
      </c>
      <c r="J209" s="22" t="s">
        <v>16</v>
      </c>
      <c r="K209" s="22" t="s">
        <v>17</v>
      </c>
    </row>
    <row r="210" spans="1:11" s="9" customFormat="1" x14ac:dyDescent="0.25">
      <c r="A210" s="18">
        <v>209</v>
      </c>
      <c r="B210" s="12" t="s">
        <v>362</v>
      </c>
      <c r="C210" s="12" t="s">
        <v>39</v>
      </c>
      <c r="D210" s="13" t="s">
        <v>363</v>
      </c>
      <c r="E210" s="19" t="s">
        <v>14</v>
      </c>
      <c r="F210" s="19">
        <v>109</v>
      </c>
      <c r="G210" s="20">
        <v>20.2</v>
      </c>
      <c r="H210" s="20">
        <f t="shared" si="3"/>
        <v>2201.7999999999997</v>
      </c>
      <c r="I210" s="12" t="s">
        <v>313</v>
      </c>
      <c r="J210" s="22" t="s">
        <v>16</v>
      </c>
      <c r="K210" s="22" t="s">
        <v>17</v>
      </c>
    </row>
    <row r="211" spans="1:11" s="9" customFormat="1" x14ac:dyDescent="0.25">
      <c r="A211" s="18">
        <v>210</v>
      </c>
      <c r="B211" s="12" t="s">
        <v>364</v>
      </c>
      <c r="C211" s="12" t="s">
        <v>39</v>
      </c>
      <c r="D211" s="12" t="s">
        <v>365</v>
      </c>
      <c r="E211" s="19" t="s">
        <v>14</v>
      </c>
      <c r="F211" s="19">
        <v>57</v>
      </c>
      <c r="G211" s="20">
        <v>21.1</v>
      </c>
      <c r="H211" s="20">
        <f t="shared" si="3"/>
        <v>1202.7</v>
      </c>
      <c r="I211" s="12" t="s">
        <v>313</v>
      </c>
      <c r="J211" s="22" t="s">
        <v>16</v>
      </c>
      <c r="K211" s="22" t="s">
        <v>17</v>
      </c>
    </row>
    <row r="212" spans="1:11" s="9" customFormat="1" ht="25.5" x14ac:dyDescent="0.25">
      <c r="A212" s="18">
        <v>211</v>
      </c>
      <c r="B212" s="12" t="s">
        <v>366</v>
      </c>
      <c r="C212" s="12" t="s">
        <v>39</v>
      </c>
      <c r="D212" s="12" t="s">
        <v>367</v>
      </c>
      <c r="E212" s="19" t="s">
        <v>14</v>
      </c>
      <c r="F212" s="19">
        <v>28</v>
      </c>
      <c r="G212" s="20">
        <v>70.95</v>
      </c>
      <c r="H212" s="20">
        <f t="shared" si="3"/>
        <v>1986.6000000000001</v>
      </c>
      <c r="I212" s="12" t="s">
        <v>313</v>
      </c>
      <c r="J212" s="22" t="s">
        <v>16</v>
      </c>
      <c r="K212" s="22" t="s">
        <v>17</v>
      </c>
    </row>
    <row r="213" spans="1:11" s="9" customFormat="1" ht="25.5" x14ac:dyDescent="0.25">
      <c r="A213" s="18">
        <v>212</v>
      </c>
      <c r="B213" s="12" t="s">
        <v>368</v>
      </c>
      <c r="C213" s="12" t="s">
        <v>39</v>
      </c>
      <c r="D213" s="12" t="s">
        <v>369</v>
      </c>
      <c r="E213" s="19" t="s">
        <v>14</v>
      </c>
      <c r="F213" s="19">
        <v>17</v>
      </c>
      <c r="G213" s="20">
        <v>68.77</v>
      </c>
      <c r="H213" s="20">
        <f t="shared" si="3"/>
        <v>1169.0899999999999</v>
      </c>
      <c r="I213" s="12" t="s">
        <v>313</v>
      </c>
      <c r="J213" s="22" t="s">
        <v>16</v>
      </c>
      <c r="K213" s="22" t="s">
        <v>17</v>
      </c>
    </row>
    <row r="214" spans="1:11" s="9" customFormat="1" ht="25.5" x14ac:dyDescent="0.25">
      <c r="A214" s="18">
        <v>213</v>
      </c>
      <c r="B214" s="12" t="s">
        <v>370</v>
      </c>
      <c r="C214" s="12" t="s">
        <v>39</v>
      </c>
      <c r="D214" s="13" t="s">
        <v>371</v>
      </c>
      <c r="E214" s="19" t="s">
        <v>14</v>
      </c>
      <c r="F214" s="19">
        <v>6</v>
      </c>
      <c r="G214" s="20">
        <v>593.70000000000005</v>
      </c>
      <c r="H214" s="20">
        <f t="shared" si="3"/>
        <v>3562.2000000000003</v>
      </c>
      <c r="I214" s="12" t="s">
        <v>313</v>
      </c>
      <c r="J214" s="22" t="s">
        <v>16</v>
      </c>
      <c r="K214" s="22" t="s">
        <v>17</v>
      </c>
    </row>
    <row r="215" spans="1:11" s="9" customFormat="1" ht="25.5" x14ac:dyDescent="0.25">
      <c r="A215" s="18">
        <v>214</v>
      </c>
      <c r="B215" s="12" t="s">
        <v>372</v>
      </c>
      <c r="C215" s="12" t="s">
        <v>39</v>
      </c>
      <c r="D215" s="12" t="s">
        <v>373</v>
      </c>
      <c r="E215" s="19" t="s">
        <v>14</v>
      </c>
      <c r="F215" s="19">
        <v>20</v>
      </c>
      <c r="G215" s="20">
        <v>37.369999999999997</v>
      </c>
      <c r="H215" s="20">
        <f t="shared" si="3"/>
        <v>747.4</v>
      </c>
      <c r="I215" s="12" t="s">
        <v>313</v>
      </c>
      <c r="J215" s="22" t="s">
        <v>16</v>
      </c>
      <c r="K215" s="22" t="s">
        <v>17</v>
      </c>
    </row>
    <row r="216" spans="1:11" s="9" customFormat="1" ht="25.5" x14ac:dyDescent="0.25">
      <c r="A216" s="18">
        <v>215</v>
      </c>
      <c r="B216" s="12" t="s">
        <v>374</v>
      </c>
      <c r="C216" s="12" t="s">
        <v>39</v>
      </c>
      <c r="D216" s="12" t="s">
        <v>375</v>
      </c>
      <c r="E216" s="19" t="s">
        <v>14</v>
      </c>
      <c r="F216" s="19">
        <v>9</v>
      </c>
      <c r="G216" s="20">
        <v>39.89</v>
      </c>
      <c r="H216" s="20">
        <f t="shared" si="3"/>
        <v>359.01</v>
      </c>
      <c r="I216" s="12" t="s">
        <v>313</v>
      </c>
      <c r="J216" s="22" t="s">
        <v>16</v>
      </c>
      <c r="K216" s="22" t="s">
        <v>17</v>
      </c>
    </row>
    <row r="217" spans="1:11" s="9" customFormat="1" ht="25.5" x14ac:dyDescent="0.25">
      <c r="A217" s="18">
        <v>216</v>
      </c>
      <c r="B217" s="12" t="s">
        <v>1123</v>
      </c>
      <c r="C217" s="12" t="s">
        <v>39</v>
      </c>
      <c r="D217" s="13" t="s">
        <v>1124</v>
      </c>
      <c r="E217" s="19" t="s">
        <v>14</v>
      </c>
      <c r="F217" s="19">
        <v>2</v>
      </c>
      <c r="G217" s="20">
        <v>42.83</v>
      </c>
      <c r="H217" s="20">
        <f t="shared" si="3"/>
        <v>85.66</v>
      </c>
      <c r="I217" s="12" t="s">
        <v>313</v>
      </c>
      <c r="J217" s="22" t="s">
        <v>16</v>
      </c>
      <c r="K217" s="22" t="s">
        <v>17</v>
      </c>
    </row>
    <row r="218" spans="1:11" s="9" customFormat="1" x14ac:dyDescent="0.25">
      <c r="A218" s="18">
        <v>217</v>
      </c>
      <c r="B218" s="12" t="s">
        <v>328</v>
      </c>
      <c r="C218" s="12" t="s">
        <v>376</v>
      </c>
      <c r="D218" s="13" t="s">
        <v>377</v>
      </c>
      <c r="E218" s="19" t="s">
        <v>24</v>
      </c>
      <c r="F218" s="19">
        <v>38</v>
      </c>
      <c r="G218" s="20">
        <v>9.1</v>
      </c>
      <c r="H218" s="20">
        <f t="shared" si="3"/>
        <v>345.8</v>
      </c>
      <c r="I218" s="12" t="s">
        <v>313</v>
      </c>
      <c r="J218" s="22" t="s">
        <v>16</v>
      </c>
      <c r="K218" s="22" t="s">
        <v>17</v>
      </c>
    </row>
    <row r="219" spans="1:11" s="9" customFormat="1" ht="25.5" x14ac:dyDescent="0.25">
      <c r="A219" s="18">
        <v>218</v>
      </c>
      <c r="B219" s="12" t="s">
        <v>378</v>
      </c>
      <c r="C219" s="12" t="s">
        <v>379</v>
      </c>
      <c r="D219" s="12" t="s">
        <v>380</v>
      </c>
      <c r="E219" s="19" t="s">
        <v>14</v>
      </c>
      <c r="F219" s="19">
        <v>224</v>
      </c>
      <c r="G219" s="20">
        <v>4.75</v>
      </c>
      <c r="H219" s="20">
        <f t="shared" si="3"/>
        <v>1064</v>
      </c>
      <c r="I219" s="12" t="s">
        <v>313</v>
      </c>
      <c r="J219" s="22" t="s">
        <v>16</v>
      </c>
      <c r="K219" s="22" t="s">
        <v>17</v>
      </c>
    </row>
    <row r="220" spans="1:11" s="9" customFormat="1" ht="25.5" x14ac:dyDescent="0.25">
      <c r="A220" s="18">
        <v>219</v>
      </c>
      <c r="B220" s="12" t="s">
        <v>381</v>
      </c>
      <c r="C220" s="12" t="s">
        <v>379</v>
      </c>
      <c r="D220" s="12" t="s">
        <v>382</v>
      </c>
      <c r="E220" s="19" t="s">
        <v>14</v>
      </c>
      <c r="F220" s="19">
        <v>228</v>
      </c>
      <c r="G220" s="20">
        <v>5.57</v>
      </c>
      <c r="H220" s="20">
        <f t="shared" si="3"/>
        <v>1269.96</v>
      </c>
      <c r="I220" s="12" t="s">
        <v>313</v>
      </c>
      <c r="J220" s="22" t="s">
        <v>16</v>
      </c>
      <c r="K220" s="22" t="s">
        <v>17</v>
      </c>
    </row>
    <row r="221" spans="1:11" s="9" customFormat="1" ht="25.5" x14ac:dyDescent="0.25">
      <c r="A221" s="18">
        <v>220</v>
      </c>
      <c r="B221" s="12" t="s">
        <v>383</v>
      </c>
      <c r="C221" s="12" t="s">
        <v>379</v>
      </c>
      <c r="D221" s="12" t="s">
        <v>384</v>
      </c>
      <c r="E221" s="19" t="s">
        <v>14</v>
      </c>
      <c r="F221" s="19">
        <v>260</v>
      </c>
      <c r="G221" s="20">
        <v>4.75</v>
      </c>
      <c r="H221" s="20">
        <f t="shared" si="3"/>
        <v>1235</v>
      </c>
      <c r="I221" s="12" t="s">
        <v>313</v>
      </c>
      <c r="J221" s="22" t="s">
        <v>16</v>
      </c>
      <c r="K221" s="22" t="s">
        <v>17</v>
      </c>
    </row>
    <row r="222" spans="1:11" s="9" customFormat="1" ht="25.5" x14ac:dyDescent="0.25">
      <c r="A222" s="18">
        <v>221</v>
      </c>
      <c r="B222" s="12" t="s">
        <v>385</v>
      </c>
      <c r="C222" s="12" t="s">
        <v>386</v>
      </c>
      <c r="D222" s="13" t="s">
        <v>387</v>
      </c>
      <c r="E222" s="19" t="s">
        <v>24</v>
      </c>
      <c r="F222" s="19">
        <v>4</v>
      </c>
      <c r="G222" s="20">
        <v>11.97</v>
      </c>
      <c r="H222" s="20">
        <f t="shared" si="3"/>
        <v>47.88</v>
      </c>
      <c r="I222" s="12" t="s">
        <v>313</v>
      </c>
      <c r="J222" s="22" t="s">
        <v>16</v>
      </c>
      <c r="K222" s="22" t="s">
        <v>17</v>
      </c>
    </row>
    <row r="223" spans="1:11" s="9" customFormat="1" x14ac:dyDescent="0.25">
      <c r="A223" s="18">
        <v>222</v>
      </c>
      <c r="B223" s="12" t="s">
        <v>388</v>
      </c>
      <c r="C223" s="12" t="s">
        <v>389</v>
      </c>
      <c r="D223" s="12" t="s">
        <v>390</v>
      </c>
      <c r="E223" s="19" t="s">
        <v>14</v>
      </c>
      <c r="F223" s="19">
        <v>100</v>
      </c>
      <c r="G223" s="20">
        <v>0.98</v>
      </c>
      <c r="H223" s="20">
        <f t="shared" si="3"/>
        <v>98</v>
      </c>
      <c r="I223" s="12" t="s">
        <v>313</v>
      </c>
      <c r="J223" s="22" t="s">
        <v>16</v>
      </c>
      <c r="K223" s="22" t="s">
        <v>17</v>
      </c>
    </row>
    <row r="224" spans="1:11" s="9" customFormat="1" x14ac:dyDescent="0.25">
      <c r="A224" s="18">
        <v>223</v>
      </c>
      <c r="B224" s="12" t="s">
        <v>391</v>
      </c>
      <c r="C224" s="12" t="s">
        <v>392</v>
      </c>
      <c r="D224" s="13" t="s">
        <v>393</v>
      </c>
      <c r="E224" s="19" t="s">
        <v>14</v>
      </c>
      <c r="F224" s="19">
        <v>403</v>
      </c>
      <c r="G224" s="20">
        <v>9.6999999999999993</v>
      </c>
      <c r="H224" s="20">
        <f t="shared" si="3"/>
        <v>3909.1</v>
      </c>
      <c r="I224" s="12" t="s">
        <v>313</v>
      </c>
      <c r="J224" s="22" t="s">
        <v>16</v>
      </c>
      <c r="K224" s="22" t="s">
        <v>17</v>
      </c>
    </row>
    <row r="225" spans="1:11" s="9" customFormat="1" x14ac:dyDescent="0.25">
      <c r="A225" s="18">
        <v>224</v>
      </c>
      <c r="B225" s="12" t="s">
        <v>394</v>
      </c>
      <c r="C225" s="12" t="s">
        <v>395</v>
      </c>
      <c r="D225" s="12" t="s">
        <v>396</v>
      </c>
      <c r="E225" s="19" t="s">
        <v>14</v>
      </c>
      <c r="F225" s="19">
        <v>415</v>
      </c>
      <c r="G225" s="20">
        <v>0.9</v>
      </c>
      <c r="H225" s="20">
        <f t="shared" si="3"/>
        <v>373.5</v>
      </c>
      <c r="I225" s="12" t="s">
        <v>313</v>
      </c>
      <c r="J225" s="22" t="s">
        <v>16</v>
      </c>
      <c r="K225" s="22" t="s">
        <v>17</v>
      </c>
    </row>
    <row r="226" spans="1:11" s="9" customFormat="1" x14ac:dyDescent="0.25">
      <c r="A226" s="18">
        <v>225</v>
      </c>
      <c r="B226" s="12" t="s">
        <v>397</v>
      </c>
      <c r="C226" s="12" t="s">
        <v>395</v>
      </c>
      <c r="D226" s="12" t="s">
        <v>398</v>
      </c>
      <c r="E226" s="19" t="s">
        <v>14</v>
      </c>
      <c r="F226" s="19">
        <v>232</v>
      </c>
      <c r="G226" s="20">
        <v>1.1000000000000001</v>
      </c>
      <c r="H226" s="20">
        <f t="shared" si="3"/>
        <v>255.20000000000002</v>
      </c>
      <c r="I226" s="12" t="s">
        <v>313</v>
      </c>
      <c r="J226" s="22" t="s">
        <v>16</v>
      </c>
      <c r="K226" s="22" t="s">
        <v>17</v>
      </c>
    </row>
    <row r="227" spans="1:11" s="9" customFormat="1" x14ac:dyDescent="0.25">
      <c r="A227" s="18">
        <v>226</v>
      </c>
      <c r="B227" s="12" t="s">
        <v>399</v>
      </c>
      <c r="C227" s="12" t="s">
        <v>400</v>
      </c>
      <c r="D227" s="12" t="s">
        <v>401</v>
      </c>
      <c r="E227" s="19" t="s">
        <v>14</v>
      </c>
      <c r="F227" s="19">
        <v>360</v>
      </c>
      <c r="G227" s="20">
        <v>0.5</v>
      </c>
      <c r="H227" s="20">
        <f t="shared" si="3"/>
        <v>180</v>
      </c>
      <c r="I227" s="12" t="s">
        <v>313</v>
      </c>
      <c r="J227" s="22" t="s">
        <v>16</v>
      </c>
      <c r="K227" s="22" t="s">
        <v>17</v>
      </c>
    </row>
    <row r="228" spans="1:11" s="9" customFormat="1" x14ac:dyDescent="0.25">
      <c r="A228" s="18">
        <v>227</v>
      </c>
      <c r="B228" s="12" t="s">
        <v>402</v>
      </c>
      <c r="C228" s="12" t="s">
        <v>400</v>
      </c>
      <c r="D228" s="12" t="s">
        <v>403</v>
      </c>
      <c r="E228" s="19" t="s">
        <v>14</v>
      </c>
      <c r="F228" s="19">
        <v>1149</v>
      </c>
      <c r="G228" s="20">
        <v>0.08</v>
      </c>
      <c r="H228" s="20">
        <f t="shared" si="3"/>
        <v>91.92</v>
      </c>
      <c r="I228" s="12" t="s">
        <v>313</v>
      </c>
      <c r="J228" s="22" t="s">
        <v>16</v>
      </c>
      <c r="K228" s="22" t="s">
        <v>17</v>
      </c>
    </row>
    <row r="229" spans="1:11" s="9" customFormat="1" ht="25.5" x14ac:dyDescent="0.25">
      <c r="A229" s="18">
        <v>228</v>
      </c>
      <c r="B229" s="12" t="s">
        <v>1336</v>
      </c>
      <c r="C229" s="12" t="s">
        <v>39</v>
      </c>
      <c r="D229" s="13" t="s">
        <v>1337</v>
      </c>
      <c r="E229" s="19" t="s">
        <v>14</v>
      </c>
      <c r="F229" s="19">
        <v>1</v>
      </c>
      <c r="G229" s="20">
        <v>54</v>
      </c>
      <c r="H229" s="20">
        <f t="shared" si="3"/>
        <v>54</v>
      </c>
      <c r="I229" s="12" t="s">
        <v>313</v>
      </c>
      <c r="J229" s="22" t="s">
        <v>16</v>
      </c>
      <c r="K229" s="22" t="s">
        <v>17</v>
      </c>
    </row>
    <row r="230" spans="1:11" s="9" customFormat="1" ht="25.5" x14ac:dyDescent="0.25">
      <c r="A230" s="18">
        <v>229</v>
      </c>
      <c r="B230" s="12" t="s">
        <v>404</v>
      </c>
      <c r="C230" s="12" t="s">
        <v>205</v>
      </c>
      <c r="D230" s="12" t="s">
        <v>405</v>
      </c>
      <c r="E230" s="19" t="s">
        <v>14</v>
      </c>
      <c r="F230" s="19">
        <v>30</v>
      </c>
      <c r="G230" s="20">
        <v>174.45</v>
      </c>
      <c r="H230" s="20">
        <f t="shared" si="3"/>
        <v>5233.5</v>
      </c>
      <c r="I230" s="12" t="s">
        <v>313</v>
      </c>
      <c r="J230" s="22" t="s">
        <v>16</v>
      </c>
      <c r="K230" s="22" t="s">
        <v>17</v>
      </c>
    </row>
    <row r="231" spans="1:11" s="9" customFormat="1" ht="25.5" x14ac:dyDescent="0.25">
      <c r="A231" s="18">
        <v>230</v>
      </c>
      <c r="B231" s="12" t="s">
        <v>406</v>
      </c>
      <c r="C231" s="12" t="s">
        <v>407</v>
      </c>
      <c r="D231" s="12" t="s">
        <v>408</v>
      </c>
      <c r="E231" s="19" t="s">
        <v>24</v>
      </c>
      <c r="F231" s="19">
        <v>42</v>
      </c>
      <c r="G231" s="20">
        <v>4.46</v>
      </c>
      <c r="H231" s="20">
        <f t="shared" si="3"/>
        <v>187.32</v>
      </c>
      <c r="I231" s="12" t="s">
        <v>313</v>
      </c>
      <c r="J231" s="22" t="s">
        <v>16</v>
      </c>
      <c r="K231" s="22" t="s">
        <v>17</v>
      </c>
    </row>
    <row r="232" spans="1:11" s="9" customFormat="1" ht="25.5" x14ac:dyDescent="0.25">
      <c r="A232" s="18">
        <v>231</v>
      </c>
      <c r="B232" s="12" t="s">
        <v>409</v>
      </c>
      <c r="C232" s="12" t="s">
        <v>115</v>
      </c>
      <c r="D232" s="13" t="s">
        <v>410</v>
      </c>
      <c r="E232" s="19" t="s">
        <v>14</v>
      </c>
      <c r="F232" s="19">
        <v>5</v>
      </c>
      <c r="G232" s="20">
        <v>6.99</v>
      </c>
      <c r="H232" s="20">
        <f t="shared" si="3"/>
        <v>34.950000000000003</v>
      </c>
      <c r="I232" s="12" t="s">
        <v>313</v>
      </c>
      <c r="J232" s="22" t="s">
        <v>16</v>
      </c>
      <c r="K232" s="22" t="s">
        <v>17</v>
      </c>
    </row>
    <row r="233" spans="1:11" s="9" customFormat="1" ht="25.5" x14ac:dyDescent="0.25">
      <c r="A233" s="18">
        <v>232</v>
      </c>
      <c r="B233" s="12" t="s">
        <v>411</v>
      </c>
      <c r="C233" s="12" t="s">
        <v>115</v>
      </c>
      <c r="D233" s="12" t="s">
        <v>412</v>
      </c>
      <c r="E233" s="19" t="s">
        <v>14</v>
      </c>
      <c r="F233" s="19">
        <v>7</v>
      </c>
      <c r="G233" s="20">
        <v>6.99</v>
      </c>
      <c r="H233" s="20">
        <f t="shared" si="3"/>
        <v>48.93</v>
      </c>
      <c r="I233" s="12" t="s">
        <v>313</v>
      </c>
      <c r="J233" s="22" t="s">
        <v>16</v>
      </c>
      <c r="K233" s="22" t="s">
        <v>17</v>
      </c>
    </row>
    <row r="234" spans="1:11" s="9" customFormat="1" x14ac:dyDescent="0.25">
      <c r="A234" s="18">
        <v>233</v>
      </c>
      <c r="B234" s="12" t="s">
        <v>413</v>
      </c>
      <c r="C234" s="12" t="s">
        <v>205</v>
      </c>
      <c r="D234" s="12" t="s">
        <v>414</v>
      </c>
      <c r="E234" s="19" t="s">
        <v>14</v>
      </c>
      <c r="F234" s="19">
        <v>10</v>
      </c>
      <c r="G234" s="20">
        <v>63.29</v>
      </c>
      <c r="H234" s="20">
        <f t="shared" si="3"/>
        <v>632.9</v>
      </c>
      <c r="I234" s="12" t="s">
        <v>313</v>
      </c>
      <c r="J234" s="22" t="s">
        <v>16</v>
      </c>
      <c r="K234" s="22" t="s">
        <v>17</v>
      </c>
    </row>
    <row r="235" spans="1:11" s="9" customFormat="1" ht="25.5" x14ac:dyDescent="0.25">
      <c r="A235" s="18">
        <v>234</v>
      </c>
      <c r="B235" s="12" t="s">
        <v>415</v>
      </c>
      <c r="C235" s="12" t="s">
        <v>189</v>
      </c>
      <c r="D235" s="12" t="s">
        <v>416</v>
      </c>
      <c r="E235" s="19" t="s">
        <v>191</v>
      </c>
      <c r="F235" s="19">
        <v>11</v>
      </c>
      <c r="G235" s="20">
        <v>11.68</v>
      </c>
      <c r="H235" s="20">
        <f t="shared" si="3"/>
        <v>128.47999999999999</v>
      </c>
      <c r="I235" s="12" t="s">
        <v>313</v>
      </c>
      <c r="J235" s="22" t="s">
        <v>16</v>
      </c>
      <c r="K235" s="22" t="s">
        <v>17</v>
      </c>
    </row>
    <row r="236" spans="1:11" s="9" customFormat="1" x14ac:dyDescent="0.25">
      <c r="A236" s="18">
        <v>235</v>
      </c>
      <c r="B236" s="12" t="s">
        <v>417</v>
      </c>
      <c r="C236" s="12" t="s">
        <v>22</v>
      </c>
      <c r="D236" s="13" t="s">
        <v>418</v>
      </c>
      <c r="E236" s="19" t="s">
        <v>24</v>
      </c>
      <c r="F236" s="19">
        <v>708</v>
      </c>
      <c r="G236" s="20">
        <v>2.2999999999999998</v>
      </c>
      <c r="H236" s="20">
        <f t="shared" si="3"/>
        <v>1628.3999999999999</v>
      </c>
      <c r="I236" s="12" t="s">
        <v>313</v>
      </c>
      <c r="J236" s="22" t="s">
        <v>16</v>
      </c>
      <c r="K236" s="22" t="s">
        <v>17</v>
      </c>
    </row>
    <row r="237" spans="1:11" s="9" customFormat="1" ht="25.5" x14ac:dyDescent="0.25">
      <c r="A237" s="18">
        <v>236</v>
      </c>
      <c r="B237" s="12" t="s">
        <v>419</v>
      </c>
      <c r="C237" s="12" t="s">
        <v>420</v>
      </c>
      <c r="D237" s="12" t="s">
        <v>421</v>
      </c>
      <c r="E237" s="19" t="s">
        <v>24</v>
      </c>
      <c r="F237" s="19">
        <v>20</v>
      </c>
      <c r="G237" s="20">
        <v>36.86</v>
      </c>
      <c r="H237" s="20">
        <f t="shared" si="3"/>
        <v>737.2</v>
      </c>
      <c r="I237" s="12" t="s">
        <v>313</v>
      </c>
      <c r="J237" s="22" t="s">
        <v>16</v>
      </c>
      <c r="K237" s="22" t="s">
        <v>17</v>
      </c>
    </row>
    <row r="238" spans="1:11" s="9" customFormat="1" ht="25.5" x14ac:dyDescent="0.25">
      <c r="A238" s="18">
        <v>237</v>
      </c>
      <c r="B238" s="12" t="s">
        <v>422</v>
      </c>
      <c r="C238" s="12" t="s">
        <v>423</v>
      </c>
      <c r="D238" s="12" t="s">
        <v>424</v>
      </c>
      <c r="E238" s="19" t="s">
        <v>14</v>
      </c>
      <c r="F238" s="19">
        <v>14</v>
      </c>
      <c r="G238" s="20">
        <v>10.55</v>
      </c>
      <c r="H238" s="20">
        <f t="shared" si="3"/>
        <v>147.70000000000002</v>
      </c>
      <c r="I238" s="12" t="s">
        <v>313</v>
      </c>
      <c r="J238" s="22" t="s">
        <v>16</v>
      </c>
      <c r="K238" s="22" t="s">
        <v>17</v>
      </c>
    </row>
    <row r="239" spans="1:11" s="9" customFormat="1" ht="38.25" x14ac:dyDescent="0.25">
      <c r="A239" s="18">
        <v>238</v>
      </c>
      <c r="B239" s="12" t="s">
        <v>426</v>
      </c>
      <c r="C239" s="12" t="s">
        <v>425</v>
      </c>
      <c r="D239" s="12" t="s">
        <v>427</v>
      </c>
      <c r="E239" s="19" t="s">
        <v>14</v>
      </c>
      <c r="F239" s="19">
        <v>800</v>
      </c>
      <c r="G239" s="20">
        <v>0.15</v>
      </c>
      <c r="H239" s="20">
        <f t="shared" si="3"/>
        <v>120</v>
      </c>
      <c r="I239" s="12" t="s">
        <v>313</v>
      </c>
      <c r="J239" s="22" t="s">
        <v>16</v>
      </c>
      <c r="K239" s="22" t="s">
        <v>17</v>
      </c>
    </row>
    <row r="240" spans="1:11" s="9" customFormat="1" ht="25.5" x14ac:dyDescent="0.25">
      <c r="A240" s="18">
        <v>239</v>
      </c>
      <c r="B240" s="12" t="s">
        <v>428</v>
      </c>
      <c r="C240" s="12" t="s">
        <v>429</v>
      </c>
      <c r="D240" s="13" t="s">
        <v>430</v>
      </c>
      <c r="E240" s="19" t="s">
        <v>14</v>
      </c>
      <c r="F240" s="19">
        <v>18</v>
      </c>
      <c r="G240" s="20">
        <v>48.23</v>
      </c>
      <c r="H240" s="20">
        <f t="shared" si="3"/>
        <v>868.14</v>
      </c>
      <c r="I240" s="12" t="s">
        <v>313</v>
      </c>
      <c r="J240" s="22" t="s">
        <v>16</v>
      </c>
      <c r="K240" s="22" t="s">
        <v>17</v>
      </c>
    </row>
    <row r="241" spans="1:11" s="9" customFormat="1" ht="25.5" x14ac:dyDescent="0.25">
      <c r="A241" s="18">
        <v>240</v>
      </c>
      <c r="B241" s="12" t="s">
        <v>431</v>
      </c>
      <c r="C241" s="12" t="s">
        <v>143</v>
      </c>
      <c r="D241" s="12" t="s">
        <v>432</v>
      </c>
      <c r="E241" s="19" t="s">
        <v>14</v>
      </c>
      <c r="F241" s="19">
        <v>50</v>
      </c>
      <c r="G241" s="20">
        <v>3</v>
      </c>
      <c r="H241" s="20">
        <f t="shared" si="3"/>
        <v>150</v>
      </c>
      <c r="I241" s="14" t="s">
        <v>313</v>
      </c>
      <c r="J241" s="22" t="s">
        <v>16</v>
      </c>
      <c r="K241" s="22" t="s">
        <v>17</v>
      </c>
    </row>
    <row r="242" spans="1:11" s="9" customFormat="1" x14ac:dyDescent="0.25">
      <c r="A242" s="18">
        <v>241</v>
      </c>
      <c r="B242" s="12" t="s">
        <v>433</v>
      </c>
      <c r="C242" s="12" t="s">
        <v>143</v>
      </c>
      <c r="D242" s="12" t="s">
        <v>434</v>
      </c>
      <c r="E242" s="19" t="s">
        <v>14</v>
      </c>
      <c r="F242" s="19">
        <v>64</v>
      </c>
      <c r="G242" s="20">
        <v>2.23</v>
      </c>
      <c r="H242" s="20">
        <f t="shared" si="3"/>
        <v>142.72</v>
      </c>
      <c r="I242" s="12" t="s">
        <v>313</v>
      </c>
      <c r="J242" s="22" t="s">
        <v>16</v>
      </c>
      <c r="K242" s="22" t="s">
        <v>17</v>
      </c>
    </row>
    <row r="243" spans="1:11" s="9" customFormat="1" x14ac:dyDescent="0.25">
      <c r="A243" s="18">
        <v>242</v>
      </c>
      <c r="B243" s="12" t="s">
        <v>435</v>
      </c>
      <c r="C243" s="12" t="s">
        <v>143</v>
      </c>
      <c r="D243" s="12" t="s">
        <v>436</v>
      </c>
      <c r="E243" s="19" t="s">
        <v>14</v>
      </c>
      <c r="F243" s="19">
        <v>69</v>
      </c>
      <c r="G243" s="20">
        <v>4.55</v>
      </c>
      <c r="H243" s="20">
        <f t="shared" si="3"/>
        <v>313.95</v>
      </c>
      <c r="I243" s="14" t="s">
        <v>313</v>
      </c>
      <c r="J243" s="22" t="s">
        <v>16</v>
      </c>
      <c r="K243" s="22" t="s">
        <v>17</v>
      </c>
    </row>
    <row r="244" spans="1:11" s="9" customFormat="1" ht="25.5" x14ac:dyDescent="0.25">
      <c r="A244" s="18">
        <v>243</v>
      </c>
      <c r="B244" s="12" t="s">
        <v>437</v>
      </c>
      <c r="C244" s="12" t="s">
        <v>438</v>
      </c>
      <c r="D244" s="13" t="s">
        <v>439</v>
      </c>
      <c r="E244" s="19" t="s">
        <v>24</v>
      </c>
      <c r="F244" s="19">
        <v>8</v>
      </c>
      <c r="G244" s="20">
        <v>19.16</v>
      </c>
      <c r="H244" s="20">
        <f t="shared" si="3"/>
        <v>153.28</v>
      </c>
      <c r="I244" s="12" t="s">
        <v>313</v>
      </c>
      <c r="J244" s="22" t="s">
        <v>16</v>
      </c>
      <c r="K244" s="22" t="s">
        <v>17</v>
      </c>
    </row>
    <row r="245" spans="1:11" s="9" customFormat="1" x14ac:dyDescent="0.25">
      <c r="A245" s="18">
        <v>244</v>
      </c>
      <c r="B245" s="12" t="s">
        <v>1548</v>
      </c>
      <c r="C245" s="12" t="s">
        <v>34</v>
      </c>
      <c r="D245" s="13" t="s">
        <v>1549</v>
      </c>
      <c r="E245" s="19" t="s">
        <v>14</v>
      </c>
      <c r="F245" s="19">
        <v>8</v>
      </c>
      <c r="G245" s="20">
        <v>54.17</v>
      </c>
      <c r="H245" s="20">
        <f t="shared" si="3"/>
        <v>433.36</v>
      </c>
      <c r="I245" s="12" t="s">
        <v>313</v>
      </c>
      <c r="J245" s="22" t="s">
        <v>16</v>
      </c>
      <c r="K245" s="22" t="s">
        <v>17</v>
      </c>
    </row>
    <row r="246" spans="1:11" s="9" customFormat="1" x14ac:dyDescent="0.25">
      <c r="A246" s="18">
        <v>245</v>
      </c>
      <c r="B246" s="12" t="s">
        <v>440</v>
      </c>
      <c r="C246" s="12" t="s">
        <v>143</v>
      </c>
      <c r="D246" s="12" t="s">
        <v>441</v>
      </c>
      <c r="E246" s="19" t="s">
        <v>14</v>
      </c>
      <c r="F246" s="19">
        <v>48</v>
      </c>
      <c r="G246" s="20">
        <v>5.16</v>
      </c>
      <c r="H246" s="20">
        <f t="shared" si="3"/>
        <v>247.68</v>
      </c>
      <c r="I246" s="12" t="s">
        <v>313</v>
      </c>
      <c r="J246" s="22" t="s">
        <v>16</v>
      </c>
      <c r="K246" s="22" t="s">
        <v>17</v>
      </c>
    </row>
    <row r="247" spans="1:11" s="9" customFormat="1" x14ac:dyDescent="0.25">
      <c r="A247" s="18">
        <v>246</v>
      </c>
      <c r="B247" s="12" t="s">
        <v>442</v>
      </c>
      <c r="C247" s="12" t="s">
        <v>443</v>
      </c>
      <c r="D247" s="12" t="s">
        <v>444</v>
      </c>
      <c r="E247" s="19" t="s">
        <v>14</v>
      </c>
      <c r="F247" s="19">
        <v>77</v>
      </c>
      <c r="G247" s="20">
        <v>3.15</v>
      </c>
      <c r="H247" s="20">
        <f t="shared" si="3"/>
        <v>242.54999999999998</v>
      </c>
      <c r="I247" s="12" t="s">
        <v>313</v>
      </c>
      <c r="J247" s="22" t="s">
        <v>16</v>
      </c>
      <c r="K247" s="22" t="s">
        <v>17</v>
      </c>
    </row>
    <row r="248" spans="1:11" s="9" customFormat="1" ht="25.5" x14ac:dyDescent="0.25">
      <c r="A248" s="18">
        <v>247</v>
      </c>
      <c r="B248" s="12" t="s">
        <v>445</v>
      </c>
      <c r="C248" s="12" t="s">
        <v>189</v>
      </c>
      <c r="D248" s="12" t="s">
        <v>446</v>
      </c>
      <c r="E248" s="19" t="s">
        <v>191</v>
      </c>
      <c r="F248" s="19">
        <v>11</v>
      </c>
      <c r="G248" s="20">
        <v>32.119999999999997</v>
      </c>
      <c r="H248" s="20">
        <f t="shared" si="3"/>
        <v>353.32</v>
      </c>
      <c r="I248" s="12" t="s">
        <v>313</v>
      </c>
      <c r="J248" s="22" t="s">
        <v>16</v>
      </c>
      <c r="K248" s="22" t="s">
        <v>17</v>
      </c>
    </row>
    <row r="249" spans="1:11" s="9" customFormat="1" ht="25.5" x14ac:dyDescent="0.25">
      <c r="A249" s="18">
        <v>248</v>
      </c>
      <c r="B249" s="12" t="s">
        <v>447</v>
      </c>
      <c r="C249" s="12" t="s">
        <v>180</v>
      </c>
      <c r="D249" s="12" t="s">
        <v>448</v>
      </c>
      <c r="E249" s="19" t="s">
        <v>182</v>
      </c>
      <c r="F249" s="19">
        <v>276</v>
      </c>
      <c r="G249" s="20">
        <v>119</v>
      </c>
      <c r="H249" s="20">
        <f t="shared" si="3"/>
        <v>32844</v>
      </c>
      <c r="I249" s="12" t="s">
        <v>313</v>
      </c>
      <c r="J249" s="22" t="s">
        <v>16</v>
      </c>
      <c r="K249" s="22" t="s">
        <v>17</v>
      </c>
    </row>
    <row r="250" spans="1:11" s="9" customFormat="1" ht="25.5" x14ac:dyDescent="0.25">
      <c r="A250" s="18">
        <v>249</v>
      </c>
      <c r="B250" s="12" t="s">
        <v>449</v>
      </c>
      <c r="C250" s="12" t="s">
        <v>180</v>
      </c>
      <c r="D250" s="12" t="s">
        <v>450</v>
      </c>
      <c r="E250" s="19" t="s">
        <v>182</v>
      </c>
      <c r="F250" s="19">
        <v>230</v>
      </c>
      <c r="G250" s="20">
        <v>118.83</v>
      </c>
      <c r="H250" s="20">
        <f t="shared" si="3"/>
        <v>27330.899999999998</v>
      </c>
      <c r="I250" s="12" t="s">
        <v>313</v>
      </c>
      <c r="J250" s="22" t="s">
        <v>16</v>
      </c>
      <c r="K250" s="22" t="s">
        <v>17</v>
      </c>
    </row>
    <row r="251" spans="1:11" s="9" customFormat="1" ht="25.5" x14ac:dyDescent="0.25">
      <c r="A251" s="18">
        <v>250</v>
      </c>
      <c r="B251" s="12" t="s">
        <v>451</v>
      </c>
      <c r="C251" s="12" t="s">
        <v>341</v>
      </c>
      <c r="D251" s="12" t="s">
        <v>452</v>
      </c>
      <c r="E251" s="19" t="s">
        <v>236</v>
      </c>
      <c r="F251" s="19">
        <v>42</v>
      </c>
      <c r="G251" s="20">
        <v>3.32</v>
      </c>
      <c r="H251" s="20">
        <f t="shared" si="3"/>
        <v>139.44</v>
      </c>
      <c r="I251" s="12" t="s">
        <v>313</v>
      </c>
      <c r="J251" s="22" t="s">
        <v>16</v>
      </c>
      <c r="K251" s="22" t="s">
        <v>17</v>
      </c>
    </row>
    <row r="252" spans="1:11" s="9" customFormat="1" ht="25.5" x14ac:dyDescent="0.25">
      <c r="A252" s="18">
        <v>251</v>
      </c>
      <c r="B252" s="12" t="s">
        <v>453</v>
      </c>
      <c r="C252" s="12" t="s">
        <v>341</v>
      </c>
      <c r="D252" s="13" t="s">
        <v>454</v>
      </c>
      <c r="E252" s="19" t="s">
        <v>236</v>
      </c>
      <c r="F252" s="19">
        <v>58</v>
      </c>
      <c r="G252" s="20">
        <v>0.34</v>
      </c>
      <c r="H252" s="20">
        <f t="shared" si="3"/>
        <v>19.720000000000002</v>
      </c>
      <c r="I252" s="12" t="s">
        <v>313</v>
      </c>
      <c r="J252" s="22" t="s">
        <v>16</v>
      </c>
      <c r="K252" s="22" t="s">
        <v>17</v>
      </c>
    </row>
    <row r="253" spans="1:11" s="9" customFormat="1" ht="25.5" x14ac:dyDescent="0.25">
      <c r="A253" s="18">
        <v>252</v>
      </c>
      <c r="B253" s="12" t="s">
        <v>455</v>
      </c>
      <c r="C253" s="12" t="s">
        <v>193</v>
      </c>
      <c r="D253" s="13" t="s">
        <v>456</v>
      </c>
      <c r="E253" s="19" t="s">
        <v>24</v>
      </c>
      <c r="F253" s="19">
        <v>97</v>
      </c>
      <c r="G253" s="20">
        <v>4.8</v>
      </c>
      <c r="H253" s="20">
        <f t="shared" si="3"/>
        <v>465.59999999999997</v>
      </c>
      <c r="I253" s="12" t="s">
        <v>313</v>
      </c>
      <c r="J253" s="22" t="s">
        <v>16</v>
      </c>
      <c r="K253" s="22" t="s">
        <v>17</v>
      </c>
    </row>
    <row r="254" spans="1:11" s="9" customFormat="1" x14ac:dyDescent="0.25">
      <c r="A254" s="18">
        <v>253</v>
      </c>
      <c r="B254" s="12" t="s">
        <v>457</v>
      </c>
      <c r="C254" s="12" t="s">
        <v>39</v>
      </c>
      <c r="D254" s="12" t="s">
        <v>458</v>
      </c>
      <c r="E254" s="19" t="s">
        <v>14</v>
      </c>
      <c r="F254" s="19">
        <v>67</v>
      </c>
      <c r="G254" s="20">
        <v>29.91</v>
      </c>
      <c r="H254" s="20">
        <f t="shared" si="3"/>
        <v>2003.97</v>
      </c>
      <c r="I254" s="12" t="s">
        <v>313</v>
      </c>
      <c r="J254" s="22" t="s">
        <v>16</v>
      </c>
      <c r="K254" s="22" t="s">
        <v>17</v>
      </c>
    </row>
    <row r="255" spans="1:11" s="9" customFormat="1" ht="25.5" x14ac:dyDescent="0.25">
      <c r="A255" s="18">
        <v>254</v>
      </c>
      <c r="B255" s="12" t="s">
        <v>1587</v>
      </c>
      <c r="C255" s="12" t="s">
        <v>22</v>
      </c>
      <c r="D255" s="13" t="s">
        <v>1588</v>
      </c>
      <c r="E255" s="19" t="s">
        <v>24</v>
      </c>
      <c r="F255" s="19">
        <v>1</v>
      </c>
      <c r="G255" s="20">
        <v>41.839999999999996</v>
      </c>
      <c r="H255" s="20">
        <f t="shared" si="3"/>
        <v>41.839999999999996</v>
      </c>
      <c r="I255" s="12" t="s">
        <v>1602</v>
      </c>
      <c r="J255" s="19" t="s">
        <v>16</v>
      </c>
      <c r="K255" s="19" t="s">
        <v>17</v>
      </c>
    </row>
    <row r="256" spans="1:11" s="9" customFormat="1" ht="25.5" x14ac:dyDescent="0.25">
      <c r="A256" s="18">
        <v>255</v>
      </c>
      <c r="B256" s="12" t="s">
        <v>1123</v>
      </c>
      <c r="C256" s="12" t="s">
        <v>39</v>
      </c>
      <c r="D256" s="13" t="s">
        <v>1124</v>
      </c>
      <c r="E256" s="19" t="s">
        <v>14</v>
      </c>
      <c r="F256" s="19">
        <v>4</v>
      </c>
      <c r="G256" s="20">
        <v>42.83</v>
      </c>
      <c r="H256" s="20">
        <f t="shared" si="3"/>
        <v>171.32</v>
      </c>
      <c r="I256" s="12" t="s">
        <v>1602</v>
      </c>
      <c r="J256" s="19" t="s">
        <v>16</v>
      </c>
      <c r="K256" s="19" t="s">
        <v>17</v>
      </c>
    </row>
    <row r="257" spans="1:11" s="9" customFormat="1" ht="25.5" x14ac:dyDescent="0.25">
      <c r="A257" s="18">
        <v>256</v>
      </c>
      <c r="B257" s="12" t="s">
        <v>1382</v>
      </c>
      <c r="C257" s="12" t="s">
        <v>19</v>
      </c>
      <c r="D257" s="13" t="s">
        <v>1589</v>
      </c>
      <c r="E257" s="19" t="s">
        <v>191</v>
      </c>
      <c r="F257" s="19">
        <v>2</v>
      </c>
      <c r="G257" s="20">
        <v>57.379999999999995</v>
      </c>
      <c r="H257" s="20">
        <f t="shared" si="3"/>
        <v>114.75999999999999</v>
      </c>
      <c r="I257" s="12" t="s">
        <v>1602</v>
      </c>
      <c r="J257" s="19" t="s">
        <v>16</v>
      </c>
      <c r="K257" s="19" t="s">
        <v>17</v>
      </c>
    </row>
    <row r="258" spans="1:11" s="9" customFormat="1" ht="25.5" x14ac:dyDescent="0.25">
      <c r="A258" s="18">
        <v>257</v>
      </c>
      <c r="B258" s="12" t="s">
        <v>1590</v>
      </c>
      <c r="C258" s="12" t="s">
        <v>1591</v>
      </c>
      <c r="D258" s="13" t="s">
        <v>1592</v>
      </c>
      <c r="E258" s="19" t="s">
        <v>14</v>
      </c>
      <c r="F258" s="19">
        <v>28</v>
      </c>
      <c r="G258" s="20">
        <v>3.67</v>
      </c>
      <c r="H258" s="20">
        <f t="shared" ref="H258:H321" si="4">F258*G258</f>
        <v>102.75999999999999</v>
      </c>
      <c r="I258" s="12" t="s">
        <v>1602</v>
      </c>
      <c r="J258" s="19" t="s">
        <v>16</v>
      </c>
      <c r="K258" s="19" t="s">
        <v>17</v>
      </c>
    </row>
    <row r="259" spans="1:11" s="9" customFormat="1" ht="25.5" x14ac:dyDescent="0.25">
      <c r="A259" s="18">
        <v>258</v>
      </c>
      <c r="B259" s="12" t="s">
        <v>1595</v>
      </c>
      <c r="C259" s="12" t="s">
        <v>39</v>
      </c>
      <c r="D259" s="13" t="s">
        <v>1596</v>
      </c>
      <c r="E259" s="19" t="s">
        <v>14</v>
      </c>
      <c r="F259" s="19">
        <v>1</v>
      </c>
      <c r="G259" s="20">
        <v>2388.4700000000003</v>
      </c>
      <c r="H259" s="20">
        <f t="shared" si="4"/>
        <v>2388.4700000000003</v>
      </c>
      <c r="I259" s="12" t="s">
        <v>1602</v>
      </c>
      <c r="J259" s="19" t="s">
        <v>16</v>
      </c>
      <c r="K259" s="19" t="s">
        <v>17</v>
      </c>
    </row>
    <row r="260" spans="1:11" s="9" customFormat="1" ht="25.5" x14ac:dyDescent="0.25">
      <c r="A260" s="18">
        <v>259</v>
      </c>
      <c r="B260" s="12" t="s">
        <v>1593</v>
      </c>
      <c r="C260" s="12" t="s">
        <v>39</v>
      </c>
      <c r="D260" s="13" t="s">
        <v>1594</v>
      </c>
      <c r="E260" s="19" t="s">
        <v>14</v>
      </c>
      <c r="F260" s="19">
        <v>1</v>
      </c>
      <c r="G260" s="20">
        <v>1283.94</v>
      </c>
      <c r="H260" s="20">
        <f t="shared" si="4"/>
        <v>1283.94</v>
      </c>
      <c r="I260" s="12" t="s">
        <v>1602</v>
      </c>
      <c r="J260" s="19" t="s">
        <v>16</v>
      </c>
      <c r="K260" s="19" t="s">
        <v>17</v>
      </c>
    </row>
    <row r="261" spans="1:11" s="9" customFormat="1" x14ac:dyDescent="0.25">
      <c r="A261" s="18">
        <v>260</v>
      </c>
      <c r="B261" s="12" t="s">
        <v>459</v>
      </c>
      <c r="C261" s="12" t="s">
        <v>205</v>
      </c>
      <c r="D261" s="12">
        <v>201</v>
      </c>
      <c r="E261" s="19" t="s">
        <v>14</v>
      </c>
      <c r="F261" s="19">
        <v>200</v>
      </c>
      <c r="G261" s="20">
        <v>0.11</v>
      </c>
      <c r="H261" s="20">
        <f t="shared" si="4"/>
        <v>22</v>
      </c>
      <c r="I261" s="12" t="s">
        <v>460</v>
      </c>
      <c r="J261" s="22" t="s">
        <v>16</v>
      </c>
      <c r="K261" s="22" t="s">
        <v>17</v>
      </c>
    </row>
    <row r="262" spans="1:11" s="9" customFormat="1" x14ac:dyDescent="0.25">
      <c r="A262" s="18">
        <v>261</v>
      </c>
      <c r="B262" s="12" t="s">
        <v>461</v>
      </c>
      <c r="C262" s="12" t="s">
        <v>462</v>
      </c>
      <c r="D262" s="12">
        <v>936</v>
      </c>
      <c r="E262" s="19" t="s">
        <v>14</v>
      </c>
      <c r="F262" s="19">
        <v>200</v>
      </c>
      <c r="G262" s="20">
        <v>0.57999999999999996</v>
      </c>
      <c r="H262" s="20">
        <f t="shared" si="4"/>
        <v>115.99999999999999</v>
      </c>
      <c r="I262" s="12" t="s">
        <v>460</v>
      </c>
      <c r="J262" s="22" t="s">
        <v>16</v>
      </c>
      <c r="K262" s="22" t="s">
        <v>17</v>
      </c>
    </row>
    <row r="263" spans="1:11" s="9" customFormat="1" ht="38.25" x14ac:dyDescent="0.25">
      <c r="A263" s="18">
        <v>262</v>
      </c>
      <c r="B263" s="12" t="s">
        <v>463</v>
      </c>
      <c r="C263" s="12" t="s">
        <v>464</v>
      </c>
      <c r="D263" s="12">
        <v>32172</v>
      </c>
      <c r="E263" s="19" t="s">
        <v>191</v>
      </c>
      <c r="F263" s="19">
        <v>1</v>
      </c>
      <c r="G263" s="20">
        <v>200</v>
      </c>
      <c r="H263" s="20">
        <f t="shared" si="4"/>
        <v>200</v>
      </c>
      <c r="I263" s="12" t="s">
        <v>460</v>
      </c>
      <c r="J263" s="22" t="s">
        <v>16</v>
      </c>
      <c r="K263" s="22" t="s">
        <v>17</v>
      </c>
    </row>
    <row r="264" spans="1:11" s="9" customFormat="1" ht="25.5" x14ac:dyDescent="0.25">
      <c r="A264" s="18">
        <v>263</v>
      </c>
      <c r="B264" s="12" t="s">
        <v>465</v>
      </c>
      <c r="C264" s="12" t="s">
        <v>205</v>
      </c>
      <c r="D264" s="13">
        <v>279209</v>
      </c>
      <c r="E264" s="19" t="s">
        <v>14</v>
      </c>
      <c r="F264" s="19">
        <v>33</v>
      </c>
      <c r="G264" s="20">
        <v>139.71</v>
      </c>
      <c r="H264" s="20">
        <f t="shared" si="4"/>
        <v>4610.43</v>
      </c>
      <c r="I264" s="12" t="s">
        <v>460</v>
      </c>
      <c r="J264" s="22" t="s">
        <v>16</v>
      </c>
      <c r="K264" s="22" t="s">
        <v>17</v>
      </c>
    </row>
    <row r="265" spans="1:11" s="9" customFormat="1" ht="38.25" x14ac:dyDescent="0.25">
      <c r="A265" s="18">
        <v>264</v>
      </c>
      <c r="B265" s="12" t="s">
        <v>466</v>
      </c>
      <c r="C265" s="12" t="s">
        <v>464</v>
      </c>
      <c r="D265" s="12">
        <v>1132163</v>
      </c>
      <c r="E265" s="19" t="s">
        <v>191</v>
      </c>
      <c r="F265" s="19">
        <v>3</v>
      </c>
      <c r="G265" s="20">
        <v>31</v>
      </c>
      <c r="H265" s="20">
        <f t="shared" si="4"/>
        <v>93</v>
      </c>
      <c r="I265" s="12" t="s">
        <v>460</v>
      </c>
      <c r="J265" s="22" t="s">
        <v>16</v>
      </c>
      <c r="K265" s="22" t="s">
        <v>17</v>
      </c>
    </row>
    <row r="266" spans="1:11" s="9" customFormat="1" x14ac:dyDescent="0.25">
      <c r="A266" s="18">
        <v>265</v>
      </c>
      <c r="B266" s="12" t="s">
        <v>883</v>
      </c>
      <c r="C266" s="12" t="s">
        <v>884</v>
      </c>
      <c r="D266" s="13" t="s">
        <v>885</v>
      </c>
      <c r="E266" s="19" t="s">
        <v>14</v>
      </c>
      <c r="F266" s="19">
        <v>4</v>
      </c>
      <c r="G266" s="20">
        <v>0.59</v>
      </c>
      <c r="H266" s="20">
        <f t="shared" si="4"/>
        <v>2.36</v>
      </c>
      <c r="I266" s="12" t="s">
        <v>460</v>
      </c>
      <c r="J266" s="22" t="s">
        <v>16</v>
      </c>
      <c r="K266" s="22" t="s">
        <v>17</v>
      </c>
    </row>
    <row r="267" spans="1:11" s="9" customFormat="1" x14ac:dyDescent="0.25">
      <c r="A267" s="18">
        <v>266</v>
      </c>
      <c r="B267" s="12" t="s">
        <v>467</v>
      </c>
      <c r="C267" s="12" t="s">
        <v>468</v>
      </c>
      <c r="D267" s="12" t="s">
        <v>469</v>
      </c>
      <c r="E267" s="19" t="s">
        <v>14</v>
      </c>
      <c r="F267" s="19">
        <v>100</v>
      </c>
      <c r="G267" s="20">
        <v>11.9</v>
      </c>
      <c r="H267" s="20">
        <f t="shared" si="4"/>
        <v>1190</v>
      </c>
      <c r="I267" s="12" t="s">
        <v>460</v>
      </c>
      <c r="J267" s="22" t="s">
        <v>16</v>
      </c>
      <c r="K267" s="22" t="s">
        <v>17</v>
      </c>
    </row>
    <row r="268" spans="1:11" s="9" customFormat="1" ht="25.5" x14ac:dyDescent="0.25">
      <c r="A268" s="18">
        <v>267</v>
      </c>
      <c r="B268" s="12" t="s">
        <v>470</v>
      </c>
      <c r="C268" s="12" t="s">
        <v>471</v>
      </c>
      <c r="D268" s="13" t="s">
        <v>472</v>
      </c>
      <c r="E268" s="19" t="s">
        <v>14</v>
      </c>
      <c r="F268" s="19">
        <v>250</v>
      </c>
      <c r="G268" s="20">
        <v>289.7</v>
      </c>
      <c r="H268" s="20">
        <f t="shared" si="4"/>
        <v>72425</v>
      </c>
      <c r="I268" s="12" t="s">
        <v>460</v>
      </c>
      <c r="J268" s="22" t="s">
        <v>16</v>
      </c>
      <c r="K268" s="22" t="s">
        <v>17</v>
      </c>
    </row>
    <row r="269" spans="1:11" s="9" customFormat="1" ht="25.5" x14ac:dyDescent="0.25">
      <c r="A269" s="18">
        <v>268</v>
      </c>
      <c r="B269" s="12" t="s">
        <v>473</v>
      </c>
      <c r="C269" s="12" t="s">
        <v>471</v>
      </c>
      <c r="D269" s="13" t="s">
        <v>474</v>
      </c>
      <c r="E269" s="19" t="s">
        <v>14</v>
      </c>
      <c r="F269" s="19">
        <v>245</v>
      </c>
      <c r="G269" s="20">
        <v>139.91</v>
      </c>
      <c r="H269" s="20">
        <f t="shared" si="4"/>
        <v>34277.949999999997</v>
      </c>
      <c r="I269" s="12" t="s">
        <v>460</v>
      </c>
      <c r="J269" s="22" t="s">
        <v>16</v>
      </c>
      <c r="K269" s="22" t="s">
        <v>17</v>
      </c>
    </row>
    <row r="270" spans="1:11" s="9" customFormat="1" ht="25.5" x14ac:dyDescent="0.25">
      <c r="A270" s="18">
        <v>269</v>
      </c>
      <c r="B270" s="12" t="s">
        <v>475</v>
      </c>
      <c r="C270" s="12" t="s">
        <v>471</v>
      </c>
      <c r="D270" s="13" t="s">
        <v>476</v>
      </c>
      <c r="E270" s="19" t="s">
        <v>14</v>
      </c>
      <c r="F270" s="19">
        <v>190</v>
      </c>
      <c r="G270" s="20">
        <v>181.96</v>
      </c>
      <c r="H270" s="20">
        <f t="shared" si="4"/>
        <v>34572.400000000001</v>
      </c>
      <c r="I270" s="12" t="s">
        <v>460</v>
      </c>
      <c r="J270" s="22" t="s">
        <v>16</v>
      </c>
      <c r="K270" s="22" t="s">
        <v>17</v>
      </c>
    </row>
    <row r="271" spans="1:11" s="9" customFormat="1" ht="25.5" x14ac:dyDescent="0.25">
      <c r="A271" s="18">
        <v>270</v>
      </c>
      <c r="B271" s="12" t="s">
        <v>477</v>
      </c>
      <c r="C271" s="12" t="s">
        <v>471</v>
      </c>
      <c r="D271" s="13" t="s">
        <v>478</v>
      </c>
      <c r="E271" s="19" t="s">
        <v>14</v>
      </c>
      <c r="F271" s="19">
        <v>189</v>
      </c>
      <c r="G271" s="20">
        <v>338.77</v>
      </c>
      <c r="H271" s="20">
        <f t="shared" si="4"/>
        <v>64027.53</v>
      </c>
      <c r="I271" s="12" t="s">
        <v>460</v>
      </c>
      <c r="J271" s="22" t="s">
        <v>16</v>
      </c>
      <c r="K271" s="22" t="s">
        <v>17</v>
      </c>
    </row>
    <row r="272" spans="1:11" s="9" customFormat="1" ht="25.5" x14ac:dyDescent="0.25">
      <c r="A272" s="18">
        <v>271</v>
      </c>
      <c r="B272" s="12" t="s">
        <v>479</v>
      </c>
      <c r="C272" s="12" t="s">
        <v>471</v>
      </c>
      <c r="D272" s="13" t="s">
        <v>480</v>
      </c>
      <c r="E272" s="19" t="s">
        <v>14</v>
      </c>
      <c r="F272" s="19">
        <v>239</v>
      </c>
      <c r="G272" s="20">
        <v>179.61</v>
      </c>
      <c r="H272" s="20">
        <f t="shared" si="4"/>
        <v>42926.79</v>
      </c>
      <c r="I272" s="12" t="s">
        <v>460</v>
      </c>
      <c r="J272" s="22" t="s">
        <v>16</v>
      </c>
      <c r="K272" s="22" t="s">
        <v>17</v>
      </c>
    </row>
    <row r="273" spans="1:11" s="9" customFormat="1" ht="25.5" x14ac:dyDescent="0.25">
      <c r="A273" s="18">
        <v>272</v>
      </c>
      <c r="B273" s="12" t="s">
        <v>481</v>
      </c>
      <c r="C273" s="12" t="s">
        <v>471</v>
      </c>
      <c r="D273" s="13" t="s">
        <v>482</v>
      </c>
      <c r="E273" s="19" t="s">
        <v>14</v>
      </c>
      <c r="F273" s="19">
        <v>234</v>
      </c>
      <c r="G273" s="20">
        <v>313.54000000000002</v>
      </c>
      <c r="H273" s="20">
        <f t="shared" si="4"/>
        <v>73368.36</v>
      </c>
      <c r="I273" s="12" t="s">
        <v>460</v>
      </c>
      <c r="J273" s="22" t="s">
        <v>16</v>
      </c>
      <c r="K273" s="22" t="s">
        <v>17</v>
      </c>
    </row>
    <row r="274" spans="1:11" s="9" customFormat="1" ht="25.5" x14ac:dyDescent="0.25">
      <c r="A274" s="18">
        <v>273</v>
      </c>
      <c r="B274" s="12" t="s">
        <v>483</v>
      </c>
      <c r="C274" s="12" t="s">
        <v>471</v>
      </c>
      <c r="D274" s="13" t="s">
        <v>484</v>
      </c>
      <c r="E274" s="19" t="s">
        <v>14</v>
      </c>
      <c r="F274" s="19">
        <v>171</v>
      </c>
      <c r="G274" s="20">
        <v>690.62</v>
      </c>
      <c r="H274" s="20">
        <f t="shared" si="4"/>
        <v>118096.02</v>
      </c>
      <c r="I274" s="12" t="s">
        <v>460</v>
      </c>
      <c r="J274" s="22" t="s">
        <v>16</v>
      </c>
      <c r="K274" s="22" t="s">
        <v>17</v>
      </c>
    </row>
    <row r="275" spans="1:11" s="9" customFormat="1" ht="25.5" x14ac:dyDescent="0.25">
      <c r="A275" s="18">
        <v>274</v>
      </c>
      <c r="B275" s="12" t="s">
        <v>485</v>
      </c>
      <c r="C275" s="12" t="s">
        <v>205</v>
      </c>
      <c r="D275" s="12" t="s">
        <v>486</v>
      </c>
      <c r="E275" s="19" t="s">
        <v>14</v>
      </c>
      <c r="F275" s="19">
        <v>725</v>
      </c>
      <c r="G275" s="20">
        <v>1.3</v>
      </c>
      <c r="H275" s="20">
        <f t="shared" si="4"/>
        <v>942.5</v>
      </c>
      <c r="I275" s="12" t="s">
        <v>460</v>
      </c>
      <c r="J275" s="22" t="s">
        <v>16</v>
      </c>
      <c r="K275" s="22" t="s">
        <v>17</v>
      </c>
    </row>
    <row r="276" spans="1:11" s="9" customFormat="1" ht="25.5" x14ac:dyDescent="0.25">
      <c r="A276" s="18">
        <v>275</v>
      </c>
      <c r="B276" s="12" t="s">
        <v>487</v>
      </c>
      <c r="C276" s="12" t="s">
        <v>205</v>
      </c>
      <c r="D276" s="12" t="s">
        <v>488</v>
      </c>
      <c r="E276" s="19" t="s">
        <v>14</v>
      </c>
      <c r="F276" s="19">
        <v>1000</v>
      </c>
      <c r="G276" s="20">
        <v>0.31</v>
      </c>
      <c r="H276" s="20">
        <f t="shared" si="4"/>
        <v>310</v>
      </c>
      <c r="I276" s="12" t="s">
        <v>460</v>
      </c>
      <c r="J276" s="22" t="s">
        <v>16</v>
      </c>
      <c r="K276" s="22" t="s">
        <v>17</v>
      </c>
    </row>
    <row r="277" spans="1:11" s="9" customFormat="1" ht="25.5" x14ac:dyDescent="0.25">
      <c r="A277" s="18">
        <v>276</v>
      </c>
      <c r="B277" s="12" t="s">
        <v>489</v>
      </c>
      <c r="C277" s="12" t="s">
        <v>205</v>
      </c>
      <c r="D277" s="12" t="s">
        <v>490</v>
      </c>
      <c r="E277" s="19" t="s">
        <v>14</v>
      </c>
      <c r="F277" s="19">
        <v>1300</v>
      </c>
      <c r="G277" s="20">
        <v>1.65</v>
      </c>
      <c r="H277" s="20">
        <f t="shared" si="4"/>
        <v>2145</v>
      </c>
      <c r="I277" s="12" t="s">
        <v>460</v>
      </c>
      <c r="J277" s="22" t="s">
        <v>16</v>
      </c>
      <c r="K277" s="22" t="s">
        <v>17</v>
      </c>
    </row>
    <row r="278" spans="1:11" s="9" customFormat="1" ht="25.5" x14ac:dyDescent="0.25">
      <c r="A278" s="18">
        <v>277</v>
      </c>
      <c r="B278" s="12" t="s">
        <v>491</v>
      </c>
      <c r="C278" s="12" t="s">
        <v>205</v>
      </c>
      <c r="D278" s="12" t="s">
        <v>492</v>
      </c>
      <c r="E278" s="19" t="s">
        <v>14</v>
      </c>
      <c r="F278" s="19">
        <v>690</v>
      </c>
      <c r="G278" s="20">
        <v>1.4</v>
      </c>
      <c r="H278" s="20">
        <f t="shared" si="4"/>
        <v>965.99999999999989</v>
      </c>
      <c r="I278" s="12" t="s">
        <v>460</v>
      </c>
      <c r="J278" s="22" t="s">
        <v>16</v>
      </c>
      <c r="K278" s="22" t="s">
        <v>17</v>
      </c>
    </row>
    <row r="279" spans="1:11" s="9" customFormat="1" ht="25.5" x14ac:dyDescent="0.25">
      <c r="A279" s="18">
        <v>278</v>
      </c>
      <c r="B279" s="12" t="s">
        <v>493</v>
      </c>
      <c r="C279" s="12" t="s">
        <v>205</v>
      </c>
      <c r="D279" s="12" t="s">
        <v>494</v>
      </c>
      <c r="E279" s="19" t="s">
        <v>14</v>
      </c>
      <c r="F279" s="19">
        <v>1275</v>
      </c>
      <c r="G279" s="20">
        <v>2.1</v>
      </c>
      <c r="H279" s="20">
        <f t="shared" si="4"/>
        <v>2677.5</v>
      </c>
      <c r="I279" s="12" t="s">
        <v>460</v>
      </c>
      <c r="J279" s="22" t="s">
        <v>16</v>
      </c>
      <c r="K279" s="22" t="s">
        <v>17</v>
      </c>
    </row>
    <row r="280" spans="1:11" s="9" customFormat="1" ht="25.5" x14ac:dyDescent="0.25">
      <c r="A280" s="18">
        <v>279</v>
      </c>
      <c r="B280" s="12" t="s">
        <v>495</v>
      </c>
      <c r="C280" s="12" t="s">
        <v>186</v>
      </c>
      <c r="D280" s="13" t="s">
        <v>496</v>
      </c>
      <c r="E280" s="19" t="s">
        <v>14</v>
      </c>
      <c r="F280" s="19">
        <v>3</v>
      </c>
      <c r="G280" s="20">
        <v>99.88</v>
      </c>
      <c r="H280" s="20">
        <f t="shared" si="4"/>
        <v>299.64</v>
      </c>
      <c r="I280" s="12" t="s">
        <v>460</v>
      </c>
      <c r="J280" s="22" t="s">
        <v>16</v>
      </c>
      <c r="K280" s="22" t="s">
        <v>17</v>
      </c>
    </row>
    <row r="281" spans="1:11" s="9" customFormat="1" ht="25.5" x14ac:dyDescent="0.25">
      <c r="A281" s="18">
        <v>280</v>
      </c>
      <c r="B281" s="12" t="s">
        <v>497</v>
      </c>
      <c r="C281" s="12" t="s">
        <v>39</v>
      </c>
      <c r="D281" s="13" t="s">
        <v>498</v>
      </c>
      <c r="E281" s="19" t="s">
        <v>14</v>
      </c>
      <c r="F281" s="19">
        <v>1</v>
      </c>
      <c r="G281" s="20">
        <v>85.34</v>
      </c>
      <c r="H281" s="20">
        <f t="shared" si="4"/>
        <v>85.34</v>
      </c>
      <c r="I281" s="12" t="s">
        <v>460</v>
      </c>
      <c r="J281" s="22" t="s">
        <v>16</v>
      </c>
      <c r="K281" s="22" t="s">
        <v>17</v>
      </c>
    </row>
    <row r="282" spans="1:11" s="9" customFormat="1" x14ac:dyDescent="0.25">
      <c r="A282" s="18">
        <v>281</v>
      </c>
      <c r="B282" s="12" t="s">
        <v>499</v>
      </c>
      <c r="C282" s="12" t="s">
        <v>39</v>
      </c>
      <c r="D282" s="13" t="s">
        <v>500</v>
      </c>
      <c r="E282" s="19" t="s">
        <v>14</v>
      </c>
      <c r="F282" s="19">
        <v>5</v>
      </c>
      <c r="G282" s="20">
        <v>20.76</v>
      </c>
      <c r="H282" s="20">
        <f t="shared" si="4"/>
        <v>103.80000000000001</v>
      </c>
      <c r="I282" s="12" t="s">
        <v>460</v>
      </c>
      <c r="J282" s="22" t="s">
        <v>16</v>
      </c>
      <c r="K282" s="22" t="s">
        <v>17</v>
      </c>
    </row>
    <row r="283" spans="1:11" s="9" customFormat="1" x14ac:dyDescent="0.25">
      <c r="A283" s="18">
        <v>282</v>
      </c>
      <c r="B283" s="12" t="s">
        <v>501</v>
      </c>
      <c r="C283" s="12" t="s">
        <v>39</v>
      </c>
      <c r="D283" s="13" t="s">
        <v>502</v>
      </c>
      <c r="E283" s="19" t="s">
        <v>14</v>
      </c>
      <c r="F283" s="19">
        <v>58</v>
      </c>
      <c r="G283" s="20">
        <v>15.27</v>
      </c>
      <c r="H283" s="20">
        <f t="shared" si="4"/>
        <v>885.66</v>
      </c>
      <c r="I283" s="12" t="s">
        <v>460</v>
      </c>
      <c r="J283" s="22" t="s">
        <v>16</v>
      </c>
      <c r="K283" s="22" t="s">
        <v>17</v>
      </c>
    </row>
    <row r="284" spans="1:11" x14ac:dyDescent="0.25">
      <c r="A284" s="18">
        <v>283</v>
      </c>
      <c r="B284" s="12" t="s">
        <v>503</v>
      </c>
      <c r="C284" s="12" t="s">
        <v>39</v>
      </c>
      <c r="D284" s="13" t="s">
        <v>504</v>
      </c>
      <c r="E284" s="19" t="s">
        <v>14</v>
      </c>
      <c r="F284" s="19">
        <v>9</v>
      </c>
      <c r="G284" s="20">
        <v>19.2</v>
      </c>
      <c r="H284" s="20">
        <f t="shared" si="4"/>
        <v>172.79999999999998</v>
      </c>
      <c r="I284" s="12" t="s">
        <v>460</v>
      </c>
      <c r="J284" s="22" t="s">
        <v>16</v>
      </c>
      <c r="K284" s="22" t="s">
        <v>17</v>
      </c>
    </row>
    <row r="285" spans="1:11" x14ac:dyDescent="0.25">
      <c r="A285" s="18">
        <v>284</v>
      </c>
      <c r="B285" s="12" t="s">
        <v>505</v>
      </c>
      <c r="C285" s="12" t="s">
        <v>39</v>
      </c>
      <c r="D285" s="13" t="s">
        <v>506</v>
      </c>
      <c r="E285" s="19" t="s">
        <v>14</v>
      </c>
      <c r="F285" s="19">
        <v>138</v>
      </c>
      <c r="G285" s="20">
        <v>20.21</v>
      </c>
      <c r="H285" s="20">
        <f t="shared" si="4"/>
        <v>2788.98</v>
      </c>
      <c r="I285" s="12" t="s">
        <v>460</v>
      </c>
      <c r="J285" s="22" t="s">
        <v>16</v>
      </c>
      <c r="K285" s="22" t="s">
        <v>17</v>
      </c>
    </row>
    <row r="286" spans="1:11" s="7" customFormat="1" x14ac:dyDescent="0.25">
      <c r="A286" s="18">
        <v>285</v>
      </c>
      <c r="B286" s="12" t="s">
        <v>507</v>
      </c>
      <c r="C286" s="12" t="s">
        <v>39</v>
      </c>
      <c r="D286" s="13" t="s">
        <v>508</v>
      </c>
      <c r="E286" s="19" t="s">
        <v>14</v>
      </c>
      <c r="F286" s="19">
        <v>114</v>
      </c>
      <c r="G286" s="20">
        <v>23.09</v>
      </c>
      <c r="H286" s="20">
        <f t="shared" si="4"/>
        <v>2632.2599999999998</v>
      </c>
      <c r="I286" s="12" t="s">
        <v>460</v>
      </c>
      <c r="J286" s="22" t="s">
        <v>16</v>
      </c>
      <c r="K286" s="22" t="s">
        <v>17</v>
      </c>
    </row>
    <row r="287" spans="1:11" s="7" customFormat="1" x14ac:dyDescent="0.25">
      <c r="A287" s="18">
        <v>286</v>
      </c>
      <c r="B287" s="12" t="s">
        <v>509</v>
      </c>
      <c r="C287" s="12" t="s">
        <v>39</v>
      </c>
      <c r="D287" s="13" t="s">
        <v>510</v>
      </c>
      <c r="E287" s="19" t="s">
        <v>14</v>
      </c>
      <c r="F287" s="19">
        <v>178</v>
      </c>
      <c r="G287" s="20">
        <v>38.36</v>
      </c>
      <c r="H287" s="20">
        <f t="shared" si="4"/>
        <v>6828.08</v>
      </c>
      <c r="I287" s="12" t="s">
        <v>460</v>
      </c>
      <c r="J287" s="22" t="s">
        <v>16</v>
      </c>
      <c r="K287" s="22" t="s">
        <v>17</v>
      </c>
    </row>
    <row r="288" spans="1:11" s="7" customFormat="1" x14ac:dyDescent="0.25">
      <c r="A288" s="18">
        <v>287</v>
      </c>
      <c r="B288" s="12" t="s">
        <v>511</v>
      </c>
      <c r="C288" s="12" t="s">
        <v>39</v>
      </c>
      <c r="D288" s="13" t="s">
        <v>512</v>
      </c>
      <c r="E288" s="19" t="s">
        <v>14</v>
      </c>
      <c r="F288" s="19">
        <v>246</v>
      </c>
      <c r="G288" s="20">
        <v>38.36</v>
      </c>
      <c r="H288" s="20">
        <f t="shared" si="4"/>
        <v>9436.56</v>
      </c>
      <c r="I288" s="12" t="s">
        <v>460</v>
      </c>
      <c r="J288" s="22" t="s">
        <v>16</v>
      </c>
      <c r="K288" s="22" t="s">
        <v>17</v>
      </c>
    </row>
    <row r="289" spans="1:11" s="7" customFormat="1" x14ac:dyDescent="0.25">
      <c r="A289" s="18">
        <v>288</v>
      </c>
      <c r="B289" s="12" t="s">
        <v>513</v>
      </c>
      <c r="C289" s="12" t="s">
        <v>39</v>
      </c>
      <c r="D289" s="13" t="s">
        <v>514</v>
      </c>
      <c r="E289" s="19" t="s">
        <v>14</v>
      </c>
      <c r="F289" s="19">
        <v>107</v>
      </c>
      <c r="G289" s="20">
        <v>43.83</v>
      </c>
      <c r="H289" s="20">
        <f t="shared" si="4"/>
        <v>4689.8099999999995</v>
      </c>
      <c r="I289" s="12" t="s">
        <v>460</v>
      </c>
      <c r="J289" s="22" t="s">
        <v>16</v>
      </c>
      <c r="K289" s="22" t="s">
        <v>17</v>
      </c>
    </row>
    <row r="290" spans="1:11" s="7" customFormat="1" x14ac:dyDescent="0.25">
      <c r="A290" s="18">
        <v>289</v>
      </c>
      <c r="B290" s="12" t="s">
        <v>515</v>
      </c>
      <c r="C290" s="12" t="s">
        <v>39</v>
      </c>
      <c r="D290" s="13" t="s">
        <v>516</v>
      </c>
      <c r="E290" s="19" t="s">
        <v>14</v>
      </c>
      <c r="F290" s="19">
        <v>141</v>
      </c>
      <c r="G290" s="20">
        <v>54.91</v>
      </c>
      <c r="H290" s="20">
        <f t="shared" si="4"/>
        <v>7742.3099999999995</v>
      </c>
      <c r="I290" s="12" t="s">
        <v>460</v>
      </c>
      <c r="J290" s="22" t="s">
        <v>16</v>
      </c>
      <c r="K290" s="22" t="s">
        <v>17</v>
      </c>
    </row>
    <row r="291" spans="1:11" s="7" customFormat="1" x14ac:dyDescent="0.25">
      <c r="A291" s="18">
        <v>290</v>
      </c>
      <c r="B291" s="12" t="s">
        <v>517</v>
      </c>
      <c r="C291" s="12" t="s">
        <v>39</v>
      </c>
      <c r="D291" s="13" t="s">
        <v>518</v>
      </c>
      <c r="E291" s="19" t="s">
        <v>14</v>
      </c>
      <c r="F291" s="19">
        <v>62</v>
      </c>
      <c r="G291" s="20">
        <v>57.64</v>
      </c>
      <c r="H291" s="20">
        <f t="shared" si="4"/>
        <v>3573.68</v>
      </c>
      <c r="I291" s="12" t="s">
        <v>460</v>
      </c>
      <c r="J291" s="22" t="s">
        <v>16</v>
      </c>
      <c r="K291" s="22" t="s">
        <v>17</v>
      </c>
    </row>
    <row r="292" spans="1:11" s="7" customFormat="1" x14ac:dyDescent="0.25">
      <c r="A292" s="18">
        <v>291</v>
      </c>
      <c r="B292" s="12" t="s">
        <v>519</v>
      </c>
      <c r="C292" s="12" t="s">
        <v>39</v>
      </c>
      <c r="D292" s="13" t="s">
        <v>520</v>
      </c>
      <c r="E292" s="19" t="s">
        <v>14</v>
      </c>
      <c r="F292" s="19">
        <v>204</v>
      </c>
      <c r="G292" s="20">
        <v>71.38</v>
      </c>
      <c r="H292" s="20">
        <f t="shared" si="4"/>
        <v>14561.519999999999</v>
      </c>
      <c r="I292" s="12" t="s">
        <v>460</v>
      </c>
      <c r="J292" s="22" t="s">
        <v>16</v>
      </c>
      <c r="K292" s="22" t="s">
        <v>17</v>
      </c>
    </row>
    <row r="293" spans="1:11" s="7" customFormat="1" x14ac:dyDescent="0.25">
      <c r="A293" s="18">
        <v>292</v>
      </c>
      <c r="B293" s="12" t="s">
        <v>521</v>
      </c>
      <c r="C293" s="12" t="s">
        <v>39</v>
      </c>
      <c r="D293" s="13" t="s">
        <v>522</v>
      </c>
      <c r="E293" s="19" t="s">
        <v>14</v>
      </c>
      <c r="F293" s="19">
        <v>78</v>
      </c>
      <c r="G293" s="20">
        <v>71.38</v>
      </c>
      <c r="H293" s="20">
        <f t="shared" si="4"/>
        <v>5567.6399999999994</v>
      </c>
      <c r="I293" s="12" t="s">
        <v>460</v>
      </c>
      <c r="J293" s="22" t="s">
        <v>16</v>
      </c>
      <c r="K293" s="22" t="s">
        <v>17</v>
      </c>
    </row>
    <row r="294" spans="1:11" s="7" customFormat="1" x14ac:dyDescent="0.25">
      <c r="A294" s="18">
        <v>293</v>
      </c>
      <c r="B294" s="12" t="s">
        <v>523</v>
      </c>
      <c r="C294" s="12" t="s">
        <v>39</v>
      </c>
      <c r="D294" s="13" t="s">
        <v>524</v>
      </c>
      <c r="E294" s="19" t="s">
        <v>14</v>
      </c>
      <c r="F294" s="19">
        <v>81</v>
      </c>
      <c r="G294" s="20">
        <v>75.010000000000005</v>
      </c>
      <c r="H294" s="20">
        <f t="shared" si="4"/>
        <v>6075.81</v>
      </c>
      <c r="I294" s="12" t="s">
        <v>460</v>
      </c>
      <c r="J294" s="22" t="s">
        <v>16</v>
      </c>
      <c r="K294" s="22" t="s">
        <v>17</v>
      </c>
    </row>
    <row r="295" spans="1:11" s="7" customFormat="1" x14ac:dyDescent="0.25">
      <c r="A295" s="18">
        <v>294</v>
      </c>
      <c r="B295" s="12" t="s">
        <v>360</v>
      </c>
      <c r="C295" s="12" t="s">
        <v>39</v>
      </c>
      <c r="D295" s="13" t="s">
        <v>525</v>
      </c>
      <c r="E295" s="19" t="s">
        <v>14</v>
      </c>
      <c r="F295" s="19">
        <v>42</v>
      </c>
      <c r="G295" s="20">
        <v>75.010000000000005</v>
      </c>
      <c r="H295" s="20">
        <f t="shared" si="4"/>
        <v>3150.42</v>
      </c>
      <c r="I295" s="12" t="s">
        <v>460</v>
      </c>
      <c r="J295" s="22" t="s">
        <v>16</v>
      </c>
      <c r="K295" s="22" t="s">
        <v>17</v>
      </c>
    </row>
    <row r="296" spans="1:11" s="7" customFormat="1" x14ac:dyDescent="0.25">
      <c r="A296" s="18">
        <v>295</v>
      </c>
      <c r="B296" s="12" t="s">
        <v>526</v>
      </c>
      <c r="C296" s="12" t="s">
        <v>39</v>
      </c>
      <c r="D296" s="13" t="s">
        <v>527</v>
      </c>
      <c r="E296" s="19" t="s">
        <v>14</v>
      </c>
      <c r="F296" s="19">
        <v>77</v>
      </c>
      <c r="G296" s="20">
        <v>85.64</v>
      </c>
      <c r="H296" s="20">
        <f t="shared" si="4"/>
        <v>6594.28</v>
      </c>
      <c r="I296" s="12" t="s">
        <v>460</v>
      </c>
      <c r="J296" s="22" t="s">
        <v>16</v>
      </c>
      <c r="K296" s="22" t="s">
        <v>17</v>
      </c>
    </row>
    <row r="297" spans="1:11" s="7" customFormat="1" x14ac:dyDescent="0.25">
      <c r="A297" s="18">
        <v>296</v>
      </c>
      <c r="B297" s="12" t="s">
        <v>528</v>
      </c>
      <c r="C297" s="12" t="s">
        <v>186</v>
      </c>
      <c r="D297" s="13" t="s">
        <v>529</v>
      </c>
      <c r="E297" s="19" t="s">
        <v>14</v>
      </c>
      <c r="F297" s="19">
        <v>97</v>
      </c>
      <c r="G297" s="20">
        <v>107.4</v>
      </c>
      <c r="H297" s="20">
        <f t="shared" si="4"/>
        <v>10417.800000000001</v>
      </c>
      <c r="I297" s="12" t="s">
        <v>460</v>
      </c>
      <c r="J297" s="22" t="s">
        <v>16</v>
      </c>
      <c r="K297" s="22" t="s">
        <v>17</v>
      </c>
    </row>
    <row r="298" spans="1:11" s="7" customFormat="1" x14ac:dyDescent="0.25">
      <c r="A298" s="18">
        <v>297</v>
      </c>
      <c r="B298" s="12" t="s">
        <v>530</v>
      </c>
      <c r="C298" s="12" t="s">
        <v>39</v>
      </c>
      <c r="D298" s="13" t="s">
        <v>531</v>
      </c>
      <c r="E298" s="19" t="s">
        <v>14</v>
      </c>
      <c r="F298" s="19">
        <v>41</v>
      </c>
      <c r="G298" s="20">
        <v>38.51</v>
      </c>
      <c r="H298" s="20">
        <f t="shared" si="4"/>
        <v>1578.9099999999999</v>
      </c>
      <c r="I298" s="12" t="s">
        <v>460</v>
      </c>
      <c r="J298" s="22" t="s">
        <v>16</v>
      </c>
      <c r="K298" s="22" t="s">
        <v>17</v>
      </c>
    </row>
    <row r="299" spans="1:11" s="7" customFormat="1" x14ac:dyDescent="0.25">
      <c r="A299" s="18">
        <v>298</v>
      </c>
      <c r="B299" s="12" t="s">
        <v>532</v>
      </c>
      <c r="C299" s="12" t="s">
        <v>39</v>
      </c>
      <c r="D299" s="13" t="s">
        <v>533</v>
      </c>
      <c r="E299" s="19" t="s">
        <v>14</v>
      </c>
      <c r="F299" s="19">
        <v>41</v>
      </c>
      <c r="G299" s="20">
        <v>38.51</v>
      </c>
      <c r="H299" s="20">
        <f t="shared" si="4"/>
        <v>1578.9099999999999</v>
      </c>
      <c r="I299" s="12" t="s">
        <v>460</v>
      </c>
      <c r="J299" s="22" t="s">
        <v>16</v>
      </c>
      <c r="K299" s="22" t="s">
        <v>17</v>
      </c>
    </row>
    <row r="300" spans="1:11" s="7" customFormat="1" x14ac:dyDescent="0.25">
      <c r="A300" s="18">
        <v>299</v>
      </c>
      <c r="B300" s="12" t="s">
        <v>534</v>
      </c>
      <c r="C300" s="12" t="s">
        <v>39</v>
      </c>
      <c r="D300" s="13" t="s">
        <v>535</v>
      </c>
      <c r="E300" s="19" t="s">
        <v>14</v>
      </c>
      <c r="F300" s="19">
        <v>54</v>
      </c>
      <c r="G300" s="20">
        <v>41.68</v>
      </c>
      <c r="H300" s="20">
        <f t="shared" si="4"/>
        <v>2250.7199999999998</v>
      </c>
      <c r="I300" s="12" t="s">
        <v>460</v>
      </c>
      <c r="J300" s="22" t="s">
        <v>16</v>
      </c>
      <c r="K300" s="22" t="s">
        <v>17</v>
      </c>
    </row>
    <row r="301" spans="1:11" s="7" customFormat="1" x14ac:dyDescent="0.25">
      <c r="A301" s="18">
        <v>300</v>
      </c>
      <c r="B301" s="12" t="s">
        <v>536</v>
      </c>
      <c r="C301" s="12" t="s">
        <v>39</v>
      </c>
      <c r="D301" s="13" t="s">
        <v>537</v>
      </c>
      <c r="E301" s="19" t="s">
        <v>14</v>
      </c>
      <c r="F301" s="19">
        <v>24</v>
      </c>
      <c r="G301" s="20">
        <v>141.96</v>
      </c>
      <c r="H301" s="20">
        <f t="shared" si="4"/>
        <v>3407.04</v>
      </c>
      <c r="I301" s="12" t="s">
        <v>460</v>
      </c>
      <c r="J301" s="22" t="s">
        <v>16</v>
      </c>
      <c r="K301" s="22" t="s">
        <v>17</v>
      </c>
    </row>
    <row r="302" spans="1:11" s="7" customFormat="1" x14ac:dyDescent="0.25">
      <c r="A302" s="18">
        <v>301</v>
      </c>
      <c r="B302" s="12" t="s">
        <v>538</v>
      </c>
      <c r="C302" s="12" t="s">
        <v>539</v>
      </c>
      <c r="D302" s="12" t="s">
        <v>540</v>
      </c>
      <c r="E302" s="19" t="s">
        <v>14</v>
      </c>
      <c r="F302" s="19">
        <v>15</v>
      </c>
      <c r="G302" s="20">
        <v>60.5</v>
      </c>
      <c r="H302" s="20">
        <f t="shared" si="4"/>
        <v>907.5</v>
      </c>
      <c r="I302" s="12" t="s">
        <v>460</v>
      </c>
      <c r="J302" s="22" t="s">
        <v>16</v>
      </c>
      <c r="K302" s="22" t="s">
        <v>17</v>
      </c>
    </row>
    <row r="303" spans="1:11" s="7" customFormat="1" x14ac:dyDescent="0.25">
      <c r="A303" s="18">
        <v>302</v>
      </c>
      <c r="B303" s="12" t="s">
        <v>541</v>
      </c>
      <c r="C303" s="12" t="s">
        <v>180</v>
      </c>
      <c r="D303" s="12" t="s">
        <v>542</v>
      </c>
      <c r="E303" s="19" t="s">
        <v>14</v>
      </c>
      <c r="F303" s="19">
        <v>100</v>
      </c>
      <c r="G303" s="20">
        <v>0.22</v>
      </c>
      <c r="H303" s="20">
        <f t="shared" si="4"/>
        <v>22</v>
      </c>
      <c r="I303" s="12" t="s">
        <v>460</v>
      </c>
      <c r="J303" s="22" t="s">
        <v>16</v>
      </c>
      <c r="K303" s="22" t="s">
        <v>17</v>
      </c>
    </row>
    <row r="304" spans="1:11" s="7" customFormat="1" ht="38.25" x14ac:dyDescent="0.25">
      <c r="A304" s="18">
        <v>303</v>
      </c>
      <c r="B304" s="12" t="s">
        <v>543</v>
      </c>
      <c r="C304" s="12" t="s">
        <v>544</v>
      </c>
      <c r="D304" s="12" t="s">
        <v>545</v>
      </c>
      <c r="E304" s="19" t="s">
        <v>14</v>
      </c>
      <c r="F304" s="19">
        <v>10</v>
      </c>
      <c r="G304" s="20">
        <v>89.78</v>
      </c>
      <c r="H304" s="20">
        <f t="shared" si="4"/>
        <v>897.8</v>
      </c>
      <c r="I304" s="12" t="s">
        <v>460</v>
      </c>
      <c r="J304" s="22" t="s">
        <v>16</v>
      </c>
      <c r="K304" s="22" t="s">
        <v>17</v>
      </c>
    </row>
    <row r="305" spans="1:11" s="7" customFormat="1" x14ac:dyDescent="0.25">
      <c r="A305" s="18">
        <v>304</v>
      </c>
      <c r="B305" s="12" t="s">
        <v>546</v>
      </c>
      <c r="C305" s="12" t="s">
        <v>547</v>
      </c>
      <c r="D305" s="12" t="s">
        <v>548</v>
      </c>
      <c r="E305" s="19" t="s">
        <v>24</v>
      </c>
      <c r="F305" s="19">
        <v>3</v>
      </c>
      <c r="G305" s="20">
        <v>8</v>
      </c>
      <c r="H305" s="20">
        <f t="shared" si="4"/>
        <v>24</v>
      </c>
      <c r="I305" s="12" t="s">
        <v>460</v>
      </c>
      <c r="J305" s="22" t="s">
        <v>16</v>
      </c>
      <c r="K305" s="22" t="s">
        <v>17</v>
      </c>
    </row>
    <row r="306" spans="1:11" s="7" customFormat="1" x14ac:dyDescent="0.25">
      <c r="A306" s="18">
        <v>305</v>
      </c>
      <c r="B306" s="12" t="s">
        <v>549</v>
      </c>
      <c r="C306" s="12" t="s">
        <v>550</v>
      </c>
      <c r="D306" s="12" t="s">
        <v>551</v>
      </c>
      <c r="E306" s="19" t="s">
        <v>191</v>
      </c>
      <c r="F306" s="19">
        <v>4</v>
      </c>
      <c r="G306" s="20">
        <v>28.52</v>
      </c>
      <c r="H306" s="20">
        <f t="shared" si="4"/>
        <v>114.08</v>
      </c>
      <c r="I306" s="12" t="s">
        <v>460</v>
      </c>
      <c r="J306" s="22" t="s">
        <v>16</v>
      </c>
      <c r="K306" s="22" t="s">
        <v>17</v>
      </c>
    </row>
    <row r="307" spans="1:11" s="7" customFormat="1" x14ac:dyDescent="0.25">
      <c r="A307" s="18">
        <v>306</v>
      </c>
      <c r="B307" s="12" t="s">
        <v>552</v>
      </c>
      <c r="C307" s="12" t="s">
        <v>180</v>
      </c>
      <c r="D307" s="12" t="s">
        <v>553</v>
      </c>
      <c r="E307" s="19" t="s">
        <v>14</v>
      </c>
      <c r="F307" s="19">
        <v>150</v>
      </c>
      <c r="G307" s="20">
        <v>2.36</v>
      </c>
      <c r="H307" s="20">
        <f t="shared" si="4"/>
        <v>354</v>
      </c>
      <c r="I307" s="12" t="s">
        <v>460</v>
      </c>
      <c r="J307" s="22" t="s">
        <v>16</v>
      </c>
      <c r="K307" s="22" t="s">
        <v>17</v>
      </c>
    </row>
    <row r="308" spans="1:11" s="7" customFormat="1" x14ac:dyDescent="0.25">
      <c r="A308" s="18">
        <v>307</v>
      </c>
      <c r="B308" s="12" t="s">
        <v>554</v>
      </c>
      <c r="C308" s="12" t="s">
        <v>539</v>
      </c>
      <c r="D308" s="12" t="s">
        <v>555</v>
      </c>
      <c r="E308" s="19" t="s">
        <v>14</v>
      </c>
      <c r="F308" s="19">
        <v>1</v>
      </c>
      <c r="G308" s="20">
        <v>15.99</v>
      </c>
      <c r="H308" s="20">
        <f t="shared" si="4"/>
        <v>15.99</v>
      </c>
      <c r="I308" s="12" t="s">
        <v>460</v>
      </c>
      <c r="J308" s="22" t="s">
        <v>16</v>
      </c>
      <c r="K308" s="22" t="s">
        <v>17</v>
      </c>
    </row>
    <row r="309" spans="1:11" s="7" customFormat="1" x14ac:dyDescent="0.25">
      <c r="A309" s="18">
        <v>308</v>
      </c>
      <c r="B309" s="12" t="s">
        <v>556</v>
      </c>
      <c r="C309" s="12" t="s">
        <v>539</v>
      </c>
      <c r="D309" s="12" t="s">
        <v>557</v>
      </c>
      <c r="E309" s="19" t="s">
        <v>14</v>
      </c>
      <c r="F309" s="19">
        <v>1</v>
      </c>
      <c r="G309" s="20">
        <v>60.28</v>
      </c>
      <c r="H309" s="20">
        <f t="shared" si="4"/>
        <v>60.28</v>
      </c>
      <c r="I309" s="12" t="s">
        <v>460</v>
      </c>
      <c r="J309" s="22" t="s">
        <v>16</v>
      </c>
      <c r="K309" s="22" t="s">
        <v>17</v>
      </c>
    </row>
    <row r="310" spans="1:11" s="7" customFormat="1" ht="25.5" x14ac:dyDescent="0.25">
      <c r="A310" s="18">
        <v>309</v>
      </c>
      <c r="B310" s="12" t="s">
        <v>558</v>
      </c>
      <c r="C310" s="12" t="s">
        <v>559</v>
      </c>
      <c r="D310" s="12" t="s">
        <v>560</v>
      </c>
      <c r="E310" s="19" t="s">
        <v>24</v>
      </c>
      <c r="F310" s="19">
        <v>4</v>
      </c>
      <c r="G310" s="20">
        <v>10</v>
      </c>
      <c r="H310" s="20">
        <f t="shared" si="4"/>
        <v>40</v>
      </c>
      <c r="I310" s="12" t="s">
        <v>460</v>
      </c>
      <c r="J310" s="22" t="s">
        <v>16</v>
      </c>
      <c r="K310" s="22" t="s">
        <v>17</v>
      </c>
    </row>
    <row r="311" spans="1:11" s="7" customFormat="1" x14ac:dyDescent="0.25">
      <c r="A311" s="18">
        <v>310</v>
      </c>
      <c r="B311" s="12" t="s">
        <v>561</v>
      </c>
      <c r="C311" s="12" t="s">
        <v>559</v>
      </c>
      <c r="D311" s="12" t="s">
        <v>562</v>
      </c>
      <c r="E311" s="19" t="s">
        <v>182</v>
      </c>
      <c r="F311" s="19">
        <v>8</v>
      </c>
      <c r="G311" s="20">
        <v>4</v>
      </c>
      <c r="H311" s="20">
        <f t="shared" si="4"/>
        <v>32</v>
      </c>
      <c r="I311" s="12" t="s">
        <v>460</v>
      </c>
      <c r="J311" s="22" t="s">
        <v>16</v>
      </c>
      <c r="K311" s="22" t="s">
        <v>17</v>
      </c>
    </row>
    <row r="312" spans="1:11" s="7" customFormat="1" x14ac:dyDescent="0.25">
      <c r="A312" s="18">
        <v>311</v>
      </c>
      <c r="B312" s="12" t="s">
        <v>817</v>
      </c>
      <c r="C312" s="12" t="s">
        <v>143</v>
      </c>
      <c r="D312" s="13" t="s">
        <v>818</v>
      </c>
      <c r="E312" s="19" t="s">
        <v>14</v>
      </c>
      <c r="F312" s="19">
        <v>1</v>
      </c>
      <c r="G312" s="20">
        <v>22.07</v>
      </c>
      <c r="H312" s="20">
        <f t="shared" si="4"/>
        <v>22.07</v>
      </c>
      <c r="I312" s="14" t="s">
        <v>460</v>
      </c>
      <c r="J312" s="22" t="s">
        <v>16</v>
      </c>
      <c r="K312" s="22" t="s">
        <v>17</v>
      </c>
    </row>
    <row r="313" spans="1:11" s="7" customFormat="1" x14ac:dyDescent="0.25">
      <c r="A313" s="18">
        <v>312</v>
      </c>
      <c r="B313" s="12" t="s">
        <v>563</v>
      </c>
      <c r="C313" s="12" t="s">
        <v>180</v>
      </c>
      <c r="D313" s="12" t="s">
        <v>564</v>
      </c>
      <c r="E313" s="19" t="s">
        <v>24</v>
      </c>
      <c r="F313" s="19">
        <v>1</v>
      </c>
      <c r="G313" s="20">
        <v>110</v>
      </c>
      <c r="H313" s="20">
        <f t="shared" si="4"/>
        <v>110</v>
      </c>
      <c r="I313" s="12" t="s">
        <v>460</v>
      </c>
      <c r="J313" s="22" t="s">
        <v>16</v>
      </c>
      <c r="K313" s="22" t="s">
        <v>17</v>
      </c>
    </row>
    <row r="314" spans="1:11" s="7" customFormat="1" ht="25.5" x14ac:dyDescent="0.25">
      <c r="A314" s="18">
        <v>313</v>
      </c>
      <c r="B314" s="12" t="s">
        <v>565</v>
      </c>
      <c r="C314" s="12" t="s">
        <v>205</v>
      </c>
      <c r="D314" s="12" t="s">
        <v>566</v>
      </c>
      <c r="E314" s="19" t="s">
        <v>14</v>
      </c>
      <c r="F314" s="19">
        <v>267</v>
      </c>
      <c r="G314" s="20">
        <v>8.1</v>
      </c>
      <c r="H314" s="20">
        <f t="shared" si="4"/>
        <v>2162.6999999999998</v>
      </c>
      <c r="I314" s="12" t="s">
        <v>460</v>
      </c>
      <c r="J314" s="22" t="s">
        <v>16</v>
      </c>
      <c r="K314" s="22" t="s">
        <v>17</v>
      </c>
    </row>
    <row r="315" spans="1:11" s="7" customFormat="1" ht="25.5" x14ac:dyDescent="0.25">
      <c r="A315" s="18">
        <v>314</v>
      </c>
      <c r="B315" s="12" t="s">
        <v>567</v>
      </c>
      <c r="C315" s="12" t="s">
        <v>205</v>
      </c>
      <c r="D315" s="12" t="s">
        <v>568</v>
      </c>
      <c r="E315" s="19" t="s">
        <v>14</v>
      </c>
      <c r="F315" s="19">
        <v>302</v>
      </c>
      <c r="G315" s="20">
        <v>10.9</v>
      </c>
      <c r="H315" s="20">
        <f t="shared" si="4"/>
        <v>3291.8</v>
      </c>
      <c r="I315" s="12" t="s">
        <v>460</v>
      </c>
      <c r="J315" s="22" t="s">
        <v>16</v>
      </c>
      <c r="K315" s="22" t="s">
        <v>17</v>
      </c>
    </row>
    <row r="316" spans="1:11" s="7" customFormat="1" ht="25.5" x14ac:dyDescent="0.25">
      <c r="A316" s="18">
        <v>315</v>
      </c>
      <c r="B316" s="12" t="s">
        <v>569</v>
      </c>
      <c r="C316" s="12" t="s">
        <v>180</v>
      </c>
      <c r="D316" s="12" t="s">
        <v>570</v>
      </c>
      <c r="E316" s="19" t="s">
        <v>14</v>
      </c>
      <c r="F316" s="19">
        <v>1000</v>
      </c>
      <c r="G316" s="20">
        <v>0.31</v>
      </c>
      <c r="H316" s="20">
        <f t="shared" si="4"/>
        <v>310</v>
      </c>
      <c r="I316" s="12" t="s">
        <v>460</v>
      </c>
      <c r="J316" s="22" t="s">
        <v>16</v>
      </c>
      <c r="K316" s="22" t="s">
        <v>17</v>
      </c>
    </row>
    <row r="317" spans="1:11" s="7" customFormat="1" ht="25.5" x14ac:dyDescent="0.25">
      <c r="A317" s="18">
        <v>316</v>
      </c>
      <c r="B317" s="12" t="s">
        <v>1329</v>
      </c>
      <c r="C317" s="12" t="s">
        <v>31</v>
      </c>
      <c r="D317" s="13" t="s">
        <v>1330</v>
      </c>
      <c r="E317" s="19" t="s">
        <v>14</v>
      </c>
      <c r="F317" s="19">
        <v>8</v>
      </c>
      <c r="G317" s="20">
        <v>48.89</v>
      </c>
      <c r="H317" s="20">
        <f t="shared" si="4"/>
        <v>391.12</v>
      </c>
      <c r="I317" s="12" t="s">
        <v>460</v>
      </c>
      <c r="J317" s="22" t="s">
        <v>16</v>
      </c>
      <c r="K317" s="22" t="s">
        <v>17</v>
      </c>
    </row>
    <row r="318" spans="1:11" s="7" customFormat="1" ht="25.5" x14ac:dyDescent="0.25">
      <c r="A318" s="18">
        <v>317</v>
      </c>
      <c r="B318" s="12" t="s">
        <v>571</v>
      </c>
      <c r="C318" s="12" t="s">
        <v>205</v>
      </c>
      <c r="D318" s="12" t="s">
        <v>572</v>
      </c>
      <c r="E318" s="19" t="s">
        <v>14</v>
      </c>
      <c r="F318" s="19">
        <v>200</v>
      </c>
      <c r="G318" s="20">
        <v>2.94</v>
      </c>
      <c r="H318" s="20">
        <f t="shared" si="4"/>
        <v>588</v>
      </c>
      <c r="I318" s="12" t="s">
        <v>460</v>
      </c>
      <c r="J318" s="22" t="s">
        <v>16</v>
      </c>
      <c r="K318" s="22" t="s">
        <v>17</v>
      </c>
    </row>
    <row r="319" spans="1:11" s="7" customFormat="1" ht="25.5" x14ac:dyDescent="0.25">
      <c r="A319" s="18">
        <v>318</v>
      </c>
      <c r="B319" s="12" t="s">
        <v>573</v>
      </c>
      <c r="C319" s="12" t="s">
        <v>205</v>
      </c>
      <c r="D319" s="12" t="s">
        <v>574</v>
      </c>
      <c r="E319" s="19" t="s">
        <v>14</v>
      </c>
      <c r="F319" s="19">
        <v>100</v>
      </c>
      <c r="G319" s="20">
        <v>1.9</v>
      </c>
      <c r="H319" s="20">
        <f t="shared" si="4"/>
        <v>190</v>
      </c>
      <c r="I319" s="12" t="s">
        <v>460</v>
      </c>
      <c r="J319" s="22" t="s">
        <v>16</v>
      </c>
      <c r="K319" s="22" t="s">
        <v>17</v>
      </c>
    </row>
    <row r="320" spans="1:11" s="7" customFormat="1" ht="25.5" x14ac:dyDescent="0.25">
      <c r="A320" s="18">
        <v>319</v>
      </c>
      <c r="B320" s="12" t="s">
        <v>575</v>
      </c>
      <c r="C320" s="12" t="s">
        <v>180</v>
      </c>
      <c r="D320" s="12" t="s">
        <v>576</v>
      </c>
      <c r="E320" s="19" t="s">
        <v>14</v>
      </c>
      <c r="F320" s="19">
        <v>1200</v>
      </c>
      <c r="G320" s="20">
        <v>0.09</v>
      </c>
      <c r="H320" s="20">
        <f t="shared" si="4"/>
        <v>108</v>
      </c>
      <c r="I320" s="12" t="s">
        <v>460</v>
      </c>
      <c r="J320" s="22" t="s">
        <v>16</v>
      </c>
      <c r="K320" s="22" t="s">
        <v>17</v>
      </c>
    </row>
    <row r="321" spans="1:11" s="7" customFormat="1" ht="25.5" x14ac:dyDescent="0.25">
      <c r="A321" s="18">
        <v>320</v>
      </c>
      <c r="B321" s="12" t="s">
        <v>577</v>
      </c>
      <c r="C321" s="12" t="s">
        <v>193</v>
      </c>
      <c r="D321" s="12" t="s">
        <v>578</v>
      </c>
      <c r="E321" s="19" t="s">
        <v>24</v>
      </c>
      <c r="F321" s="19">
        <v>15</v>
      </c>
      <c r="G321" s="20">
        <v>10</v>
      </c>
      <c r="H321" s="20">
        <f t="shared" si="4"/>
        <v>150</v>
      </c>
      <c r="I321" s="12" t="s">
        <v>460</v>
      </c>
      <c r="J321" s="22" t="s">
        <v>16</v>
      </c>
      <c r="K321" s="22" t="s">
        <v>17</v>
      </c>
    </row>
    <row r="322" spans="1:11" s="7" customFormat="1" ht="25.5" x14ac:dyDescent="0.25">
      <c r="A322" s="18">
        <v>321</v>
      </c>
      <c r="B322" s="12" t="s">
        <v>579</v>
      </c>
      <c r="C322" s="12" t="s">
        <v>580</v>
      </c>
      <c r="D322" s="12" t="s">
        <v>581</v>
      </c>
      <c r="E322" s="19" t="s">
        <v>14</v>
      </c>
      <c r="F322" s="19">
        <v>50</v>
      </c>
      <c r="G322" s="20">
        <v>6.79</v>
      </c>
      <c r="H322" s="20">
        <f t="shared" ref="H322:H385" si="5">F322*G322</f>
        <v>339.5</v>
      </c>
      <c r="I322" s="12" t="s">
        <v>460</v>
      </c>
      <c r="J322" s="22" t="s">
        <v>16</v>
      </c>
      <c r="K322" s="22" t="s">
        <v>17</v>
      </c>
    </row>
    <row r="323" spans="1:11" s="7" customFormat="1" x14ac:dyDescent="0.25">
      <c r="A323" s="18">
        <v>322</v>
      </c>
      <c r="B323" s="12" t="s">
        <v>582</v>
      </c>
      <c r="C323" s="12" t="s">
        <v>341</v>
      </c>
      <c r="D323" s="13">
        <v>3939</v>
      </c>
      <c r="E323" s="19" t="s">
        <v>236</v>
      </c>
      <c r="F323" s="19">
        <v>35</v>
      </c>
      <c r="G323" s="20">
        <v>27.69</v>
      </c>
      <c r="H323" s="20">
        <f t="shared" si="5"/>
        <v>969.15000000000009</v>
      </c>
      <c r="I323" s="12" t="s">
        <v>583</v>
      </c>
      <c r="J323" s="22" t="s">
        <v>16</v>
      </c>
      <c r="K323" s="22" t="s">
        <v>17</v>
      </c>
    </row>
    <row r="324" spans="1:11" s="7" customFormat="1" x14ac:dyDescent="0.25">
      <c r="A324" s="18">
        <v>323</v>
      </c>
      <c r="B324" s="12" t="s">
        <v>584</v>
      </c>
      <c r="C324" s="12" t="s">
        <v>186</v>
      </c>
      <c r="D324" s="13">
        <v>14892</v>
      </c>
      <c r="E324" s="19" t="s">
        <v>14</v>
      </c>
      <c r="F324" s="19">
        <v>100</v>
      </c>
      <c r="G324" s="20">
        <v>59.32</v>
      </c>
      <c r="H324" s="20">
        <f t="shared" si="5"/>
        <v>5932</v>
      </c>
      <c r="I324" s="12" t="s">
        <v>583</v>
      </c>
      <c r="J324" s="22" t="s">
        <v>16</v>
      </c>
      <c r="K324" s="22" t="s">
        <v>17</v>
      </c>
    </row>
    <row r="325" spans="1:11" s="7" customFormat="1" ht="25.5" x14ac:dyDescent="0.25">
      <c r="A325" s="18">
        <v>324</v>
      </c>
      <c r="B325" s="12" t="s">
        <v>374</v>
      </c>
      <c r="C325" s="12" t="s">
        <v>39</v>
      </c>
      <c r="D325" s="13">
        <v>16258</v>
      </c>
      <c r="E325" s="19" t="s">
        <v>14</v>
      </c>
      <c r="F325" s="19">
        <v>8</v>
      </c>
      <c r="G325" s="20">
        <v>630</v>
      </c>
      <c r="H325" s="20">
        <f t="shared" si="5"/>
        <v>5040</v>
      </c>
      <c r="I325" s="12" t="s">
        <v>583</v>
      </c>
      <c r="J325" s="22" t="s">
        <v>16</v>
      </c>
      <c r="K325" s="22" t="s">
        <v>17</v>
      </c>
    </row>
    <row r="326" spans="1:11" s="7" customFormat="1" ht="25.5" x14ac:dyDescent="0.25">
      <c r="A326" s="18">
        <v>325</v>
      </c>
      <c r="B326" s="12" t="s">
        <v>585</v>
      </c>
      <c r="C326" s="12" t="s">
        <v>186</v>
      </c>
      <c r="D326" s="13">
        <v>23047</v>
      </c>
      <c r="E326" s="19" t="s">
        <v>14</v>
      </c>
      <c r="F326" s="19">
        <v>17</v>
      </c>
      <c r="G326" s="20">
        <v>990.97</v>
      </c>
      <c r="H326" s="20">
        <f t="shared" si="5"/>
        <v>16846.490000000002</v>
      </c>
      <c r="I326" s="12" t="s">
        <v>583</v>
      </c>
      <c r="J326" s="22" t="s">
        <v>16</v>
      </c>
      <c r="K326" s="22" t="s">
        <v>17</v>
      </c>
    </row>
    <row r="327" spans="1:11" s="7" customFormat="1" x14ac:dyDescent="0.25">
      <c r="A327" s="18">
        <v>326</v>
      </c>
      <c r="B327" s="12" t="s">
        <v>586</v>
      </c>
      <c r="C327" s="12" t="s">
        <v>39</v>
      </c>
      <c r="D327" s="13">
        <v>24404</v>
      </c>
      <c r="E327" s="19" t="s">
        <v>14</v>
      </c>
      <c r="F327" s="19">
        <v>2</v>
      </c>
      <c r="G327" s="20">
        <v>65.72</v>
      </c>
      <c r="H327" s="20">
        <f t="shared" si="5"/>
        <v>131.44</v>
      </c>
      <c r="I327" s="12" t="s">
        <v>583</v>
      </c>
      <c r="J327" s="22" t="s">
        <v>16</v>
      </c>
      <c r="K327" s="22" t="s">
        <v>17</v>
      </c>
    </row>
    <row r="328" spans="1:11" s="7" customFormat="1" ht="25.5" x14ac:dyDescent="0.25">
      <c r="A328" s="18">
        <v>327</v>
      </c>
      <c r="B328" s="12" t="s">
        <v>587</v>
      </c>
      <c r="C328" s="12" t="s">
        <v>186</v>
      </c>
      <c r="D328" s="13">
        <v>24433</v>
      </c>
      <c r="E328" s="19" t="s">
        <v>14</v>
      </c>
      <c r="F328" s="19">
        <v>12</v>
      </c>
      <c r="G328" s="20">
        <v>84.8</v>
      </c>
      <c r="H328" s="20">
        <f t="shared" si="5"/>
        <v>1017.5999999999999</v>
      </c>
      <c r="I328" s="12" t="s">
        <v>583</v>
      </c>
      <c r="J328" s="22" t="s">
        <v>16</v>
      </c>
      <c r="K328" s="22" t="s">
        <v>17</v>
      </c>
    </row>
    <row r="329" spans="1:11" s="7" customFormat="1" ht="25.5" x14ac:dyDescent="0.25">
      <c r="A329" s="18">
        <v>328</v>
      </c>
      <c r="B329" s="12" t="s">
        <v>588</v>
      </c>
      <c r="C329" s="12" t="s">
        <v>39</v>
      </c>
      <c r="D329" s="13">
        <v>26857</v>
      </c>
      <c r="E329" s="19" t="s">
        <v>14</v>
      </c>
      <c r="F329" s="19">
        <v>4</v>
      </c>
      <c r="G329" s="20">
        <v>115.5</v>
      </c>
      <c r="H329" s="20">
        <f t="shared" si="5"/>
        <v>462</v>
      </c>
      <c r="I329" s="12" t="s">
        <v>583</v>
      </c>
      <c r="J329" s="22" t="s">
        <v>16</v>
      </c>
      <c r="K329" s="22" t="s">
        <v>17</v>
      </c>
    </row>
    <row r="330" spans="1:11" s="7" customFormat="1" x14ac:dyDescent="0.25">
      <c r="A330" s="18">
        <v>329</v>
      </c>
      <c r="B330" s="12" t="s">
        <v>589</v>
      </c>
      <c r="C330" s="12" t="s">
        <v>464</v>
      </c>
      <c r="D330" s="13">
        <v>33219</v>
      </c>
      <c r="E330" s="19" t="s">
        <v>24</v>
      </c>
      <c r="F330" s="19">
        <v>137</v>
      </c>
      <c r="G330" s="20">
        <v>0.19</v>
      </c>
      <c r="H330" s="20">
        <f t="shared" si="5"/>
        <v>26.03</v>
      </c>
      <c r="I330" s="12" t="s">
        <v>583</v>
      </c>
      <c r="J330" s="22" t="s">
        <v>16</v>
      </c>
      <c r="K330" s="22" t="s">
        <v>17</v>
      </c>
    </row>
    <row r="331" spans="1:11" s="7" customFormat="1" x14ac:dyDescent="0.25">
      <c r="A331" s="18">
        <v>330</v>
      </c>
      <c r="B331" s="12" t="s">
        <v>590</v>
      </c>
      <c r="C331" s="12" t="s">
        <v>591</v>
      </c>
      <c r="D331" s="13">
        <v>84012</v>
      </c>
      <c r="E331" s="19" t="s">
        <v>191</v>
      </c>
      <c r="F331" s="19">
        <v>15</v>
      </c>
      <c r="G331" s="20">
        <v>9.15</v>
      </c>
      <c r="H331" s="20">
        <f t="shared" si="5"/>
        <v>137.25</v>
      </c>
      <c r="I331" s="12" t="s">
        <v>583</v>
      </c>
      <c r="J331" s="22" t="s">
        <v>16</v>
      </c>
      <c r="K331" s="22" t="s">
        <v>17</v>
      </c>
    </row>
    <row r="332" spans="1:11" s="7" customFormat="1" ht="25.5" x14ac:dyDescent="0.25">
      <c r="A332" s="18">
        <v>331</v>
      </c>
      <c r="B332" s="12" t="s">
        <v>592</v>
      </c>
      <c r="C332" s="12" t="s">
        <v>205</v>
      </c>
      <c r="D332" s="13">
        <v>235418</v>
      </c>
      <c r="E332" s="19" t="s">
        <v>14</v>
      </c>
      <c r="F332" s="19">
        <v>143</v>
      </c>
      <c r="G332" s="20">
        <v>193.47</v>
      </c>
      <c r="H332" s="20">
        <f t="shared" si="5"/>
        <v>27666.21</v>
      </c>
      <c r="I332" s="12" t="s">
        <v>583</v>
      </c>
      <c r="J332" s="22" t="s">
        <v>16</v>
      </c>
      <c r="K332" s="22" t="s">
        <v>17</v>
      </c>
    </row>
    <row r="333" spans="1:11" s="7" customFormat="1" x14ac:dyDescent="0.25">
      <c r="A333" s="18">
        <v>332</v>
      </c>
      <c r="B333" s="12" t="s">
        <v>593</v>
      </c>
      <c r="C333" s="12" t="s">
        <v>205</v>
      </c>
      <c r="D333" s="13">
        <v>242407</v>
      </c>
      <c r="E333" s="19" t="s">
        <v>14</v>
      </c>
      <c r="F333" s="19">
        <v>9</v>
      </c>
      <c r="G333" s="20">
        <v>44.23</v>
      </c>
      <c r="H333" s="20">
        <f t="shared" si="5"/>
        <v>398.07</v>
      </c>
      <c r="I333" s="12" t="s">
        <v>583</v>
      </c>
      <c r="J333" s="22" t="s">
        <v>16</v>
      </c>
      <c r="K333" s="22" t="s">
        <v>17</v>
      </c>
    </row>
    <row r="334" spans="1:11" s="7" customFormat="1" x14ac:dyDescent="0.25">
      <c r="A334" s="18">
        <v>333</v>
      </c>
      <c r="B334" s="12" t="s">
        <v>594</v>
      </c>
      <c r="C334" s="12" t="s">
        <v>323</v>
      </c>
      <c r="D334" s="13">
        <v>871150026464040</v>
      </c>
      <c r="E334" s="19" t="s">
        <v>14</v>
      </c>
      <c r="F334" s="19">
        <v>16</v>
      </c>
      <c r="G334" s="20">
        <v>38.479999999999997</v>
      </c>
      <c r="H334" s="20">
        <f t="shared" si="5"/>
        <v>615.67999999999995</v>
      </c>
      <c r="I334" s="14" t="s">
        <v>583</v>
      </c>
      <c r="J334" s="22" t="s">
        <v>16</v>
      </c>
      <c r="K334" s="22" t="s">
        <v>17</v>
      </c>
    </row>
    <row r="335" spans="1:11" s="7" customFormat="1" x14ac:dyDescent="0.25">
      <c r="A335" s="18">
        <v>334</v>
      </c>
      <c r="B335" s="12" t="s">
        <v>595</v>
      </c>
      <c r="C335" s="12" t="s">
        <v>98</v>
      </c>
      <c r="D335" s="13" t="s">
        <v>596</v>
      </c>
      <c r="E335" s="19" t="s">
        <v>14</v>
      </c>
      <c r="F335" s="19">
        <v>60</v>
      </c>
      <c r="G335" s="20">
        <v>5.25</v>
      </c>
      <c r="H335" s="20">
        <f t="shared" si="5"/>
        <v>315</v>
      </c>
      <c r="I335" s="12" t="s">
        <v>583</v>
      </c>
      <c r="J335" s="22" t="s">
        <v>16</v>
      </c>
      <c r="K335" s="22" t="s">
        <v>17</v>
      </c>
    </row>
    <row r="336" spans="1:11" s="7" customFormat="1" x14ac:dyDescent="0.25">
      <c r="A336" s="18">
        <v>335</v>
      </c>
      <c r="B336" s="12" t="s">
        <v>597</v>
      </c>
      <c r="C336" s="12" t="s">
        <v>39</v>
      </c>
      <c r="D336" s="13" t="s">
        <v>598</v>
      </c>
      <c r="E336" s="19" t="s">
        <v>14</v>
      </c>
      <c r="F336" s="19">
        <v>285</v>
      </c>
      <c r="G336" s="20">
        <v>8.44</v>
      </c>
      <c r="H336" s="20">
        <f t="shared" si="5"/>
        <v>2405.3999999999996</v>
      </c>
      <c r="I336" s="12" t="s">
        <v>583</v>
      </c>
      <c r="J336" s="22" t="s">
        <v>16</v>
      </c>
      <c r="K336" s="22" t="s">
        <v>17</v>
      </c>
    </row>
    <row r="337" spans="1:11" s="7" customFormat="1" x14ac:dyDescent="0.25">
      <c r="A337" s="18">
        <v>336</v>
      </c>
      <c r="B337" s="12" t="s">
        <v>599</v>
      </c>
      <c r="C337" s="12" t="s">
        <v>39</v>
      </c>
      <c r="D337" s="13" t="s">
        <v>600</v>
      </c>
      <c r="E337" s="19" t="s">
        <v>14</v>
      </c>
      <c r="F337" s="19">
        <v>240</v>
      </c>
      <c r="G337" s="20">
        <v>9.0500000000000007</v>
      </c>
      <c r="H337" s="20">
        <f t="shared" si="5"/>
        <v>2172</v>
      </c>
      <c r="I337" s="12" t="s">
        <v>583</v>
      </c>
      <c r="J337" s="22" t="s">
        <v>16</v>
      </c>
      <c r="K337" s="22" t="s">
        <v>17</v>
      </c>
    </row>
    <row r="338" spans="1:11" s="7" customFormat="1" x14ac:dyDescent="0.25">
      <c r="A338" s="18">
        <v>337</v>
      </c>
      <c r="B338" s="12" t="s">
        <v>601</v>
      </c>
      <c r="C338" s="12" t="s">
        <v>39</v>
      </c>
      <c r="D338" s="13" t="s">
        <v>602</v>
      </c>
      <c r="E338" s="19" t="s">
        <v>14</v>
      </c>
      <c r="F338" s="19">
        <v>110</v>
      </c>
      <c r="G338" s="20">
        <v>11.44</v>
      </c>
      <c r="H338" s="20">
        <f t="shared" si="5"/>
        <v>1258.3999999999999</v>
      </c>
      <c r="I338" s="12" t="s">
        <v>583</v>
      </c>
      <c r="J338" s="22" t="s">
        <v>16</v>
      </c>
      <c r="K338" s="22" t="s">
        <v>17</v>
      </c>
    </row>
    <row r="339" spans="1:11" s="7" customFormat="1" ht="25.5" x14ac:dyDescent="0.25">
      <c r="A339" s="18">
        <v>338</v>
      </c>
      <c r="B339" s="12" t="s">
        <v>603</v>
      </c>
      <c r="C339" s="12" t="s">
        <v>39</v>
      </c>
      <c r="D339" s="13" t="s">
        <v>604</v>
      </c>
      <c r="E339" s="19" t="s">
        <v>14</v>
      </c>
      <c r="F339" s="19">
        <v>1</v>
      </c>
      <c r="G339" s="20">
        <v>37.29</v>
      </c>
      <c r="H339" s="20">
        <f t="shared" si="5"/>
        <v>37.29</v>
      </c>
      <c r="I339" s="12" t="s">
        <v>583</v>
      </c>
      <c r="J339" s="22" t="s">
        <v>16</v>
      </c>
      <c r="K339" s="22" t="s">
        <v>17</v>
      </c>
    </row>
    <row r="340" spans="1:11" s="7" customFormat="1" ht="25.5" x14ac:dyDescent="0.25">
      <c r="A340" s="18">
        <v>339</v>
      </c>
      <c r="B340" s="12" t="s">
        <v>605</v>
      </c>
      <c r="C340" s="12" t="s">
        <v>39</v>
      </c>
      <c r="D340" s="13" t="s">
        <v>606</v>
      </c>
      <c r="E340" s="19" t="s">
        <v>14</v>
      </c>
      <c r="F340" s="19">
        <v>65</v>
      </c>
      <c r="G340" s="20">
        <v>21.8</v>
      </c>
      <c r="H340" s="20">
        <f t="shared" si="5"/>
        <v>1417</v>
      </c>
      <c r="I340" s="12" t="s">
        <v>583</v>
      </c>
      <c r="J340" s="22" t="s">
        <v>16</v>
      </c>
      <c r="K340" s="22" t="s">
        <v>17</v>
      </c>
    </row>
    <row r="341" spans="1:11" s="7" customFormat="1" ht="25.5" x14ac:dyDescent="0.25">
      <c r="A341" s="18">
        <v>340</v>
      </c>
      <c r="B341" s="12" t="s">
        <v>607</v>
      </c>
      <c r="C341" s="12" t="s">
        <v>39</v>
      </c>
      <c r="D341" s="13" t="s">
        <v>608</v>
      </c>
      <c r="E341" s="19" t="s">
        <v>14</v>
      </c>
      <c r="F341" s="19">
        <v>4</v>
      </c>
      <c r="G341" s="20">
        <v>42.49</v>
      </c>
      <c r="H341" s="20">
        <f t="shared" si="5"/>
        <v>169.96</v>
      </c>
      <c r="I341" s="12" t="s">
        <v>583</v>
      </c>
      <c r="J341" s="22" t="s">
        <v>16</v>
      </c>
      <c r="K341" s="22" t="s">
        <v>17</v>
      </c>
    </row>
    <row r="342" spans="1:11" s="7" customFormat="1" ht="25.5" x14ac:dyDescent="0.25">
      <c r="A342" s="18">
        <v>341</v>
      </c>
      <c r="B342" s="12" t="s">
        <v>609</v>
      </c>
      <c r="C342" s="12" t="s">
        <v>180</v>
      </c>
      <c r="D342" s="13" t="s">
        <v>610</v>
      </c>
      <c r="E342" s="19" t="s">
        <v>14</v>
      </c>
      <c r="F342" s="19">
        <v>295</v>
      </c>
      <c r="G342" s="20">
        <v>19.91</v>
      </c>
      <c r="H342" s="20">
        <f t="shared" si="5"/>
        <v>5873.45</v>
      </c>
      <c r="I342" s="12" t="s">
        <v>583</v>
      </c>
      <c r="J342" s="22" t="s">
        <v>16</v>
      </c>
      <c r="K342" s="22" t="s">
        <v>17</v>
      </c>
    </row>
    <row r="343" spans="1:11" s="7" customFormat="1" ht="25.5" x14ac:dyDescent="0.25">
      <c r="A343" s="18">
        <v>342</v>
      </c>
      <c r="B343" s="12" t="s">
        <v>611</v>
      </c>
      <c r="C343" s="12" t="s">
        <v>180</v>
      </c>
      <c r="D343" s="13" t="s">
        <v>612</v>
      </c>
      <c r="E343" s="19" t="s">
        <v>14</v>
      </c>
      <c r="F343" s="19">
        <v>318</v>
      </c>
      <c r="G343" s="20">
        <v>24.66</v>
      </c>
      <c r="H343" s="20">
        <f t="shared" si="5"/>
        <v>7841.88</v>
      </c>
      <c r="I343" s="12" t="s">
        <v>583</v>
      </c>
      <c r="J343" s="22" t="s">
        <v>16</v>
      </c>
      <c r="K343" s="22" t="s">
        <v>17</v>
      </c>
    </row>
    <row r="344" spans="1:11" s="7" customFormat="1" ht="25.5" x14ac:dyDescent="0.25">
      <c r="A344" s="18">
        <v>343</v>
      </c>
      <c r="B344" s="12" t="s">
        <v>613</v>
      </c>
      <c r="C344" s="12" t="s">
        <v>180</v>
      </c>
      <c r="D344" s="13" t="s">
        <v>614</v>
      </c>
      <c r="E344" s="19" t="s">
        <v>14</v>
      </c>
      <c r="F344" s="19">
        <v>397</v>
      </c>
      <c r="G344" s="20">
        <v>27.62</v>
      </c>
      <c r="H344" s="20">
        <f t="shared" si="5"/>
        <v>10965.140000000001</v>
      </c>
      <c r="I344" s="12" t="s">
        <v>583</v>
      </c>
      <c r="J344" s="22" t="s">
        <v>16</v>
      </c>
      <c r="K344" s="22" t="s">
        <v>17</v>
      </c>
    </row>
    <row r="345" spans="1:11" s="7" customFormat="1" x14ac:dyDescent="0.25">
      <c r="A345" s="18">
        <v>344</v>
      </c>
      <c r="B345" s="12" t="s">
        <v>615</v>
      </c>
      <c r="C345" s="12" t="s">
        <v>180</v>
      </c>
      <c r="D345" s="13" t="s">
        <v>616</v>
      </c>
      <c r="E345" s="19" t="s">
        <v>14</v>
      </c>
      <c r="F345" s="19">
        <v>358</v>
      </c>
      <c r="G345" s="20">
        <v>4.0599999999999996</v>
      </c>
      <c r="H345" s="20">
        <f t="shared" si="5"/>
        <v>1453.4799999999998</v>
      </c>
      <c r="I345" s="12" t="s">
        <v>583</v>
      </c>
      <c r="J345" s="22" t="s">
        <v>16</v>
      </c>
      <c r="K345" s="22" t="s">
        <v>17</v>
      </c>
    </row>
    <row r="346" spans="1:11" s="7" customFormat="1" ht="25.5" x14ac:dyDescent="0.25">
      <c r="A346" s="18">
        <v>345</v>
      </c>
      <c r="B346" s="12" t="s">
        <v>617</v>
      </c>
      <c r="C346" s="12" t="s">
        <v>180</v>
      </c>
      <c r="D346" s="13" t="s">
        <v>618</v>
      </c>
      <c r="E346" s="19" t="s">
        <v>14</v>
      </c>
      <c r="F346" s="19">
        <v>400</v>
      </c>
      <c r="G346" s="20">
        <v>34.869999999999997</v>
      </c>
      <c r="H346" s="20">
        <f t="shared" si="5"/>
        <v>13947.999999999998</v>
      </c>
      <c r="I346" s="12" t="s">
        <v>583</v>
      </c>
      <c r="J346" s="22" t="s">
        <v>16</v>
      </c>
      <c r="K346" s="22" t="s">
        <v>17</v>
      </c>
    </row>
    <row r="347" spans="1:11" s="7" customFormat="1" ht="25.5" x14ac:dyDescent="0.25">
      <c r="A347" s="18">
        <v>346</v>
      </c>
      <c r="B347" s="12" t="s">
        <v>619</v>
      </c>
      <c r="C347" s="12" t="s">
        <v>620</v>
      </c>
      <c r="D347" s="13" t="s">
        <v>621</v>
      </c>
      <c r="E347" s="19" t="s">
        <v>14</v>
      </c>
      <c r="F347" s="19">
        <v>28</v>
      </c>
      <c r="G347" s="20">
        <v>96.98</v>
      </c>
      <c r="H347" s="20">
        <f t="shared" si="5"/>
        <v>2715.44</v>
      </c>
      <c r="I347" s="12" t="s">
        <v>583</v>
      </c>
      <c r="J347" s="22" t="s">
        <v>16</v>
      </c>
      <c r="K347" s="22" t="s">
        <v>17</v>
      </c>
    </row>
    <row r="348" spans="1:11" s="7" customFormat="1" x14ac:dyDescent="0.25">
      <c r="A348" s="18">
        <v>347</v>
      </c>
      <c r="B348" s="12" t="s">
        <v>622</v>
      </c>
      <c r="C348" s="12" t="s">
        <v>34</v>
      </c>
      <c r="D348" s="13" t="s">
        <v>623</v>
      </c>
      <c r="E348" s="19" t="s">
        <v>14</v>
      </c>
      <c r="F348" s="19">
        <v>36</v>
      </c>
      <c r="G348" s="20">
        <v>10.76</v>
      </c>
      <c r="H348" s="20">
        <f t="shared" si="5"/>
        <v>387.36</v>
      </c>
      <c r="I348" s="12" t="s">
        <v>583</v>
      </c>
      <c r="J348" s="22" t="s">
        <v>16</v>
      </c>
      <c r="K348" s="22" t="s">
        <v>17</v>
      </c>
    </row>
    <row r="349" spans="1:11" s="7" customFormat="1" ht="25.5" x14ac:dyDescent="0.25">
      <c r="A349" s="18">
        <v>348</v>
      </c>
      <c r="B349" s="12" t="s">
        <v>624</v>
      </c>
      <c r="C349" s="12" t="s">
        <v>334</v>
      </c>
      <c r="D349" s="13" t="s">
        <v>625</v>
      </c>
      <c r="E349" s="19" t="s">
        <v>191</v>
      </c>
      <c r="F349" s="19">
        <v>176</v>
      </c>
      <c r="G349" s="20">
        <v>11.36</v>
      </c>
      <c r="H349" s="20">
        <f t="shared" si="5"/>
        <v>1999.36</v>
      </c>
      <c r="I349" s="12" t="s">
        <v>583</v>
      </c>
      <c r="J349" s="22" t="s">
        <v>16</v>
      </c>
      <c r="K349" s="22" t="s">
        <v>17</v>
      </c>
    </row>
    <row r="350" spans="1:11" s="7" customFormat="1" x14ac:dyDescent="0.25">
      <c r="A350" s="18">
        <v>349</v>
      </c>
      <c r="B350" s="12" t="s">
        <v>626</v>
      </c>
      <c r="C350" s="12" t="s">
        <v>334</v>
      </c>
      <c r="D350" s="13" t="s">
        <v>627</v>
      </c>
      <c r="E350" s="19" t="s">
        <v>182</v>
      </c>
      <c r="F350" s="19">
        <v>28</v>
      </c>
      <c r="G350" s="20">
        <v>19</v>
      </c>
      <c r="H350" s="20">
        <f t="shared" si="5"/>
        <v>532</v>
      </c>
      <c r="I350" s="12" t="s">
        <v>583</v>
      </c>
      <c r="J350" s="22" t="s">
        <v>16</v>
      </c>
      <c r="K350" s="22" t="s">
        <v>17</v>
      </c>
    </row>
    <row r="351" spans="1:11" s="7" customFormat="1" ht="25.5" x14ac:dyDescent="0.25">
      <c r="A351" s="18">
        <v>350</v>
      </c>
      <c r="B351" s="12" t="s">
        <v>628</v>
      </c>
      <c r="C351" s="12" t="s">
        <v>334</v>
      </c>
      <c r="D351" s="13" t="s">
        <v>629</v>
      </c>
      <c r="E351" s="19" t="s">
        <v>191</v>
      </c>
      <c r="F351" s="19">
        <v>1172</v>
      </c>
      <c r="G351" s="20">
        <v>15.22</v>
      </c>
      <c r="H351" s="20">
        <f t="shared" si="5"/>
        <v>17837.84</v>
      </c>
      <c r="I351" s="12" t="s">
        <v>583</v>
      </c>
      <c r="J351" s="22" t="s">
        <v>16</v>
      </c>
      <c r="K351" s="22" t="s">
        <v>17</v>
      </c>
    </row>
    <row r="352" spans="1:11" s="7" customFormat="1" ht="25.5" x14ac:dyDescent="0.25">
      <c r="A352" s="18">
        <v>351</v>
      </c>
      <c r="B352" s="12" t="s">
        <v>630</v>
      </c>
      <c r="C352" s="12" t="s">
        <v>334</v>
      </c>
      <c r="D352" s="13" t="s">
        <v>631</v>
      </c>
      <c r="E352" s="19" t="s">
        <v>24</v>
      </c>
      <c r="F352" s="19">
        <v>30</v>
      </c>
      <c r="G352" s="20">
        <v>16.45</v>
      </c>
      <c r="H352" s="20">
        <f t="shared" si="5"/>
        <v>493.5</v>
      </c>
      <c r="I352" s="12" t="s">
        <v>583</v>
      </c>
      <c r="J352" s="22" t="s">
        <v>16</v>
      </c>
      <c r="K352" s="22" t="s">
        <v>17</v>
      </c>
    </row>
    <row r="353" spans="1:11" s="7" customFormat="1" ht="25.5" x14ac:dyDescent="0.25">
      <c r="A353" s="18">
        <v>352</v>
      </c>
      <c r="B353" s="12" t="s">
        <v>632</v>
      </c>
      <c r="C353" s="12" t="s">
        <v>341</v>
      </c>
      <c r="D353" s="13" t="s">
        <v>633</v>
      </c>
      <c r="E353" s="19" t="s">
        <v>236</v>
      </c>
      <c r="F353" s="19">
        <v>241</v>
      </c>
      <c r="G353" s="20">
        <v>5.83</v>
      </c>
      <c r="H353" s="20">
        <f t="shared" si="5"/>
        <v>1405.03</v>
      </c>
      <c r="I353" s="12" t="s">
        <v>583</v>
      </c>
      <c r="J353" s="22" t="s">
        <v>16</v>
      </c>
      <c r="K353" s="22" t="s">
        <v>17</v>
      </c>
    </row>
    <row r="354" spans="1:11" s="7" customFormat="1" ht="25.5" x14ac:dyDescent="0.25">
      <c r="A354" s="18">
        <v>353</v>
      </c>
      <c r="B354" s="12" t="s">
        <v>634</v>
      </c>
      <c r="C354" s="12" t="s">
        <v>341</v>
      </c>
      <c r="D354" s="13" t="s">
        <v>635</v>
      </c>
      <c r="E354" s="19" t="s">
        <v>236</v>
      </c>
      <c r="F354" s="19">
        <v>200</v>
      </c>
      <c r="G354" s="20">
        <v>3.98</v>
      </c>
      <c r="H354" s="20">
        <f t="shared" si="5"/>
        <v>796</v>
      </c>
      <c r="I354" s="12" t="s">
        <v>583</v>
      </c>
      <c r="J354" s="22" t="s">
        <v>16</v>
      </c>
      <c r="K354" s="22" t="s">
        <v>17</v>
      </c>
    </row>
    <row r="355" spans="1:11" s="7" customFormat="1" ht="25.5" x14ac:dyDescent="0.25">
      <c r="A355" s="18">
        <v>354</v>
      </c>
      <c r="B355" s="12" t="s">
        <v>636</v>
      </c>
      <c r="C355" s="12" t="s">
        <v>341</v>
      </c>
      <c r="D355" s="13" t="s">
        <v>637</v>
      </c>
      <c r="E355" s="19" t="s">
        <v>236</v>
      </c>
      <c r="F355" s="19">
        <v>195</v>
      </c>
      <c r="G355" s="20">
        <v>12.68</v>
      </c>
      <c r="H355" s="20">
        <f t="shared" si="5"/>
        <v>2472.6</v>
      </c>
      <c r="I355" s="12" t="s">
        <v>583</v>
      </c>
      <c r="J355" s="22" t="s">
        <v>16</v>
      </c>
      <c r="K355" s="22" t="s">
        <v>17</v>
      </c>
    </row>
    <row r="356" spans="1:11" s="7" customFormat="1" ht="25.5" x14ac:dyDescent="0.25">
      <c r="A356" s="18">
        <v>355</v>
      </c>
      <c r="B356" s="12" t="s">
        <v>638</v>
      </c>
      <c r="C356" s="12" t="s">
        <v>341</v>
      </c>
      <c r="D356" s="13" t="s">
        <v>639</v>
      </c>
      <c r="E356" s="19" t="s">
        <v>236</v>
      </c>
      <c r="F356" s="19">
        <v>185</v>
      </c>
      <c r="G356" s="20">
        <v>14.31</v>
      </c>
      <c r="H356" s="20">
        <f t="shared" si="5"/>
        <v>2647.35</v>
      </c>
      <c r="I356" s="12" t="s">
        <v>583</v>
      </c>
      <c r="J356" s="22" t="s">
        <v>16</v>
      </c>
      <c r="K356" s="22" t="s">
        <v>17</v>
      </c>
    </row>
    <row r="357" spans="1:11" s="7" customFormat="1" ht="25.5" x14ac:dyDescent="0.25">
      <c r="A357" s="18">
        <v>356</v>
      </c>
      <c r="B357" s="12" t="s">
        <v>640</v>
      </c>
      <c r="C357" s="12" t="s">
        <v>341</v>
      </c>
      <c r="D357" s="13" t="s">
        <v>641</v>
      </c>
      <c r="E357" s="19" t="s">
        <v>236</v>
      </c>
      <c r="F357" s="19">
        <v>246</v>
      </c>
      <c r="G357" s="20">
        <v>5.83</v>
      </c>
      <c r="H357" s="20">
        <f t="shared" si="5"/>
        <v>1434.18</v>
      </c>
      <c r="I357" s="12" t="s">
        <v>583</v>
      </c>
      <c r="J357" s="22" t="s">
        <v>16</v>
      </c>
      <c r="K357" s="22" t="s">
        <v>17</v>
      </c>
    </row>
    <row r="358" spans="1:11" s="7" customFormat="1" x14ac:dyDescent="0.25">
      <c r="A358" s="18">
        <v>357</v>
      </c>
      <c r="B358" s="12" t="s">
        <v>41</v>
      </c>
      <c r="C358" s="12" t="s">
        <v>39</v>
      </c>
      <c r="D358" s="13" t="s">
        <v>646</v>
      </c>
      <c r="E358" s="19" t="s">
        <v>14</v>
      </c>
      <c r="F358" s="19">
        <v>184</v>
      </c>
      <c r="G358" s="20">
        <v>46.64</v>
      </c>
      <c r="H358" s="20">
        <f t="shared" si="5"/>
        <v>8581.76</v>
      </c>
      <c r="I358" s="12" t="s">
        <v>583</v>
      </c>
      <c r="J358" s="22" t="s">
        <v>16</v>
      </c>
      <c r="K358" s="22" t="s">
        <v>17</v>
      </c>
    </row>
    <row r="359" spans="1:11" s="7" customFormat="1" x14ac:dyDescent="0.25">
      <c r="A359" s="18">
        <v>358</v>
      </c>
      <c r="B359" s="12" t="s">
        <v>647</v>
      </c>
      <c r="C359" s="12" t="s">
        <v>39</v>
      </c>
      <c r="D359" s="13" t="s">
        <v>648</v>
      </c>
      <c r="E359" s="19" t="s">
        <v>14</v>
      </c>
      <c r="F359" s="19">
        <v>43</v>
      </c>
      <c r="G359" s="20">
        <v>98.74</v>
      </c>
      <c r="H359" s="20">
        <f t="shared" si="5"/>
        <v>4245.82</v>
      </c>
      <c r="I359" s="12" t="s">
        <v>583</v>
      </c>
      <c r="J359" s="22" t="s">
        <v>16</v>
      </c>
      <c r="K359" s="22" t="s">
        <v>17</v>
      </c>
    </row>
    <row r="360" spans="1:11" s="7" customFormat="1" ht="25.5" x14ac:dyDescent="0.25">
      <c r="A360" s="18">
        <v>359</v>
      </c>
      <c r="B360" s="12" t="s">
        <v>649</v>
      </c>
      <c r="C360" s="12" t="s">
        <v>39</v>
      </c>
      <c r="D360" s="13" t="s">
        <v>650</v>
      </c>
      <c r="E360" s="19" t="s">
        <v>14</v>
      </c>
      <c r="F360" s="19">
        <v>23</v>
      </c>
      <c r="G360" s="20">
        <v>145.15</v>
      </c>
      <c r="H360" s="20">
        <f t="shared" si="5"/>
        <v>3338.4500000000003</v>
      </c>
      <c r="I360" s="12" t="s">
        <v>583</v>
      </c>
      <c r="J360" s="22" t="s">
        <v>16</v>
      </c>
      <c r="K360" s="22" t="s">
        <v>17</v>
      </c>
    </row>
    <row r="361" spans="1:11" s="7" customFormat="1" ht="25.5" x14ac:dyDescent="0.25">
      <c r="A361" s="18">
        <v>360</v>
      </c>
      <c r="B361" s="12" t="s">
        <v>651</v>
      </c>
      <c r="C361" s="12" t="s">
        <v>39</v>
      </c>
      <c r="D361" s="13" t="s">
        <v>652</v>
      </c>
      <c r="E361" s="19" t="s">
        <v>14</v>
      </c>
      <c r="F361" s="19">
        <v>33</v>
      </c>
      <c r="G361" s="20">
        <v>145.15</v>
      </c>
      <c r="H361" s="20">
        <f t="shared" si="5"/>
        <v>4789.95</v>
      </c>
      <c r="I361" s="12" t="s">
        <v>583</v>
      </c>
      <c r="J361" s="22" t="s">
        <v>16</v>
      </c>
      <c r="K361" s="22" t="s">
        <v>17</v>
      </c>
    </row>
    <row r="362" spans="1:11" s="7" customFormat="1" x14ac:dyDescent="0.25">
      <c r="A362" s="18">
        <v>361</v>
      </c>
      <c r="B362" s="12" t="s">
        <v>653</v>
      </c>
      <c r="C362" s="12" t="s">
        <v>39</v>
      </c>
      <c r="D362" s="13" t="s">
        <v>654</v>
      </c>
      <c r="E362" s="19" t="s">
        <v>14</v>
      </c>
      <c r="F362" s="19">
        <v>35</v>
      </c>
      <c r="G362" s="20">
        <v>31.96</v>
      </c>
      <c r="H362" s="20">
        <f t="shared" si="5"/>
        <v>1118.6000000000001</v>
      </c>
      <c r="I362" s="12" t="s">
        <v>583</v>
      </c>
      <c r="J362" s="22" t="s">
        <v>16</v>
      </c>
      <c r="K362" s="22" t="s">
        <v>17</v>
      </c>
    </row>
    <row r="363" spans="1:11" s="7" customFormat="1" x14ac:dyDescent="0.25">
      <c r="A363" s="18">
        <v>362</v>
      </c>
      <c r="B363" s="12" t="s">
        <v>655</v>
      </c>
      <c r="C363" s="12" t="s">
        <v>656</v>
      </c>
      <c r="D363" s="13" t="s">
        <v>657</v>
      </c>
      <c r="E363" s="19" t="s">
        <v>14</v>
      </c>
      <c r="F363" s="19">
        <v>215</v>
      </c>
      <c r="G363" s="20">
        <v>6.7</v>
      </c>
      <c r="H363" s="20">
        <f t="shared" si="5"/>
        <v>1440.5</v>
      </c>
      <c r="I363" s="12" t="s">
        <v>583</v>
      </c>
      <c r="J363" s="22" t="s">
        <v>16</v>
      </c>
      <c r="K363" s="22" t="s">
        <v>17</v>
      </c>
    </row>
    <row r="364" spans="1:11" s="7" customFormat="1" x14ac:dyDescent="0.25">
      <c r="A364" s="18">
        <v>363</v>
      </c>
      <c r="B364" s="12" t="s">
        <v>658</v>
      </c>
      <c r="C364" s="12" t="s">
        <v>659</v>
      </c>
      <c r="D364" s="13" t="s">
        <v>660</v>
      </c>
      <c r="E364" s="19" t="s">
        <v>24</v>
      </c>
      <c r="F364" s="19">
        <v>40</v>
      </c>
      <c r="G364" s="20">
        <v>8.7100000000000009</v>
      </c>
      <c r="H364" s="20">
        <f t="shared" si="5"/>
        <v>348.40000000000003</v>
      </c>
      <c r="I364" s="12" t="s">
        <v>583</v>
      </c>
      <c r="J364" s="22" t="s">
        <v>16</v>
      </c>
      <c r="K364" s="22" t="s">
        <v>17</v>
      </c>
    </row>
    <row r="365" spans="1:11" s="7" customFormat="1" x14ac:dyDescent="0.25">
      <c r="A365" s="18">
        <v>364</v>
      </c>
      <c r="B365" s="12" t="s">
        <v>661</v>
      </c>
      <c r="C365" s="31" t="s">
        <v>659</v>
      </c>
      <c r="D365" s="13" t="s">
        <v>662</v>
      </c>
      <c r="E365" s="19" t="s">
        <v>24</v>
      </c>
      <c r="F365" s="19">
        <v>48</v>
      </c>
      <c r="G365" s="20">
        <v>7.6</v>
      </c>
      <c r="H365" s="20">
        <f t="shared" si="5"/>
        <v>364.79999999999995</v>
      </c>
      <c r="I365" s="12" t="s">
        <v>583</v>
      </c>
      <c r="J365" s="22" t="s">
        <v>16</v>
      </c>
      <c r="K365" s="22" t="s">
        <v>17</v>
      </c>
    </row>
    <row r="366" spans="1:11" s="7" customFormat="1" ht="25.5" x14ac:dyDescent="0.25">
      <c r="A366" s="18">
        <v>365</v>
      </c>
      <c r="B366" s="12" t="s">
        <v>663</v>
      </c>
      <c r="C366" s="31" t="s">
        <v>165</v>
      </c>
      <c r="D366" s="13" t="s">
        <v>664</v>
      </c>
      <c r="E366" s="19" t="s">
        <v>14</v>
      </c>
      <c r="F366" s="19">
        <v>125</v>
      </c>
      <c r="G366" s="20">
        <v>39.6</v>
      </c>
      <c r="H366" s="20">
        <f t="shared" si="5"/>
        <v>4950</v>
      </c>
      <c r="I366" s="12" t="s">
        <v>583</v>
      </c>
      <c r="J366" s="22" t="s">
        <v>16</v>
      </c>
      <c r="K366" s="22" t="s">
        <v>17</v>
      </c>
    </row>
    <row r="367" spans="1:11" ht="12.75" customHeight="1" x14ac:dyDescent="0.25">
      <c r="A367" s="18">
        <v>366</v>
      </c>
      <c r="B367" s="3" t="s">
        <v>665</v>
      </c>
      <c r="C367" s="3" t="s">
        <v>205</v>
      </c>
      <c r="D367" s="13" t="s">
        <v>666</v>
      </c>
      <c r="E367" s="19" t="s">
        <v>14</v>
      </c>
      <c r="F367" s="19">
        <v>32</v>
      </c>
      <c r="G367" s="20">
        <v>427.4</v>
      </c>
      <c r="H367" s="20">
        <f t="shared" si="5"/>
        <v>13676.8</v>
      </c>
      <c r="I367" s="12" t="s">
        <v>583</v>
      </c>
      <c r="J367" s="22" t="s">
        <v>16</v>
      </c>
      <c r="K367" s="22" t="s">
        <v>17</v>
      </c>
    </row>
    <row r="368" spans="1:11" s="7" customFormat="1" x14ac:dyDescent="0.25">
      <c r="A368" s="18">
        <v>367</v>
      </c>
      <c r="B368" s="12" t="s">
        <v>667</v>
      </c>
      <c r="C368" s="12" t="s">
        <v>205</v>
      </c>
      <c r="D368" s="13" t="s">
        <v>668</v>
      </c>
      <c r="E368" s="19" t="s">
        <v>14</v>
      </c>
      <c r="F368" s="19">
        <v>115</v>
      </c>
      <c r="G368" s="20">
        <v>2.64</v>
      </c>
      <c r="H368" s="20">
        <f t="shared" si="5"/>
        <v>303.60000000000002</v>
      </c>
      <c r="I368" s="12" t="s">
        <v>583</v>
      </c>
      <c r="J368" s="22" t="s">
        <v>16</v>
      </c>
      <c r="K368" s="22" t="s">
        <v>17</v>
      </c>
    </row>
    <row r="369" spans="1:11" s="7" customFormat="1" x14ac:dyDescent="0.25">
      <c r="A369" s="18">
        <v>368</v>
      </c>
      <c r="B369" s="12" t="s">
        <v>669</v>
      </c>
      <c r="C369" s="12" t="s">
        <v>205</v>
      </c>
      <c r="D369" s="13" t="s">
        <v>670</v>
      </c>
      <c r="E369" s="19" t="s">
        <v>14</v>
      </c>
      <c r="F369" s="19">
        <v>125</v>
      </c>
      <c r="G369" s="20">
        <v>2.64</v>
      </c>
      <c r="H369" s="20">
        <f t="shared" si="5"/>
        <v>330</v>
      </c>
      <c r="I369" s="12" t="s">
        <v>583</v>
      </c>
      <c r="J369" s="22" t="s">
        <v>16</v>
      </c>
      <c r="K369" s="22" t="s">
        <v>17</v>
      </c>
    </row>
    <row r="370" spans="1:11" s="7" customFormat="1" x14ac:dyDescent="0.25">
      <c r="A370" s="18">
        <v>369</v>
      </c>
      <c r="B370" s="12" t="s">
        <v>671</v>
      </c>
      <c r="C370" s="12" t="s">
        <v>205</v>
      </c>
      <c r="D370" s="13" t="s">
        <v>672</v>
      </c>
      <c r="E370" s="19" t="s">
        <v>14</v>
      </c>
      <c r="F370" s="19">
        <v>125</v>
      </c>
      <c r="G370" s="20">
        <v>5.64</v>
      </c>
      <c r="H370" s="20">
        <f t="shared" si="5"/>
        <v>705</v>
      </c>
      <c r="I370" s="12" t="s">
        <v>583</v>
      </c>
      <c r="J370" s="22" t="s">
        <v>16</v>
      </c>
      <c r="K370" s="22" t="s">
        <v>17</v>
      </c>
    </row>
    <row r="371" spans="1:11" s="7" customFormat="1" x14ac:dyDescent="0.25">
      <c r="A371" s="18">
        <v>370</v>
      </c>
      <c r="B371" s="12" t="s">
        <v>673</v>
      </c>
      <c r="C371" s="12" t="s">
        <v>205</v>
      </c>
      <c r="D371" s="13" t="s">
        <v>674</v>
      </c>
      <c r="E371" s="19" t="s">
        <v>14</v>
      </c>
      <c r="F371" s="19">
        <v>125</v>
      </c>
      <c r="G371" s="20">
        <v>5.64</v>
      </c>
      <c r="H371" s="20">
        <f t="shared" si="5"/>
        <v>705</v>
      </c>
      <c r="I371" s="12" t="s">
        <v>583</v>
      </c>
      <c r="J371" s="22" t="s">
        <v>16</v>
      </c>
      <c r="K371" s="22" t="s">
        <v>17</v>
      </c>
    </row>
    <row r="372" spans="1:11" s="7" customFormat="1" x14ac:dyDescent="0.25">
      <c r="A372" s="18">
        <v>371</v>
      </c>
      <c r="B372" s="12" t="s">
        <v>675</v>
      </c>
      <c r="C372" s="12" t="s">
        <v>205</v>
      </c>
      <c r="D372" s="13" t="s">
        <v>676</v>
      </c>
      <c r="E372" s="19" t="s">
        <v>14</v>
      </c>
      <c r="F372" s="19">
        <v>125</v>
      </c>
      <c r="G372" s="20">
        <v>5.64</v>
      </c>
      <c r="H372" s="20">
        <f t="shared" si="5"/>
        <v>705</v>
      </c>
      <c r="I372" s="12" t="s">
        <v>583</v>
      </c>
      <c r="J372" s="22" t="s">
        <v>16</v>
      </c>
      <c r="K372" s="22" t="s">
        <v>17</v>
      </c>
    </row>
    <row r="373" spans="1:11" s="7" customFormat="1" x14ac:dyDescent="0.25">
      <c r="A373" s="18">
        <v>372</v>
      </c>
      <c r="B373" s="12" t="s">
        <v>677</v>
      </c>
      <c r="C373" s="12" t="s">
        <v>205</v>
      </c>
      <c r="D373" s="13" t="s">
        <v>678</v>
      </c>
      <c r="E373" s="19" t="s">
        <v>14</v>
      </c>
      <c r="F373" s="19">
        <v>125</v>
      </c>
      <c r="G373" s="20">
        <v>5.64</v>
      </c>
      <c r="H373" s="20">
        <f t="shared" si="5"/>
        <v>705</v>
      </c>
      <c r="I373" s="12" t="s">
        <v>583</v>
      </c>
      <c r="J373" s="22" t="s">
        <v>16</v>
      </c>
      <c r="K373" s="22" t="s">
        <v>17</v>
      </c>
    </row>
    <row r="374" spans="1:11" s="7" customFormat="1" x14ac:dyDescent="0.25">
      <c r="A374" s="18">
        <v>373</v>
      </c>
      <c r="B374" s="12" t="s">
        <v>679</v>
      </c>
      <c r="C374" s="12" t="s">
        <v>205</v>
      </c>
      <c r="D374" s="13" t="s">
        <v>680</v>
      </c>
      <c r="E374" s="19" t="s">
        <v>14</v>
      </c>
      <c r="F374" s="19">
        <v>124</v>
      </c>
      <c r="G374" s="20">
        <v>6.85</v>
      </c>
      <c r="H374" s="20">
        <f t="shared" si="5"/>
        <v>849.4</v>
      </c>
      <c r="I374" s="12" t="s">
        <v>583</v>
      </c>
      <c r="J374" s="8" t="s">
        <v>16</v>
      </c>
      <c r="K374" s="22" t="s">
        <v>17</v>
      </c>
    </row>
    <row r="375" spans="1:11" s="7" customFormat="1" ht="25.5" x14ac:dyDescent="0.25">
      <c r="A375" s="18">
        <v>374</v>
      </c>
      <c r="B375" s="12" t="s">
        <v>681</v>
      </c>
      <c r="C375" s="12" t="s">
        <v>180</v>
      </c>
      <c r="D375" s="13" t="s">
        <v>682</v>
      </c>
      <c r="E375" s="19" t="s">
        <v>14</v>
      </c>
      <c r="F375" s="19">
        <v>500</v>
      </c>
      <c r="G375" s="20">
        <v>17.899999999999999</v>
      </c>
      <c r="H375" s="20">
        <f t="shared" si="5"/>
        <v>8950</v>
      </c>
      <c r="I375" s="12" t="s">
        <v>583</v>
      </c>
      <c r="J375" s="22" t="s">
        <v>16</v>
      </c>
      <c r="K375" s="22" t="s">
        <v>17</v>
      </c>
    </row>
    <row r="376" spans="1:11" s="7" customFormat="1" x14ac:dyDescent="0.25">
      <c r="A376" s="18">
        <v>375</v>
      </c>
      <c r="B376" s="12" t="s">
        <v>683</v>
      </c>
      <c r="C376" s="12" t="s">
        <v>400</v>
      </c>
      <c r="D376" s="12" t="s">
        <v>684</v>
      </c>
      <c r="E376" s="19" t="s">
        <v>236</v>
      </c>
      <c r="F376" s="19">
        <v>6</v>
      </c>
      <c r="G376" s="20">
        <v>14.1</v>
      </c>
      <c r="H376" s="20">
        <f t="shared" si="5"/>
        <v>84.6</v>
      </c>
      <c r="I376" s="14" t="s">
        <v>583</v>
      </c>
      <c r="J376" s="22" t="s">
        <v>16</v>
      </c>
      <c r="K376" s="22" t="s">
        <v>17</v>
      </c>
    </row>
    <row r="377" spans="1:11" s="7" customFormat="1" ht="25.5" x14ac:dyDescent="0.25">
      <c r="A377" s="18">
        <v>376</v>
      </c>
      <c r="B377" s="12" t="s">
        <v>685</v>
      </c>
      <c r="C377" s="12" t="s">
        <v>205</v>
      </c>
      <c r="D377" s="13" t="s">
        <v>686</v>
      </c>
      <c r="E377" s="19" t="s">
        <v>14</v>
      </c>
      <c r="F377" s="19">
        <v>2</v>
      </c>
      <c r="G377" s="20">
        <v>199.94</v>
      </c>
      <c r="H377" s="20">
        <f t="shared" si="5"/>
        <v>399.88</v>
      </c>
      <c r="I377" s="12" t="s">
        <v>583</v>
      </c>
      <c r="J377" s="22" t="s">
        <v>16</v>
      </c>
      <c r="K377" s="22" t="s">
        <v>17</v>
      </c>
    </row>
    <row r="378" spans="1:11" s="7" customFormat="1" ht="25.5" x14ac:dyDescent="0.25">
      <c r="A378" s="18">
        <v>377</v>
      </c>
      <c r="B378" s="12" t="s">
        <v>687</v>
      </c>
      <c r="C378" s="12" t="s">
        <v>205</v>
      </c>
      <c r="D378" s="13" t="s">
        <v>688</v>
      </c>
      <c r="E378" s="19" t="s">
        <v>14</v>
      </c>
      <c r="F378" s="19">
        <v>6</v>
      </c>
      <c r="G378" s="20">
        <v>182.23</v>
      </c>
      <c r="H378" s="20">
        <f t="shared" si="5"/>
        <v>1093.3799999999999</v>
      </c>
      <c r="I378" s="12" t="s">
        <v>583</v>
      </c>
      <c r="J378" s="22" t="s">
        <v>16</v>
      </c>
      <c r="K378" s="22" t="s">
        <v>17</v>
      </c>
    </row>
    <row r="379" spans="1:11" s="7" customFormat="1" x14ac:dyDescent="0.25">
      <c r="A379" s="18">
        <v>378</v>
      </c>
      <c r="B379" s="12" t="s">
        <v>689</v>
      </c>
      <c r="C379" s="12" t="s">
        <v>205</v>
      </c>
      <c r="D379" s="13" t="s">
        <v>690</v>
      </c>
      <c r="E379" s="19" t="s">
        <v>14</v>
      </c>
      <c r="F379" s="19">
        <v>2</v>
      </c>
      <c r="G379" s="20">
        <v>60.2</v>
      </c>
      <c r="H379" s="20">
        <f t="shared" si="5"/>
        <v>120.4</v>
      </c>
      <c r="I379" s="12" t="s">
        <v>583</v>
      </c>
      <c r="J379" s="22" t="s">
        <v>16</v>
      </c>
      <c r="K379" s="22" t="s">
        <v>17</v>
      </c>
    </row>
    <row r="380" spans="1:11" s="7" customFormat="1" x14ac:dyDescent="0.25">
      <c r="A380" s="18">
        <v>379</v>
      </c>
      <c r="B380" s="12" t="s">
        <v>691</v>
      </c>
      <c r="C380" s="12" t="s">
        <v>205</v>
      </c>
      <c r="D380" s="13" t="s">
        <v>692</v>
      </c>
      <c r="E380" s="19" t="s">
        <v>14</v>
      </c>
      <c r="F380" s="19">
        <v>3</v>
      </c>
      <c r="G380" s="20">
        <v>57.29</v>
      </c>
      <c r="H380" s="20">
        <f t="shared" si="5"/>
        <v>171.87</v>
      </c>
      <c r="I380" s="12" t="s">
        <v>583</v>
      </c>
      <c r="J380" s="22" t="s">
        <v>16</v>
      </c>
      <c r="K380" s="22" t="s">
        <v>17</v>
      </c>
    </row>
    <row r="381" spans="1:11" s="7" customFormat="1" x14ac:dyDescent="0.25">
      <c r="A381" s="18">
        <v>380</v>
      </c>
      <c r="B381" s="12" t="s">
        <v>693</v>
      </c>
      <c r="C381" s="12" t="s">
        <v>205</v>
      </c>
      <c r="D381" s="13" t="s">
        <v>694</v>
      </c>
      <c r="E381" s="19" t="s">
        <v>14</v>
      </c>
      <c r="F381" s="19">
        <v>3</v>
      </c>
      <c r="G381" s="20">
        <v>55.35</v>
      </c>
      <c r="H381" s="20">
        <f t="shared" si="5"/>
        <v>166.05</v>
      </c>
      <c r="I381" s="12" t="s">
        <v>583</v>
      </c>
      <c r="J381" s="22" t="s">
        <v>16</v>
      </c>
      <c r="K381" s="22" t="s">
        <v>17</v>
      </c>
    </row>
    <row r="382" spans="1:11" s="7" customFormat="1" x14ac:dyDescent="0.25">
      <c r="A382" s="18">
        <v>381</v>
      </c>
      <c r="B382" s="12" t="s">
        <v>695</v>
      </c>
      <c r="C382" s="12" t="s">
        <v>205</v>
      </c>
      <c r="D382" s="13" t="s">
        <v>696</v>
      </c>
      <c r="E382" s="19" t="s">
        <v>14</v>
      </c>
      <c r="F382" s="19">
        <v>2</v>
      </c>
      <c r="G382" s="20">
        <v>75.790000000000006</v>
      </c>
      <c r="H382" s="20">
        <f t="shared" si="5"/>
        <v>151.58000000000001</v>
      </c>
      <c r="I382" s="12" t="s">
        <v>583</v>
      </c>
      <c r="J382" s="22" t="s">
        <v>16</v>
      </c>
      <c r="K382" s="22" t="s">
        <v>17</v>
      </c>
    </row>
    <row r="383" spans="1:11" s="7" customFormat="1" ht="25.5" x14ac:dyDescent="0.25">
      <c r="A383" s="18">
        <v>382</v>
      </c>
      <c r="B383" s="12" t="s">
        <v>697</v>
      </c>
      <c r="C383" s="12" t="s">
        <v>115</v>
      </c>
      <c r="D383" s="13" t="s">
        <v>698</v>
      </c>
      <c r="E383" s="19" t="s">
        <v>14</v>
      </c>
      <c r="F383" s="19">
        <v>7</v>
      </c>
      <c r="G383" s="20">
        <v>9.9700000000000006</v>
      </c>
      <c r="H383" s="20">
        <f t="shared" si="5"/>
        <v>69.790000000000006</v>
      </c>
      <c r="I383" s="12" t="s">
        <v>583</v>
      </c>
      <c r="J383" s="22" t="s">
        <v>16</v>
      </c>
      <c r="K383" s="22" t="s">
        <v>17</v>
      </c>
    </row>
    <row r="384" spans="1:11" s="7" customFormat="1" ht="25.5" x14ac:dyDescent="0.25">
      <c r="A384" s="18">
        <v>383</v>
      </c>
      <c r="B384" s="12" t="s">
        <v>699</v>
      </c>
      <c r="C384" s="12" t="s">
        <v>39</v>
      </c>
      <c r="D384" s="12" t="s">
        <v>700</v>
      </c>
      <c r="E384" s="19" t="s">
        <v>14</v>
      </c>
      <c r="F384" s="19">
        <v>19</v>
      </c>
      <c r="G384" s="20">
        <v>27.09</v>
      </c>
      <c r="H384" s="20">
        <f t="shared" si="5"/>
        <v>514.71</v>
      </c>
      <c r="I384" s="14" t="s">
        <v>583</v>
      </c>
      <c r="J384" s="22" t="s">
        <v>16</v>
      </c>
      <c r="K384" s="22" t="s">
        <v>17</v>
      </c>
    </row>
    <row r="385" spans="1:11" s="7" customFormat="1" x14ac:dyDescent="0.25">
      <c r="A385" s="18">
        <v>384</v>
      </c>
      <c r="B385" s="12" t="s">
        <v>701</v>
      </c>
      <c r="C385" s="12" t="s">
        <v>39</v>
      </c>
      <c r="D385" s="13" t="s">
        <v>702</v>
      </c>
      <c r="E385" s="19" t="s">
        <v>14</v>
      </c>
      <c r="F385" s="19">
        <v>327</v>
      </c>
      <c r="G385" s="20">
        <v>14.43</v>
      </c>
      <c r="H385" s="20">
        <f t="shared" si="5"/>
        <v>4718.6099999999997</v>
      </c>
      <c r="I385" s="12" t="s">
        <v>583</v>
      </c>
      <c r="J385" s="22" t="s">
        <v>16</v>
      </c>
      <c r="K385" s="22" t="s">
        <v>17</v>
      </c>
    </row>
    <row r="386" spans="1:11" s="7" customFormat="1" ht="25.5" x14ac:dyDescent="0.25">
      <c r="A386" s="18">
        <v>385</v>
      </c>
      <c r="B386" s="12" t="s">
        <v>703</v>
      </c>
      <c r="C386" s="12" t="s">
        <v>186</v>
      </c>
      <c r="D386" s="13" t="s">
        <v>704</v>
      </c>
      <c r="E386" s="19" t="s">
        <v>14</v>
      </c>
      <c r="F386" s="19">
        <v>998</v>
      </c>
      <c r="G386" s="20">
        <v>6.97</v>
      </c>
      <c r="H386" s="20">
        <f t="shared" ref="H386:H449" si="6">F386*G386</f>
        <v>6956.0599999999995</v>
      </c>
      <c r="I386" s="12" t="s">
        <v>583</v>
      </c>
      <c r="J386" s="22" t="s">
        <v>16</v>
      </c>
      <c r="K386" s="22" t="s">
        <v>17</v>
      </c>
    </row>
    <row r="387" spans="1:11" s="7" customFormat="1" ht="25.5" x14ac:dyDescent="0.25">
      <c r="A387" s="18">
        <v>386</v>
      </c>
      <c r="B387" s="12" t="s">
        <v>705</v>
      </c>
      <c r="C387" s="12" t="s">
        <v>186</v>
      </c>
      <c r="D387" s="13" t="s">
        <v>706</v>
      </c>
      <c r="E387" s="19" t="s">
        <v>14</v>
      </c>
      <c r="F387" s="19">
        <v>492</v>
      </c>
      <c r="G387" s="20">
        <v>9.17</v>
      </c>
      <c r="H387" s="20">
        <f t="shared" si="6"/>
        <v>4511.6400000000003</v>
      </c>
      <c r="I387" s="12" t="s">
        <v>583</v>
      </c>
      <c r="J387" s="22" t="s">
        <v>16</v>
      </c>
      <c r="K387" s="22" t="s">
        <v>17</v>
      </c>
    </row>
    <row r="388" spans="1:11" s="7" customFormat="1" x14ac:dyDescent="0.25">
      <c r="A388" s="18">
        <v>387</v>
      </c>
      <c r="B388" s="12" t="s">
        <v>707</v>
      </c>
      <c r="C388" s="12" t="s">
        <v>425</v>
      </c>
      <c r="D388" s="12" t="s">
        <v>708</v>
      </c>
      <c r="E388" s="19" t="s">
        <v>24</v>
      </c>
      <c r="F388" s="19">
        <v>1</v>
      </c>
      <c r="G388" s="20">
        <v>8.0299999999999994</v>
      </c>
      <c r="H388" s="20">
        <f t="shared" si="6"/>
        <v>8.0299999999999994</v>
      </c>
      <c r="I388" s="14" t="s">
        <v>583</v>
      </c>
      <c r="J388" s="22" t="s">
        <v>16</v>
      </c>
      <c r="K388" s="22" t="s">
        <v>17</v>
      </c>
    </row>
    <row r="389" spans="1:11" s="7" customFormat="1" x14ac:dyDescent="0.25">
      <c r="A389" s="18">
        <v>388</v>
      </c>
      <c r="B389" s="12" t="s">
        <v>709</v>
      </c>
      <c r="C389" s="12" t="s">
        <v>425</v>
      </c>
      <c r="D389" s="12" t="s">
        <v>710</v>
      </c>
      <c r="E389" s="19" t="s">
        <v>14</v>
      </c>
      <c r="F389" s="19">
        <v>34</v>
      </c>
      <c r="G389" s="20">
        <v>23.5</v>
      </c>
      <c r="H389" s="20">
        <f t="shared" si="6"/>
        <v>799</v>
      </c>
      <c r="I389" s="14" t="s">
        <v>583</v>
      </c>
      <c r="J389" s="22" t="s">
        <v>16</v>
      </c>
      <c r="K389" s="22" t="s">
        <v>17</v>
      </c>
    </row>
    <row r="390" spans="1:11" s="7" customFormat="1" ht="25.5" x14ac:dyDescent="0.25">
      <c r="A390" s="18">
        <v>389</v>
      </c>
      <c r="B390" s="12" t="s">
        <v>711</v>
      </c>
      <c r="C390" s="12" t="s">
        <v>425</v>
      </c>
      <c r="D390" s="13" t="s">
        <v>712</v>
      </c>
      <c r="E390" s="19" t="s">
        <v>14</v>
      </c>
      <c r="F390" s="19">
        <v>8</v>
      </c>
      <c r="G390" s="20">
        <v>78.02</v>
      </c>
      <c r="H390" s="20">
        <f t="shared" si="6"/>
        <v>624.16</v>
      </c>
      <c r="I390" s="12" t="s">
        <v>583</v>
      </c>
      <c r="J390" s="22" t="s">
        <v>16</v>
      </c>
      <c r="K390" s="22" t="s">
        <v>17</v>
      </c>
    </row>
    <row r="391" spans="1:11" s="7" customFormat="1" x14ac:dyDescent="0.25">
      <c r="A391" s="18">
        <v>390</v>
      </c>
      <c r="B391" s="12" t="s">
        <v>713</v>
      </c>
      <c r="C391" s="12" t="s">
        <v>714</v>
      </c>
      <c r="D391" s="13" t="s">
        <v>715</v>
      </c>
      <c r="E391" s="19" t="s">
        <v>191</v>
      </c>
      <c r="F391" s="19">
        <v>7</v>
      </c>
      <c r="G391" s="20">
        <v>600</v>
      </c>
      <c r="H391" s="20">
        <f t="shared" si="6"/>
        <v>4200</v>
      </c>
      <c r="I391" s="12" t="s">
        <v>583</v>
      </c>
      <c r="J391" s="22" t="s">
        <v>16</v>
      </c>
      <c r="K391" s="22" t="s">
        <v>17</v>
      </c>
    </row>
    <row r="392" spans="1:11" s="7" customFormat="1" x14ac:dyDescent="0.25">
      <c r="A392" s="18">
        <v>391</v>
      </c>
      <c r="B392" s="12" t="s">
        <v>716</v>
      </c>
      <c r="C392" s="12" t="s">
        <v>717</v>
      </c>
      <c r="D392" s="13" t="s">
        <v>718</v>
      </c>
      <c r="E392" s="19" t="s">
        <v>191</v>
      </c>
      <c r="F392" s="19">
        <v>59</v>
      </c>
      <c r="G392" s="20">
        <v>100</v>
      </c>
      <c r="H392" s="20">
        <f t="shared" si="6"/>
        <v>5900</v>
      </c>
      <c r="I392" s="12" t="s">
        <v>583</v>
      </c>
      <c r="J392" s="22" t="s">
        <v>16</v>
      </c>
      <c r="K392" s="22" t="s">
        <v>17</v>
      </c>
    </row>
    <row r="393" spans="1:11" s="7" customFormat="1" ht="25.5" x14ac:dyDescent="0.25">
      <c r="A393" s="18">
        <v>392</v>
      </c>
      <c r="B393" s="12" t="s">
        <v>719</v>
      </c>
      <c r="C393" s="12" t="s">
        <v>140</v>
      </c>
      <c r="D393" s="13" t="s">
        <v>720</v>
      </c>
      <c r="E393" s="19" t="s">
        <v>14</v>
      </c>
      <c r="F393" s="19">
        <v>400</v>
      </c>
      <c r="G393" s="20">
        <v>7.03</v>
      </c>
      <c r="H393" s="20">
        <f t="shared" si="6"/>
        <v>2812</v>
      </c>
      <c r="I393" s="12" t="s">
        <v>583</v>
      </c>
      <c r="J393" s="22" t="s">
        <v>16</v>
      </c>
      <c r="K393" s="22" t="s">
        <v>17</v>
      </c>
    </row>
    <row r="394" spans="1:11" s="7" customFormat="1" x14ac:dyDescent="0.25">
      <c r="A394" s="18">
        <v>393</v>
      </c>
      <c r="B394" s="12" t="s">
        <v>721</v>
      </c>
      <c r="C394" s="12" t="s">
        <v>39</v>
      </c>
      <c r="D394" s="12" t="s">
        <v>722</v>
      </c>
      <c r="E394" s="19" t="s">
        <v>14</v>
      </c>
      <c r="F394" s="19">
        <v>6</v>
      </c>
      <c r="G394" s="20">
        <v>9.81</v>
      </c>
      <c r="H394" s="20">
        <f t="shared" si="6"/>
        <v>58.86</v>
      </c>
      <c r="I394" s="14" t="s">
        <v>583</v>
      </c>
      <c r="J394" s="22" t="s">
        <v>16</v>
      </c>
      <c r="K394" s="22" t="s">
        <v>17</v>
      </c>
    </row>
    <row r="395" spans="1:11" s="7" customFormat="1" ht="25.5" x14ac:dyDescent="0.25">
      <c r="A395" s="18">
        <v>394</v>
      </c>
      <c r="B395" s="12" t="s">
        <v>723</v>
      </c>
      <c r="C395" s="12" t="s">
        <v>39</v>
      </c>
      <c r="D395" s="13" t="s">
        <v>724</v>
      </c>
      <c r="E395" s="19" t="s">
        <v>14</v>
      </c>
      <c r="F395" s="19">
        <v>18</v>
      </c>
      <c r="G395" s="20">
        <v>158.15</v>
      </c>
      <c r="H395" s="20">
        <f t="shared" si="6"/>
        <v>2846.7000000000003</v>
      </c>
      <c r="I395" s="14" t="s">
        <v>583</v>
      </c>
      <c r="J395" s="22" t="s">
        <v>16</v>
      </c>
      <c r="K395" s="22" t="s">
        <v>17</v>
      </c>
    </row>
    <row r="396" spans="1:11" s="7" customFormat="1" x14ac:dyDescent="0.25">
      <c r="A396" s="18">
        <v>395</v>
      </c>
      <c r="B396" s="12" t="s">
        <v>725</v>
      </c>
      <c r="C396" s="12" t="s">
        <v>726</v>
      </c>
      <c r="D396" s="12" t="s">
        <v>727</v>
      </c>
      <c r="E396" s="19" t="s">
        <v>14</v>
      </c>
      <c r="F396" s="19">
        <v>43</v>
      </c>
      <c r="G396" s="20">
        <v>31.33</v>
      </c>
      <c r="H396" s="20">
        <f t="shared" si="6"/>
        <v>1347.1899999999998</v>
      </c>
      <c r="I396" s="14" t="s">
        <v>583</v>
      </c>
      <c r="J396" s="22" t="s">
        <v>16</v>
      </c>
      <c r="K396" s="22" t="s">
        <v>17</v>
      </c>
    </row>
    <row r="397" spans="1:11" s="7" customFormat="1" x14ac:dyDescent="0.25">
      <c r="A397" s="18">
        <v>396</v>
      </c>
      <c r="B397" s="12" t="s">
        <v>728</v>
      </c>
      <c r="C397" s="12" t="s">
        <v>726</v>
      </c>
      <c r="D397" s="12" t="s">
        <v>729</v>
      </c>
      <c r="E397" s="19" t="s">
        <v>14</v>
      </c>
      <c r="F397" s="19">
        <v>20</v>
      </c>
      <c r="G397" s="20">
        <v>79.650000000000006</v>
      </c>
      <c r="H397" s="20">
        <f t="shared" si="6"/>
        <v>1593</v>
      </c>
      <c r="I397" s="14" t="s">
        <v>583</v>
      </c>
      <c r="J397" s="22" t="s">
        <v>16</v>
      </c>
      <c r="K397" s="22" t="s">
        <v>17</v>
      </c>
    </row>
    <row r="398" spans="1:11" s="7" customFormat="1" ht="25.5" x14ac:dyDescent="0.25">
      <c r="A398" s="18">
        <v>397</v>
      </c>
      <c r="B398" s="12" t="s">
        <v>730</v>
      </c>
      <c r="C398" s="12" t="s">
        <v>731</v>
      </c>
      <c r="D398" s="13">
        <v>239</v>
      </c>
      <c r="E398" s="19" t="s">
        <v>14</v>
      </c>
      <c r="F398" s="19">
        <v>1</v>
      </c>
      <c r="G398" s="20">
        <v>8.19</v>
      </c>
      <c r="H398" s="20">
        <f t="shared" si="6"/>
        <v>8.19</v>
      </c>
      <c r="I398" s="12" t="s">
        <v>732</v>
      </c>
      <c r="J398" s="22" t="s">
        <v>16</v>
      </c>
      <c r="K398" s="22" t="s">
        <v>17</v>
      </c>
    </row>
    <row r="399" spans="1:11" s="7" customFormat="1" ht="25.5" x14ac:dyDescent="0.25">
      <c r="A399" s="18">
        <v>398</v>
      </c>
      <c r="B399" s="12" t="s">
        <v>733</v>
      </c>
      <c r="C399" s="12" t="s">
        <v>734</v>
      </c>
      <c r="D399" s="13">
        <v>424042</v>
      </c>
      <c r="E399" s="19" t="s">
        <v>14</v>
      </c>
      <c r="F399" s="19">
        <v>2</v>
      </c>
      <c r="G399" s="20">
        <v>8.41</v>
      </c>
      <c r="H399" s="20">
        <f t="shared" si="6"/>
        <v>16.82</v>
      </c>
      <c r="I399" s="12" t="s">
        <v>732</v>
      </c>
      <c r="J399" s="22" t="s">
        <v>16</v>
      </c>
      <c r="K399" s="22" t="s">
        <v>17</v>
      </c>
    </row>
    <row r="400" spans="1:11" s="7" customFormat="1" ht="25.5" x14ac:dyDescent="0.25">
      <c r="A400" s="18">
        <v>399</v>
      </c>
      <c r="B400" s="12" t="s">
        <v>735</v>
      </c>
      <c r="C400" s="12" t="s">
        <v>736</v>
      </c>
      <c r="D400" s="13" t="s">
        <v>737</v>
      </c>
      <c r="E400" s="19" t="s">
        <v>14</v>
      </c>
      <c r="F400" s="19">
        <v>1</v>
      </c>
      <c r="G400" s="20">
        <v>12.75</v>
      </c>
      <c r="H400" s="20">
        <f t="shared" si="6"/>
        <v>12.75</v>
      </c>
      <c r="I400" s="12" t="s">
        <v>732</v>
      </c>
      <c r="J400" s="22" t="s">
        <v>16</v>
      </c>
      <c r="K400" s="22" t="s">
        <v>17</v>
      </c>
    </row>
    <row r="401" spans="1:11" s="7" customFormat="1" ht="25.5" x14ac:dyDescent="0.25">
      <c r="A401" s="18">
        <v>400</v>
      </c>
      <c r="B401" s="12" t="s">
        <v>738</v>
      </c>
      <c r="C401" s="12" t="s">
        <v>739</v>
      </c>
      <c r="D401" s="13" t="s">
        <v>740</v>
      </c>
      <c r="E401" s="19" t="s">
        <v>14</v>
      </c>
      <c r="F401" s="19">
        <v>1</v>
      </c>
      <c r="G401" s="20">
        <v>14.25</v>
      </c>
      <c r="H401" s="20">
        <f t="shared" si="6"/>
        <v>14.25</v>
      </c>
      <c r="I401" s="12" t="s">
        <v>732</v>
      </c>
      <c r="J401" s="22" t="s">
        <v>16</v>
      </c>
      <c r="K401" s="22" t="s">
        <v>17</v>
      </c>
    </row>
    <row r="402" spans="1:11" s="7" customFormat="1" x14ac:dyDescent="0.25">
      <c r="A402" s="18">
        <v>401</v>
      </c>
      <c r="B402" s="12" t="s">
        <v>1431</v>
      </c>
      <c r="C402" s="12" t="s">
        <v>1296</v>
      </c>
      <c r="D402" s="13" t="s">
        <v>1432</v>
      </c>
      <c r="E402" s="19" t="s">
        <v>68</v>
      </c>
      <c r="F402" s="19">
        <v>100</v>
      </c>
      <c r="G402" s="20">
        <v>1.95</v>
      </c>
      <c r="H402" s="20">
        <f t="shared" si="6"/>
        <v>195</v>
      </c>
      <c r="I402" s="12" t="s">
        <v>743</v>
      </c>
      <c r="J402" s="22" t="s">
        <v>16</v>
      </c>
      <c r="K402" s="22" t="s">
        <v>17</v>
      </c>
    </row>
    <row r="403" spans="1:11" s="7" customFormat="1" ht="25.5" x14ac:dyDescent="0.25">
      <c r="A403" s="18">
        <v>402</v>
      </c>
      <c r="B403" s="12" t="s">
        <v>1368</v>
      </c>
      <c r="C403" s="12" t="s">
        <v>1296</v>
      </c>
      <c r="D403" s="13" t="s">
        <v>1369</v>
      </c>
      <c r="E403" s="19" t="s">
        <v>236</v>
      </c>
      <c r="F403" s="19">
        <v>5</v>
      </c>
      <c r="G403" s="20">
        <v>63.48</v>
      </c>
      <c r="H403" s="20">
        <f t="shared" si="6"/>
        <v>317.39999999999998</v>
      </c>
      <c r="I403" s="12" t="s">
        <v>743</v>
      </c>
      <c r="J403" s="22" t="s">
        <v>16</v>
      </c>
      <c r="K403" s="22" t="s">
        <v>17</v>
      </c>
    </row>
    <row r="404" spans="1:11" s="7" customFormat="1" x14ac:dyDescent="0.25">
      <c r="A404" s="18">
        <v>403</v>
      </c>
      <c r="B404" s="12" t="s">
        <v>1444</v>
      </c>
      <c r="C404" s="12" t="s">
        <v>1296</v>
      </c>
      <c r="D404" s="13" t="s">
        <v>1445</v>
      </c>
      <c r="E404" s="19" t="s">
        <v>68</v>
      </c>
      <c r="F404" s="19">
        <v>20</v>
      </c>
      <c r="G404" s="20">
        <v>6.3599999999999994</v>
      </c>
      <c r="H404" s="20">
        <f t="shared" si="6"/>
        <v>127.19999999999999</v>
      </c>
      <c r="I404" s="12" t="s">
        <v>743</v>
      </c>
      <c r="J404" s="22" t="s">
        <v>16</v>
      </c>
      <c r="K404" s="22" t="s">
        <v>17</v>
      </c>
    </row>
    <row r="405" spans="1:11" s="7" customFormat="1" x14ac:dyDescent="0.25">
      <c r="A405" s="18">
        <v>404</v>
      </c>
      <c r="B405" s="12" t="s">
        <v>1429</v>
      </c>
      <c r="C405" s="12" t="s">
        <v>1296</v>
      </c>
      <c r="D405" s="13" t="s">
        <v>1430</v>
      </c>
      <c r="E405" s="19" t="s">
        <v>68</v>
      </c>
      <c r="F405" s="19">
        <v>6</v>
      </c>
      <c r="G405" s="20">
        <v>65.680000000000007</v>
      </c>
      <c r="H405" s="20">
        <f t="shared" si="6"/>
        <v>394.08000000000004</v>
      </c>
      <c r="I405" s="12" t="s">
        <v>743</v>
      </c>
      <c r="J405" s="22" t="s">
        <v>16</v>
      </c>
      <c r="K405" s="22" t="s">
        <v>17</v>
      </c>
    </row>
    <row r="406" spans="1:11" s="7" customFormat="1" x14ac:dyDescent="0.25">
      <c r="A406" s="18">
        <v>405</v>
      </c>
      <c r="B406" s="12" t="s">
        <v>1388</v>
      </c>
      <c r="C406" s="12" t="s">
        <v>1296</v>
      </c>
      <c r="D406" s="13" t="s">
        <v>1389</v>
      </c>
      <c r="E406" s="19" t="s">
        <v>68</v>
      </c>
      <c r="F406" s="19">
        <v>13</v>
      </c>
      <c r="G406" s="20">
        <v>16.950000000000003</v>
      </c>
      <c r="H406" s="20">
        <f t="shared" si="6"/>
        <v>220.35000000000002</v>
      </c>
      <c r="I406" s="12" t="s">
        <v>743</v>
      </c>
      <c r="J406" s="22" t="s">
        <v>16</v>
      </c>
      <c r="K406" s="22" t="s">
        <v>17</v>
      </c>
    </row>
    <row r="407" spans="1:11" s="7" customFormat="1" x14ac:dyDescent="0.25">
      <c r="A407" s="18">
        <v>406</v>
      </c>
      <c r="B407" s="12" t="s">
        <v>741</v>
      </c>
      <c r="C407" s="12" t="s">
        <v>234</v>
      </c>
      <c r="D407" s="13" t="s">
        <v>742</v>
      </c>
      <c r="E407" s="19" t="s">
        <v>236</v>
      </c>
      <c r="F407" s="19">
        <v>211</v>
      </c>
      <c r="G407" s="20">
        <v>35.44</v>
      </c>
      <c r="H407" s="20">
        <f t="shared" si="6"/>
        <v>7477.8399999999992</v>
      </c>
      <c r="I407" s="12" t="s">
        <v>743</v>
      </c>
      <c r="J407" s="22" t="s">
        <v>16</v>
      </c>
      <c r="K407" s="22" t="s">
        <v>17</v>
      </c>
    </row>
    <row r="408" spans="1:11" s="7" customFormat="1" x14ac:dyDescent="0.25">
      <c r="A408" s="18">
        <v>407</v>
      </c>
      <c r="B408" s="12" t="s">
        <v>744</v>
      </c>
      <c r="C408" s="12" t="s">
        <v>234</v>
      </c>
      <c r="D408" s="13" t="s">
        <v>745</v>
      </c>
      <c r="E408" s="19" t="s">
        <v>236</v>
      </c>
      <c r="F408" s="19">
        <v>199</v>
      </c>
      <c r="G408" s="20">
        <v>35.44</v>
      </c>
      <c r="H408" s="20">
        <f t="shared" si="6"/>
        <v>7052.5599999999995</v>
      </c>
      <c r="I408" s="12" t="s">
        <v>743</v>
      </c>
      <c r="J408" s="22" t="s">
        <v>16</v>
      </c>
      <c r="K408" s="22" t="s">
        <v>17</v>
      </c>
    </row>
    <row r="409" spans="1:11" s="7" customFormat="1" x14ac:dyDescent="0.25">
      <c r="A409" s="18">
        <v>408</v>
      </c>
      <c r="B409" s="12" t="s">
        <v>746</v>
      </c>
      <c r="C409" s="12" t="s">
        <v>234</v>
      </c>
      <c r="D409" s="13" t="s">
        <v>747</v>
      </c>
      <c r="E409" s="19" t="s">
        <v>236</v>
      </c>
      <c r="F409" s="19">
        <v>43</v>
      </c>
      <c r="G409" s="20">
        <v>35.44</v>
      </c>
      <c r="H409" s="20">
        <f t="shared" si="6"/>
        <v>1523.9199999999998</v>
      </c>
      <c r="I409" s="12" t="s">
        <v>743</v>
      </c>
      <c r="J409" s="22" t="s">
        <v>16</v>
      </c>
      <c r="K409" s="22" t="s">
        <v>17</v>
      </c>
    </row>
    <row r="410" spans="1:11" s="7" customFormat="1" x14ac:dyDescent="0.25">
      <c r="A410" s="18">
        <v>409</v>
      </c>
      <c r="B410" s="12" t="s">
        <v>748</v>
      </c>
      <c r="C410" s="12" t="s">
        <v>234</v>
      </c>
      <c r="D410" s="13" t="s">
        <v>749</v>
      </c>
      <c r="E410" s="19" t="s">
        <v>236</v>
      </c>
      <c r="F410" s="19">
        <v>125</v>
      </c>
      <c r="G410" s="20">
        <v>56.3</v>
      </c>
      <c r="H410" s="20">
        <f t="shared" si="6"/>
        <v>7037.5</v>
      </c>
      <c r="I410" s="12" t="s">
        <v>750</v>
      </c>
      <c r="J410" s="22" t="s">
        <v>16</v>
      </c>
      <c r="K410" s="22" t="s">
        <v>17</v>
      </c>
    </row>
    <row r="411" spans="1:11" s="7" customFormat="1" x14ac:dyDescent="0.25">
      <c r="A411" s="18">
        <v>410</v>
      </c>
      <c r="B411" s="12" t="s">
        <v>751</v>
      </c>
      <c r="C411" s="12" t="s">
        <v>234</v>
      </c>
      <c r="D411" s="13" t="s">
        <v>752</v>
      </c>
      <c r="E411" s="19" t="s">
        <v>236</v>
      </c>
      <c r="F411" s="19">
        <v>274</v>
      </c>
      <c r="G411" s="20">
        <v>56.3</v>
      </c>
      <c r="H411" s="20">
        <f t="shared" si="6"/>
        <v>15426.199999999999</v>
      </c>
      <c r="I411" s="12" t="s">
        <v>750</v>
      </c>
      <c r="J411" s="22" t="s">
        <v>16</v>
      </c>
      <c r="K411" s="22" t="s">
        <v>17</v>
      </c>
    </row>
    <row r="412" spans="1:11" s="7" customFormat="1" x14ac:dyDescent="0.25">
      <c r="A412" s="18">
        <v>411</v>
      </c>
      <c r="B412" s="12" t="s">
        <v>753</v>
      </c>
      <c r="C412" s="12" t="s">
        <v>234</v>
      </c>
      <c r="D412" s="13" t="s">
        <v>754</v>
      </c>
      <c r="E412" s="19" t="s">
        <v>236</v>
      </c>
      <c r="F412" s="19">
        <v>185</v>
      </c>
      <c r="G412" s="20">
        <v>56.3</v>
      </c>
      <c r="H412" s="20">
        <f t="shared" si="6"/>
        <v>10415.5</v>
      </c>
      <c r="I412" s="12" t="s">
        <v>750</v>
      </c>
      <c r="J412" s="22" t="s">
        <v>16</v>
      </c>
      <c r="K412" s="22" t="s">
        <v>17</v>
      </c>
    </row>
    <row r="413" spans="1:11" s="7" customFormat="1" x14ac:dyDescent="0.25">
      <c r="A413" s="18">
        <v>412</v>
      </c>
      <c r="B413" s="12" t="s">
        <v>755</v>
      </c>
      <c r="C413" s="12" t="s">
        <v>234</v>
      </c>
      <c r="D413" s="13" t="s">
        <v>756</v>
      </c>
      <c r="E413" s="19" t="s">
        <v>236</v>
      </c>
      <c r="F413" s="19">
        <v>151</v>
      </c>
      <c r="G413" s="20">
        <v>56.3</v>
      </c>
      <c r="H413" s="20">
        <f t="shared" si="6"/>
        <v>8501.2999999999993</v>
      </c>
      <c r="I413" s="12" t="s">
        <v>750</v>
      </c>
      <c r="J413" s="22" t="s">
        <v>16</v>
      </c>
      <c r="K413" s="22" t="s">
        <v>17</v>
      </c>
    </row>
    <row r="414" spans="1:11" s="7" customFormat="1" x14ac:dyDescent="0.25">
      <c r="A414" s="18">
        <v>413</v>
      </c>
      <c r="B414" s="12" t="s">
        <v>757</v>
      </c>
      <c r="C414" s="12" t="s">
        <v>758</v>
      </c>
      <c r="D414" s="13" t="s">
        <v>759</v>
      </c>
      <c r="E414" s="19" t="s">
        <v>14</v>
      </c>
      <c r="F414" s="19">
        <v>22</v>
      </c>
      <c r="G414" s="20">
        <v>12.01</v>
      </c>
      <c r="H414" s="20">
        <f t="shared" si="6"/>
        <v>264.21999999999997</v>
      </c>
      <c r="I414" s="12" t="s">
        <v>760</v>
      </c>
      <c r="J414" s="22" t="s">
        <v>16</v>
      </c>
      <c r="K414" s="22" t="s">
        <v>17</v>
      </c>
    </row>
    <row r="415" spans="1:11" s="7" customFormat="1" ht="25.5" x14ac:dyDescent="0.25">
      <c r="A415" s="18">
        <v>414</v>
      </c>
      <c r="B415" s="12" t="s">
        <v>761</v>
      </c>
      <c r="C415" s="12" t="s">
        <v>762</v>
      </c>
      <c r="D415" s="13" t="s">
        <v>763</v>
      </c>
      <c r="E415" s="19" t="s">
        <v>24</v>
      </c>
      <c r="F415" s="19">
        <v>186</v>
      </c>
      <c r="G415" s="20">
        <v>8.8000000000000007</v>
      </c>
      <c r="H415" s="20">
        <f t="shared" si="6"/>
        <v>1636.8000000000002</v>
      </c>
      <c r="I415" s="12" t="s">
        <v>760</v>
      </c>
      <c r="J415" s="22" t="s">
        <v>16</v>
      </c>
      <c r="K415" s="22" t="s">
        <v>17</v>
      </c>
    </row>
    <row r="416" spans="1:11" s="7" customFormat="1" ht="25.5" x14ac:dyDescent="0.25">
      <c r="A416" s="18">
        <v>415</v>
      </c>
      <c r="B416" s="12" t="s">
        <v>764</v>
      </c>
      <c r="C416" s="12" t="s">
        <v>348</v>
      </c>
      <c r="D416" s="13" t="s">
        <v>765</v>
      </c>
      <c r="E416" s="19" t="s">
        <v>24</v>
      </c>
      <c r="F416" s="19">
        <v>4</v>
      </c>
      <c r="G416" s="20">
        <v>12.99</v>
      </c>
      <c r="H416" s="20">
        <f t="shared" si="6"/>
        <v>51.96</v>
      </c>
      <c r="I416" s="12" t="s">
        <v>760</v>
      </c>
      <c r="J416" s="22" t="s">
        <v>16</v>
      </c>
      <c r="K416" s="22" t="s">
        <v>17</v>
      </c>
    </row>
    <row r="417" spans="1:11" s="7" customFormat="1" x14ac:dyDescent="0.25">
      <c r="A417" s="18">
        <v>416</v>
      </c>
      <c r="B417" s="12" t="s">
        <v>766</v>
      </c>
      <c r="C417" s="12" t="s">
        <v>767</v>
      </c>
      <c r="D417" s="13" t="s">
        <v>768</v>
      </c>
      <c r="E417" s="19" t="s">
        <v>24</v>
      </c>
      <c r="F417" s="19">
        <v>180</v>
      </c>
      <c r="G417" s="20">
        <v>7.86</v>
      </c>
      <c r="H417" s="20">
        <f t="shared" si="6"/>
        <v>1414.8</v>
      </c>
      <c r="I417" s="12" t="s">
        <v>760</v>
      </c>
      <c r="J417" s="22" t="s">
        <v>16</v>
      </c>
      <c r="K417" s="22" t="s">
        <v>17</v>
      </c>
    </row>
    <row r="418" spans="1:11" s="7" customFormat="1" x14ac:dyDescent="0.25">
      <c r="A418" s="18">
        <v>417</v>
      </c>
      <c r="B418" s="12" t="s">
        <v>769</v>
      </c>
      <c r="C418" s="12" t="s">
        <v>767</v>
      </c>
      <c r="D418" s="13" t="s">
        <v>770</v>
      </c>
      <c r="E418" s="19" t="s">
        <v>24</v>
      </c>
      <c r="F418" s="19">
        <v>195</v>
      </c>
      <c r="G418" s="20">
        <v>12.02</v>
      </c>
      <c r="H418" s="20">
        <f t="shared" si="6"/>
        <v>2343.9</v>
      </c>
      <c r="I418" s="12" t="s">
        <v>760</v>
      </c>
      <c r="J418" s="22" t="s">
        <v>16</v>
      </c>
      <c r="K418" s="22" t="s">
        <v>17</v>
      </c>
    </row>
    <row r="419" spans="1:11" s="7" customFormat="1" x14ac:dyDescent="0.25">
      <c r="A419" s="18">
        <v>418</v>
      </c>
      <c r="B419" s="12" t="s">
        <v>771</v>
      </c>
      <c r="C419" s="12" t="s">
        <v>767</v>
      </c>
      <c r="D419" s="13" t="s">
        <v>772</v>
      </c>
      <c r="E419" s="19" t="s">
        <v>24</v>
      </c>
      <c r="F419" s="19">
        <v>165</v>
      </c>
      <c r="G419" s="20">
        <v>28.25</v>
      </c>
      <c r="H419" s="20">
        <f t="shared" si="6"/>
        <v>4661.25</v>
      </c>
      <c r="I419" s="12" t="s">
        <v>760</v>
      </c>
      <c r="J419" s="22" t="s">
        <v>16</v>
      </c>
      <c r="K419" s="22" t="s">
        <v>17</v>
      </c>
    </row>
    <row r="420" spans="1:11" s="7" customFormat="1" x14ac:dyDescent="0.25">
      <c r="A420" s="18">
        <v>419</v>
      </c>
      <c r="B420" s="12" t="s">
        <v>773</v>
      </c>
      <c r="C420" s="12" t="s">
        <v>774</v>
      </c>
      <c r="D420" s="13" t="s">
        <v>775</v>
      </c>
      <c r="E420" s="19" t="s">
        <v>14</v>
      </c>
      <c r="F420" s="19">
        <v>920</v>
      </c>
      <c r="G420" s="20">
        <v>99.99</v>
      </c>
      <c r="H420" s="20">
        <f t="shared" si="6"/>
        <v>91990.799999999988</v>
      </c>
      <c r="I420" s="12" t="s">
        <v>760</v>
      </c>
      <c r="J420" s="22" t="s">
        <v>16</v>
      </c>
      <c r="K420" s="22" t="s">
        <v>17</v>
      </c>
    </row>
    <row r="421" spans="1:11" s="7" customFormat="1" x14ac:dyDescent="0.25">
      <c r="A421" s="18">
        <v>420</v>
      </c>
      <c r="B421" s="12" t="s">
        <v>776</v>
      </c>
      <c r="C421" s="12" t="s">
        <v>777</v>
      </c>
      <c r="D421" s="13" t="s">
        <v>778</v>
      </c>
      <c r="E421" s="19" t="s">
        <v>14</v>
      </c>
      <c r="F421" s="19">
        <v>2</v>
      </c>
      <c r="G421" s="20">
        <v>86.41</v>
      </c>
      <c r="H421" s="20">
        <f t="shared" si="6"/>
        <v>172.82</v>
      </c>
      <c r="I421" s="12" t="s">
        <v>760</v>
      </c>
      <c r="J421" s="22" t="s">
        <v>16</v>
      </c>
      <c r="K421" s="22" t="s">
        <v>17</v>
      </c>
    </row>
    <row r="422" spans="1:11" s="7" customFormat="1" x14ac:dyDescent="0.25">
      <c r="A422" s="18">
        <v>421</v>
      </c>
      <c r="B422" s="12" t="s">
        <v>779</v>
      </c>
      <c r="C422" s="12" t="s">
        <v>777</v>
      </c>
      <c r="D422" s="13" t="s">
        <v>780</v>
      </c>
      <c r="E422" s="19" t="s">
        <v>14</v>
      </c>
      <c r="F422" s="19">
        <v>250</v>
      </c>
      <c r="G422" s="20">
        <v>23</v>
      </c>
      <c r="H422" s="20">
        <f t="shared" si="6"/>
        <v>5750</v>
      </c>
      <c r="I422" s="12" t="s">
        <v>760</v>
      </c>
      <c r="J422" s="22" t="s">
        <v>16</v>
      </c>
      <c r="K422" s="22" t="s">
        <v>17</v>
      </c>
    </row>
    <row r="423" spans="1:11" s="7" customFormat="1" x14ac:dyDescent="0.25">
      <c r="A423" s="18">
        <v>422</v>
      </c>
      <c r="B423" s="12" t="s">
        <v>781</v>
      </c>
      <c r="C423" s="12" t="s">
        <v>782</v>
      </c>
      <c r="D423" s="13" t="s">
        <v>783</v>
      </c>
      <c r="E423" s="19" t="s">
        <v>191</v>
      </c>
      <c r="F423" s="19">
        <v>1</v>
      </c>
      <c r="G423" s="20">
        <v>12.11</v>
      </c>
      <c r="H423" s="20">
        <f t="shared" si="6"/>
        <v>12.11</v>
      </c>
      <c r="I423" s="12" t="s">
        <v>760</v>
      </c>
      <c r="J423" s="22" t="s">
        <v>16</v>
      </c>
      <c r="K423" s="22" t="s">
        <v>17</v>
      </c>
    </row>
    <row r="424" spans="1:11" s="7" customFormat="1" ht="25.5" x14ac:dyDescent="0.25">
      <c r="A424" s="18">
        <v>423</v>
      </c>
      <c r="B424" s="12" t="s">
        <v>784</v>
      </c>
      <c r="C424" s="12" t="s">
        <v>180</v>
      </c>
      <c r="D424" s="13" t="s">
        <v>785</v>
      </c>
      <c r="E424" s="19" t="s">
        <v>14</v>
      </c>
      <c r="F424" s="19">
        <v>43</v>
      </c>
      <c r="G424" s="20">
        <v>2.0699999999999998</v>
      </c>
      <c r="H424" s="20">
        <f t="shared" si="6"/>
        <v>89.009999999999991</v>
      </c>
      <c r="I424" s="12" t="s">
        <v>760</v>
      </c>
      <c r="J424" s="22" t="s">
        <v>16</v>
      </c>
      <c r="K424" s="22" t="s">
        <v>17</v>
      </c>
    </row>
    <row r="425" spans="1:11" s="7" customFormat="1" x14ac:dyDescent="0.25">
      <c r="A425" s="18">
        <v>424</v>
      </c>
      <c r="B425" s="12" t="s">
        <v>786</v>
      </c>
      <c r="C425" s="12" t="s">
        <v>334</v>
      </c>
      <c r="D425" s="13" t="s">
        <v>787</v>
      </c>
      <c r="E425" s="19" t="s">
        <v>14</v>
      </c>
      <c r="F425" s="19">
        <v>399</v>
      </c>
      <c r="G425" s="20">
        <v>65.47</v>
      </c>
      <c r="H425" s="20">
        <f t="shared" si="6"/>
        <v>26122.53</v>
      </c>
      <c r="I425" s="12" t="s">
        <v>760</v>
      </c>
      <c r="J425" s="22" t="s">
        <v>16</v>
      </c>
      <c r="K425" s="22" t="s">
        <v>17</v>
      </c>
    </row>
    <row r="426" spans="1:11" s="7" customFormat="1" x14ac:dyDescent="0.25">
      <c r="A426" s="18">
        <v>425</v>
      </c>
      <c r="B426" s="12" t="s">
        <v>788</v>
      </c>
      <c r="C426" s="12" t="s">
        <v>425</v>
      </c>
      <c r="D426" s="13" t="s">
        <v>789</v>
      </c>
      <c r="E426" s="19" t="s">
        <v>14</v>
      </c>
      <c r="F426" s="19">
        <v>732</v>
      </c>
      <c r="G426" s="20">
        <v>25.24</v>
      </c>
      <c r="H426" s="20">
        <f t="shared" si="6"/>
        <v>18475.68</v>
      </c>
      <c r="I426" s="12" t="s">
        <v>760</v>
      </c>
      <c r="J426" s="22" t="s">
        <v>16</v>
      </c>
      <c r="K426" s="22" t="s">
        <v>17</v>
      </c>
    </row>
    <row r="427" spans="1:11" s="7" customFormat="1" x14ac:dyDescent="0.25">
      <c r="A427" s="18">
        <v>426</v>
      </c>
      <c r="B427" s="12" t="s">
        <v>790</v>
      </c>
      <c r="C427" s="12" t="s">
        <v>143</v>
      </c>
      <c r="D427" s="13" t="s">
        <v>791</v>
      </c>
      <c r="E427" s="19" t="s">
        <v>14</v>
      </c>
      <c r="F427" s="19">
        <v>163</v>
      </c>
      <c r="G427" s="20">
        <v>5.6</v>
      </c>
      <c r="H427" s="20">
        <f t="shared" si="6"/>
        <v>912.8</v>
      </c>
      <c r="I427" s="12" t="s">
        <v>760</v>
      </c>
      <c r="J427" s="22" t="s">
        <v>16</v>
      </c>
      <c r="K427" s="22" t="s">
        <v>17</v>
      </c>
    </row>
    <row r="428" spans="1:11" s="7" customFormat="1" x14ac:dyDescent="0.25">
      <c r="A428" s="18">
        <v>427</v>
      </c>
      <c r="B428" s="12" t="s">
        <v>792</v>
      </c>
      <c r="C428" s="12" t="s">
        <v>143</v>
      </c>
      <c r="D428" s="13" t="s">
        <v>793</v>
      </c>
      <c r="E428" s="19" t="s">
        <v>14</v>
      </c>
      <c r="F428" s="19">
        <v>629</v>
      </c>
      <c r="G428" s="20">
        <v>12.7</v>
      </c>
      <c r="H428" s="20">
        <f t="shared" si="6"/>
        <v>7988.2999999999993</v>
      </c>
      <c r="I428" s="12" t="s">
        <v>760</v>
      </c>
      <c r="J428" s="22" t="s">
        <v>16</v>
      </c>
      <c r="K428" s="22" t="s">
        <v>17</v>
      </c>
    </row>
    <row r="429" spans="1:11" s="7" customFormat="1" x14ac:dyDescent="0.25">
      <c r="A429" s="18">
        <v>428</v>
      </c>
      <c r="B429" s="12" t="s">
        <v>794</v>
      </c>
      <c r="C429" s="12" t="s">
        <v>143</v>
      </c>
      <c r="D429" s="13" t="s">
        <v>795</v>
      </c>
      <c r="E429" s="19" t="s">
        <v>14</v>
      </c>
      <c r="F429" s="19">
        <v>750</v>
      </c>
      <c r="G429" s="20">
        <v>10.27</v>
      </c>
      <c r="H429" s="20">
        <f t="shared" si="6"/>
        <v>7702.5</v>
      </c>
      <c r="I429" s="12" t="s">
        <v>760</v>
      </c>
      <c r="J429" s="22" t="s">
        <v>16</v>
      </c>
      <c r="K429" s="22" t="s">
        <v>17</v>
      </c>
    </row>
    <row r="430" spans="1:11" s="7" customFormat="1" x14ac:dyDescent="0.25">
      <c r="A430" s="18">
        <v>429</v>
      </c>
      <c r="B430" s="12" t="s">
        <v>796</v>
      </c>
      <c r="C430" s="12" t="s">
        <v>143</v>
      </c>
      <c r="D430" s="13" t="s">
        <v>797</v>
      </c>
      <c r="E430" s="19" t="s">
        <v>14</v>
      </c>
      <c r="F430" s="19">
        <v>742</v>
      </c>
      <c r="G430" s="20">
        <v>12.7</v>
      </c>
      <c r="H430" s="20">
        <f t="shared" si="6"/>
        <v>9423.4</v>
      </c>
      <c r="I430" s="12" t="s">
        <v>760</v>
      </c>
      <c r="J430" s="22" t="s">
        <v>16</v>
      </c>
      <c r="K430" s="22" t="s">
        <v>17</v>
      </c>
    </row>
    <row r="431" spans="1:11" s="7" customFormat="1" x14ac:dyDescent="0.25">
      <c r="A431" s="18">
        <v>430</v>
      </c>
      <c r="B431" s="12" t="s">
        <v>798</v>
      </c>
      <c r="C431" s="12" t="s">
        <v>143</v>
      </c>
      <c r="D431" s="13" t="s">
        <v>799</v>
      </c>
      <c r="E431" s="19" t="s">
        <v>14</v>
      </c>
      <c r="F431" s="19">
        <v>620</v>
      </c>
      <c r="G431" s="20">
        <v>12.7</v>
      </c>
      <c r="H431" s="20">
        <f t="shared" si="6"/>
        <v>7874</v>
      </c>
      <c r="I431" s="12" t="s">
        <v>760</v>
      </c>
      <c r="J431" s="22" t="s">
        <v>16</v>
      </c>
      <c r="K431" s="22" t="s">
        <v>17</v>
      </c>
    </row>
    <row r="432" spans="1:11" s="7" customFormat="1" x14ac:dyDescent="0.25">
      <c r="A432" s="18">
        <v>431</v>
      </c>
      <c r="B432" s="12" t="s">
        <v>800</v>
      </c>
      <c r="C432" s="12" t="s">
        <v>143</v>
      </c>
      <c r="D432" s="13" t="s">
        <v>801</v>
      </c>
      <c r="E432" s="19" t="s">
        <v>14</v>
      </c>
      <c r="F432" s="19">
        <v>748</v>
      </c>
      <c r="G432" s="20">
        <v>14</v>
      </c>
      <c r="H432" s="20">
        <f t="shared" si="6"/>
        <v>10472</v>
      </c>
      <c r="I432" s="12" t="s">
        <v>760</v>
      </c>
      <c r="J432" s="22" t="s">
        <v>16</v>
      </c>
      <c r="K432" s="22" t="s">
        <v>17</v>
      </c>
    </row>
    <row r="433" spans="1:11" s="7" customFormat="1" x14ac:dyDescent="0.25">
      <c r="A433" s="18">
        <v>432</v>
      </c>
      <c r="B433" s="12" t="s">
        <v>802</v>
      </c>
      <c r="C433" s="12" t="s">
        <v>803</v>
      </c>
      <c r="D433" s="13" t="s">
        <v>804</v>
      </c>
      <c r="E433" s="19" t="s">
        <v>14</v>
      </c>
      <c r="F433" s="19">
        <v>241</v>
      </c>
      <c r="G433" s="20">
        <v>1.97</v>
      </c>
      <c r="H433" s="20">
        <f t="shared" si="6"/>
        <v>474.77</v>
      </c>
      <c r="I433" s="12" t="s">
        <v>760</v>
      </c>
      <c r="J433" s="22" t="s">
        <v>16</v>
      </c>
      <c r="K433" s="22" t="s">
        <v>17</v>
      </c>
    </row>
    <row r="434" spans="1:11" s="7" customFormat="1" x14ac:dyDescent="0.25">
      <c r="A434" s="18">
        <v>433</v>
      </c>
      <c r="B434" s="12" t="s">
        <v>805</v>
      </c>
      <c r="C434" s="12" t="s">
        <v>806</v>
      </c>
      <c r="D434" s="12" t="s">
        <v>807</v>
      </c>
      <c r="E434" s="19" t="s">
        <v>14</v>
      </c>
      <c r="F434" s="19">
        <v>280</v>
      </c>
      <c r="G434" s="20">
        <v>6.5</v>
      </c>
      <c r="H434" s="20">
        <f t="shared" si="6"/>
        <v>1820</v>
      </c>
      <c r="I434" s="12" t="s">
        <v>808</v>
      </c>
      <c r="J434" s="22" t="s">
        <v>16</v>
      </c>
      <c r="K434" s="22" t="s">
        <v>17</v>
      </c>
    </row>
    <row r="435" spans="1:11" s="7" customFormat="1" x14ac:dyDescent="0.25">
      <c r="A435" s="18">
        <v>434</v>
      </c>
      <c r="B435" s="12" t="s">
        <v>809</v>
      </c>
      <c r="C435" s="12" t="s">
        <v>234</v>
      </c>
      <c r="D435" s="13" t="s">
        <v>810</v>
      </c>
      <c r="E435" s="19" t="s">
        <v>236</v>
      </c>
      <c r="F435" s="19">
        <v>45</v>
      </c>
      <c r="G435" s="20">
        <v>137.43</v>
      </c>
      <c r="H435" s="20">
        <f t="shared" si="6"/>
        <v>6184.35</v>
      </c>
      <c r="I435" s="12" t="s">
        <v>811</v>
      </c>
      <c r="J435" s="22" t="s">
        <v>16</v>
      </c>
      <c r="K435" s="22" t="s">
        <v>17</v>
      </c>
    </row>
    <row r="436" spans="1:11" s="7" customFormat="1" ht="25.5" x14ac:dyDescent="0.25">
      <c r="A436" s="18">
        <v>435</v>
      </c>
      <c r="B436" s="12" t="s">
        <v>812</v>
      </c>
      <c r="C436" s="12" t="s">
        <v>234</v>
      </c>
      <c r="D436" s="13" t="s">
        <v>813</v>
      </c>
      <c r="E436" s="19" t="s">
        <v>236</v>
      </c>
      <c r="F436" s="19">
        <v>57</v>
      </c>
      <c r="G436" s="20">
        <v>48.6</v>
      </c>
      <c r="H436" s="20">
        <f t="shared" si="6"/>
        <v>2770.2000000000003</v>
      </c>
      <c r="I436" s="12" t="s">
        <v>811</v>
      </c>
      <c r="J436" s="22" t="s">
        <v>16</v>
      </c>
      <c r="K436" s="22" t="s">
        <v>17</v>
      </c>
    </row>
    <row r="437" spans="1:11" s="7" customFormat="1" x14ac:dyDescent="0.25">
      <c r="A437" s="18">
        <v>436</v>
      </c>
      <c r="B437" s="12" t="s">
        <v>814</v>
      </c>
      <c r="C437" s="12" t="s">
        <v>234</v>
      </c>
      <c r="D437" s="13" t="s">
        <v>815</v>
      </c>
      <c r="E437" s="19" t="s">
        <v>236</v>
      </c>
      <c r="F437" s="19">
        <v>8</v>
      </c>
      <c r="G437" s="20">
        <v>17.72</v>
      </c>
      <c r="H437" s="20">
        <f t="shared" si="6"/>
        <v>141.76</v>
      </c>
      <c r="I437" s="12" t="s">
        <v>816</v>
      </c>
      <c r="J437" s="22" t="s">
        <v>16</v>
      </c>
      <c r="K437" s="22" t="s">
        <v>17</v>
      </c>
    </row>
    <row r="438" spans="1:11" s="7" customFormat="1" x14ac:dyDescent="0.25">
      <c r="A438" s="18">
        <v>437</v>
      </c>
      <c r="B438" s="12" t="s">
        <v>819</v>
      </c>
      <c r="C438" s="12" t="s">
        <v>425</v>
      </c>
      <c r="D438" s="13" t="s">
        <v>820</v>
      </c>
      <c r="E438" s="19" t="s">
        <v>14</v>
      </c>
      <c r="F438" s="19">
        <v>535</v>
      </c>
      <c r="G438" s="20">
        <v>15.08</v>
      </c>
      <c r="H438" s="20">
        <f t="shared" si="6"/>
        <v>8067.8</v>
      </c>
      <c r="I438" s="12" t="s">
        <v>821</v>
      </c>
      <c r="J438" s="22" t="s">
        <v>16</v>
      </c>
      <c r="K438" s="22" t="s">
        <v>17</v>
      </c>
    </row>
    <row r="439" spans="1:11" s="7" customFormat="1" x14ac:dyDescent="0.25">
      <c r="A439" s="18">
        <v>438</v>
      </c>
      <c r="B439" s="12" t="s">
        <v>822</v>
      </c>
      <c r="C439" s="12" t="s">
        <v>425</v>
      </c>
      <c r="D439" s="13" t="s">
        <v>823</v>
      </c>
      <c r="E439" s="19" t="s">
        <v>14</v>
      </c>
      <c r="F439" s="19">
        <v>652</v>
      </c>
      <c r="G439" s="20">
        <v>15.08</v>
      </c>
      <c r="H439" s="20">
        <f t="shared" si="6"/>
        <v>9832.16</v>
      </c>
      <c r="I439" s="12" t="s">
        <v>821</v>
      </c>
      <c r="J439" s="22" t="s">
        <v>16</v>
      </c>
      <c r="K439" s="22" t="s">
        <v>17</v>
      </c>
    </row>
    <row r="440" spans="1:11" s="7" customFormat="1" x14ac:dyDescent="0.25">
      <c r="A440" s="18">
        <v>439</v>
      </c>
      <c r="B440" s="12" t="s">
        <v>824</v>
      </c>
      <c r="C440" s="12" t="s">
        <v>425</v>
      </c>
      <c r="D440" s="13" t="s">
        <v>825</v>
      </c>
      <c r="E440" s="19" t="s">
        <v>14</v>
      </c>
      <c r="F440" s="19">
        <v>573</v>
      </c>
      <c r="G440" s="20">
        <v>23.39</v>
      </c>
      <c r="H440" s="20">
        <f t="shared" si="6"/>
        <v>13402.470000000001</v>
      </c>
      <c r="I440" s="12" t="s">
        <v>821</v>
      </c>
      <c r="J440" s="22" t="s">
        <v>16</v>
      </c>
      <c r="K440" s="22" t="s">
        <v>17</v>
      </c>
    </row>
    <row r="441" spans="1:11" s="7" customFormat="1" x14ac:dyDescent="0.25">
      <c r="A441" s="18">
        <v>440</v>
      </c>
      <c r="B441" s="12" t="s">
        <v>826</v>
      </c>
      <c r="C441" s="12" t="s">
        <v>425</v>
      </c>
      <c r="D441" s="13" t="s">
        <v>827</v>
      </c>
      <c r="E441" s="19" t="s">
        <v>14</v>
      </c>
      <c r="F441" s="19">
        <v>455</v>
      </c>
      <c r="G441" s="20">
        <v>26.28</v>
      </c>
      <c r="H441" s="20">
        <f t="shared" si="6"/>
        <v>11957.4</v>
      </c>
      <c r="I441" s="12" t="s">
        <v>821</v>
      </c>
      <c r="J441" s="22" t="s">
        <v>16</v>
      </c>
      <c r="K441" s="22" t="s">
        <v>17</v>
      </c>
    </row>
    <row r="442" spans="1:11" s="7" customFormat="1" x14ac:dyDescent="0.25">
      <c r="A442" s="18">
        <v>441</v>
      </c>
      <c r="B442" s="12" t="s">
        <v>828</v>
      </c>
      <c r="C442" s="12" t="s">
        <v>425</v>
      </c>
      <c r="D442" s="13" t="s">
        <v>829</v>
      </c>
      <c r="E442" s="19" t="s">
        <v>14</v>
      </c>
      <c r="F442" s="19">
        <v>115</v>
      </c>
      <c r="G442" s="20">
        <v>23.39</v>
      </c>
      <c r="H442" s="20">
        <f t="shared" si="6"/>
        <v>2689.85</v>
      </c>
      <c r="I442" s="12" t="s">
        <v>821</v>
      </c>
      <c r="J442" s="22" t="s">
        <v>16</v>
      </c>
      <c r="K442" s="22" t="s">
        <v>17</v>
      </c>
    </row>
    <row r="443" spans="1:11" s="7" customFormat="1" x14ac:dyDescent="0.25">
      <c r="A443" s="18">
        <v>442</v>
      </c>
      <c r="B443" s="12" t="s">
        <v>1559</v>
      </c>
      <c r="C443" s="12" t="s">
        <v>19</v>
      </c>
      <c r="D443" s="13" t="s">
        <v>1560</v>
      </c>
      <c r="E443" s="19" t="s">
        <v>14</v>
      </c>
      <c r="F443" s="19">
        <v>4</v>
      </c>
      <c r="G443" s="20">
        <v>9.58</v>
      </c>
      <c r="H443" s="20">
        <f t="shared" si="6"/>
        <v>38.32</v>
      </c>
      <c r="I443" s="12" t="s">
        <v>1598</v>
      </c>
      <c r="J443" s="19" t="s">
        <v>16</v>
      </c>
      <c r="K443" s="19" t="s">
        <v>17</v>
      </c>
    </row>
    <row r="444" spans="1:11" s="7" customFormat="1" x14ac:dyDescent="0.25">
      <c r="A444" s="18">
        <v>443</v>
      </c>
      <c r="B444" s="12" t="s">
        <v>1561</v>
      </c>
      <c r="C444" s="12" t="s">
        <v>19</v>
      </c>
      <c r="D444" s="13" t="s">
        <v>1562</v>
      </c>
      <c r="E444" s="19" t="s">
        <v>14</v>
      </c>
      <c r="F444" s="19">
        <v>80</v>
      </c>
      <c r="G444" s="20">
        <v>11.14</v>
      </c>
      <c r="H444" s="20">
        <f t="shared" si="6"/>
        <v>891.2</v>
      </c>
      <c r="I444" s="12" t="s">
        <v>1598</v>
      </c>
      <c r="J444" s="19" t="s">
        <v>16</v>
      </c>
      <c r="K444" s="19" t="s">
        <v>17</v>
      </c>
    </row>
    <row r="445" spans="1:11" s="7" customFormat="1" x14ac:dyDescent="0.25">
      <c r="A445" s="18">
        <v>444</v>
      </c>
      <c r="B445" s="12" t="s">
        <v>830</v>
      </c>
      <c r="C445" s="12" t="s">
        <v>234</v>
      </c>
      <c r="D445" s="13" t="s">
        <v>831</v>
      </c>
      <c r="E445" s="19" t="s">
        <v>236</v>
      </c>
      <c r="F445" s="19">
        <v>263</v>
      </c>
      <c r="G445" s="20">
        <v>71.42</v>
      </c>
      <c r="H445" s="20">
        <f t="shared" si="6"/>
        <v>18783.46</v>
      </c>
      <c r="I445" s="12" t="s">
        <v>832</v>
      </c>
      <c r="J445" s="22" t="s">
        <v>16</v>
      </c>
      <c r="K445" s="22" t="s">
        <v>17</v>
      </c>
    </row>
    <row r="446" spans="1:11" s="7" customFormat="1" x14ac:dyDescent="0.25">
      <c r="A446" s="18">
        <v>445</v>
      </c>
      <c r="B446" s="12" t="s">
        <v>833</v>
      </c>
      <c r="C446" s="12" t="s">
        <v>234</v>
      </c>
      <c r="D446" s="13" t="s">
        <v>834</v>
      </c>
      <c r="E446" s="19" t="s">
        <v>236</v>
      </c>
      <c r="F446" s="19">
        <v>134</v>
      </c>
      <c r="G446" s="20">
        <v>71.42</v>
      </c>
      <c r="H446" s="20">
        <f t="shared" si="6"/>
        <v>9570.2800000000007</v>
      </c>
      <c r="I446" s="12" t="s">
        <v>832</v>
      </c>
      <c r="J446" s="22" t="s">
        <v>16</v>
      </c>
      <c r="K446" s="22" t="s">
        <v>17</v>
      </c>
    </row>
    <row r="447" spans="1:11" s="7" customFormat="1" x14ac:dyDescent="0.25">
      <c r="A447" s="18">
        <v>446</v>
      </c>
      <c r="B447" s="12" t="s">
        <v>835</v>
      </c>
      <c r="C447" s="12" t="s">
        <v>234</v>
      </c>
      <c r="D447" s="13" t="s">
        <v>836</v>
      </c>
      <c r="E447" s="19" t="s">
        <v>236</v>
      </c>
      <c r="F447" s="19">
        <v>252</v>
      </c>
      <c r="G447" s="20">
        <v>71.42</v>
      </c>
      <c r="H447" s="20">
        <f t="shared" si="6"/>
        <v>17997.84</v>
      </c>
      <c r="I447" s="12" t="s">
        <v>837</v>
      </c>
      <c r="J447" s="22" t="s">
        <v>16</v>
      </c>
      <c r="K447" s="22" t="s">
        <v>17</v>
      </c>
    </row>
    <row r="448" spans="1:11" s="7" customFormat="1" ht="25.5" x14ac:dyDescent="0.25">
      <c r="A448" s="18">
        <v>447</v>
      </c>
      <c r="B448" s="12" t="s">
        <v>838</v>
      </c>
      <c r="C448" s="12" t="s">
        <v>234</v>
      </c>
      <c r="D448" s="13" t="s">
        <v>839</v>
      </c>
      <c r="E448" s="19" t="s">
        <v>236</v>
      </c>
      <c r="F448" s="19">
        <v>12</v>
      </c>
      <c r="G448" s="20">
        <v>40.090000000000003</v>
      </c>
      <c r="H448" s="20">
        <f t="shared" si="6"/>
        <v>481.08000000000004</v>
      </c>
      <c r="I448" s="12" t="s">
        <v>837</v>
      </c>
      <c r="J448" s="22" t="s">
        <v>16</v>
      </c>
      <c r="K448" s="22" t="s">
        <v>17</v>
      </c>
    </row>
    <row r="449" spans="1:11" s="7" customFormat="1" ht="25.5" x14ac:dyDescent="0.25">
      <c r="A449" s="18">
        <v>448</v>
      </c>
      <c r="B449" s="12" t="s">
        <v>840</v>
      </c>
      <c r="C449" s="12" t="s">
        <v>234</v>
      </c>
      <c r="D449" s="13" t="s">
        <v>841</v>
      </c>
      <c r="E449" s="19" t="s">
        <v>236</v>
      </c>
      <c r="F449" s="19">
        <v>34</v>
      </c>
      <c r="G449" s="20">
        <v>72.69</v>
      </c>
      <c r="H449" s="20">
        <f t="shared" si="6"/>
        <v>2471.46</v>
      </c>
      <c r="I449" s="12" t="s">
        <v>837</v>
      </c>
      <c r="J449" s="22" t="s">
        <v>16</v>
      </c>
      <c r="K449" s="22" t="s">
        <v>17</v>
      </c>
    </row>
    <row r="450" spans="1:11" s="7" customFormat="1" x14ac:dyDescent="0.25">
      <c r="A450" s="18">
        <v>449</v>
      </c>
      <c r="B450" s="12" t="s">
        <v>1548</v>
      </c>
      <c r="C450" s="12" t="s">
        <v>34</v>
      </c>
      <c r="D450" s="13" t="s">
        <v>1549</v>
      </c>
      <c r="E450" s="19" t="s">
        <v>14</v>
      </c>
      <c r="F450" s="19">
        <v>75</v>
      </c>
      <c r="G450" s="20">
        <v>54.17</v>
      </c>
      <c r="H450" s="20">
        <f t="shared" ref="H450:H513" si="7">F450*G450</f>
        <v>4062.75</v>
      </c>
      <c r="I450" s="12" t="s">
        <v>837</v>
      </c>
      <c r="J450" s="19" t="s">
        <v>16</v>
      </c>
      <c r="K450" s="19" t="s">
        <v>17</v>
      </c>
    </row>
    <row r="451" spans="1:11" s="7" customFormat="1" x14ac:dyDescent="0.25">
      <c r="A451" s="18">
        <v>450</v>
      </c>
      <c r="B451" s="12" t="s">
        <v>1580</v>
      </c>
      <c r="C451" s="12" t="s">
        <v>1581</v>
      </c>
      <c r="D451" s="13" t="s">
        <v>1582</v>
      </c>
      <c r="E451" s="19" t="s">
        <v>14</v>
      </c>
      <c r="F451" s="19">
        <v>8</v>
      </c>
      <c r="G451" s="20">
        <v>19.46</v>
      </c>
      <c r="H451" s="20">
        <f t="shared" si="7"/>
        <v>155.68</v>
      </c>
      <c r="I451" s="12" t="s">
        <v>837</v>
      </c>
      <c r="J451" s="19" t="s">
        <v>16</v>
      </c>
      <c r="K451" s="19" t="s">
        <v>17</v>
      </c>
    </row>
    <row r="452" spans="1:11" s="7" customFormat="1" ht="25.5" x14ac:dyDescent="0.25">
      <c r="A452" s="18">
        <v>451</v>
      </c>
      <c r="B452" s="12" t="s">
        <v>1467</v>
      </c>
      <c r="C452" s="12" t="s">
        <v>186</v>
      </c>
      <c r="D452" s="13">
        <v>13983</v>
      </c>
      <c r="E452" s="19" t="s">
        <v>14</v>
      </c>
      <c r="F452" s="19">
        <v>2</v>
      </c>
      <c r="G452" s="20">
        <v>522.38</v>
      </c>
      <c r="H452" s="20">
        <f t="shared" si="7"/>
        <v>1044.76</v>
      </c>
      <c r="I452" s="12" t="s">
        <v>844</v>
      </c>
      <c r="J452" s="22" t="s">
        <v>16</v>
      </c>
      <c r="K452" s="22" t="s">
        <v>17</v>
      </c>
    </row>
    <row r="453" spans="1:11" s="7" customFormat="1" ht="25.5" x14ac:dyDescent="0.25">
      <c r="A453" s="18">
        <v>452</v>
      </c>
      <c r="B453" s="12" t="s">
        <v>1501</v>
      </c>
      <c r="C453" s="12" t="s">
        <v>1502</v>
      </c>
      <c r="D453" s="13">
        <v>26305</v>
      </c>
      <c r="E453" s="19" t="s">
        <v>191</v>
      </c>
      <c r="F453" s="19">
        <v>1</v>
      </c>
      <c r="G453" s="20">
        <v>11.47</v>
      </c>
      <c r="H453" s="20">
        <f t="shared" si="7"/>
        <v>11.47</v>
      </c>
      <c r="I453" s="12" t="s">
        <v>844</v>
      </c>
      <c r="J453" s="22" t="s">
        <v>16</v>
      </c>
      <c r="K453" s="22" t="s">
        <v>17</v>
      </c>
    </row>
    <row r="454" spans="1:11" s="7" customFormat="1" x14ac:dyDescent="0.25">
      <c r="A454" s="18">
        <v>453</v>
      </c>
      <c r="B454" s="12" t="s">
        <v>1526</v>
      </c>
      <c r="C454" s="12" t="s">
        <v>1527</v>
      </c>
      <c r="D454" s="13">
        <v>60234</v>
      </c>
      <c r="E454" s="19" t="s">
        <v>24</v>
      </c>
      <c r="F454" s="19">
        <v>10</v>
      </c>
      <c r="G454" s="20">
        <v>10.209999999999999</v>
      </c>
      <c r="H454" s="20">
        <f t="shared" si="7"/>
        <v>102.1</v>
      </c>
      <c r="I454" s="12" t="s">
        <v>844</v>
      </c>
      <c r="J454" s="22" t="s">
        <v>16</v>
      </c>
      <c r="K454" s="22" t="s">
        <v>17</v>
      </c>
    </row>
    <row r="455" spans="1:11" s="7" customFormat="1" x14ac:dyDescent="0.25">
      <c r="A455" s="18">
        <v>454</v>
      </c>
      <c r="B455" s="12" t="s">
        <v>1021</v>
      </c>
      <c r="C455" s="12" t="s">
        <v>297</v>
      </c>
      <c r="D455" s="13">
        <v>424016</v>
      </c>
      <c r="E455" s="19" t="s">
        <v>14</v>
      </c>
      <c r="F455" s="19">
        <v>1</v>
      </c>
      <c r="G455" s="20">
        <v>35.35</v>
      </c>
      <c r="H455" s="20">
        <f t="shared" si="7"/>
        <v>35.35</v>
      </c>
      <c r="I455" s="12" t="s">
        <v>844</v>
      </c>
      <c r="J455" s="19" t="s">
        <v>16</v>
      </c>
      <c r="K455" s="19" t="s">
        <v>17</v>
      </c>
    </row>
    <row r="456" spans="1:11" s="7" customFormat="1" ht="25.5" x14ac:dyDescent="0.25">
      <c r="A456" s="18">
        <v>455</v>
      </c>
      <c r="B456" s="12" t="s">
        <v>1498</v>
      </c>
      <c r="C456" s="12" t="s">
        <v>63</v>
      </c>
      <c r="D456" s="13">
        <v>612019</v>
      </c>
      <c r="E456" s="19" t="s">
        <v>24</v>
      </c>
      <c r="F456" s="19">
        <v>3</v>
      </c>
      <c r="G456" s="20">
        <v>9.43</v>
      </c>
      <c r="H456" s="20">
        <f t="shared" si="7"/>
        <v>28.29</v>
      </c>
      <c r="I456" s="12" t="s">
        <v>844</v>
      </c>
      <c r="J456" s="22" t="s">
        <v>16</v>
      </c>
      <c r="K456" s="22" t="s">
        <v>17</v>
      </c>
    </row>
    <row r="457" spans="1:11" s="7" customFormat="1" x14ac:dyDescent="0.25">
      <c r="A457" s="18">
        <v>456</v>
      </c>
      <c r="B457" s="12" t="s">
        <v>1024</v>
      </c>
      <c r="C457" s="12" t="s">
        <v>63</v>
      </c>
      <c r="D457" s="13">
        <v>630605</v>
      </c>
      <c r="E457" s="19" t="s">
        <v>14</v>
      </c>
      <c r="F457" s="19">
        <v>10</v>
      </c>
      <c r="G457" s="20">
        <v>0.45</v>
      </c>
      <c r="H457" s="20">
        <f t="shared" si="7"/>
        <v>4.5</v>
      </c>
      <c r="I457" s="12" t="s">
        <v>844</v>
      </c>
      <c r="J457" s="22" t="s">
        <v>16</v>
      </c>
      <c r="K457" s="22" t="s">
        <v>17</v>
      </c>
    </row>
    <row r="458" spans="1:11" s="7" customFormat="1" ht="25.5" x14ac:dyDescent="0.25">
      <c r="A458" s="18">
        <v>457</v>
      </c>
      <c r="B458" s="12" t="s">
        <v>1351</v>
      </c>
      <c r="C458" s="12" t="s">
        <v>1028</v>
      </c>
      <c r="D458" s="13">
        <v>10060580</v>
      </c>
      <c r="E458" s="19" t="s">
        <v>14</v>
      </c>
      <c r="F458" s="19">
        <v>110</v>
      </c>
      <c r="G458" s="20">
        <v>5.62</v>
      </c>
      <c r="H458" s="20">
        <f t="shared" si="7"/>
        <v>618.20000000000005</v>
      </c>
      <c r="I458" s="12" t="s">
        <v>844</v>
      </c>
      <c r="J458" s="22" t="s">
        <v>16</v>
      </c>
      <c r="K458" s="22" t="s">
        <v>17</v>
      </c>
    </row>
    <row r="459" spans="1:11" s="7" customFormat="1" ht="25.5" x14ac:dyDescent="0.25">
      <c r="A459" s="18">
        <v>458</v>
      </c>
      <c r="B459" s="12" t="s">
        <v>1351</v>
      </c>
      <c r="C459" s="12" t="s">
        <v>1028</v>
      </c>
      <c r="D459" s="13">
        <v>10060580</v>
      </c>
      <c r="E459" s="19" t="s">
        <v>14</v>
      </c>
      <c r="F459" s="19">
        <v>6</v>
      </c>
      <c r="G459" s="20">
        <v>5.62</v>
      </c>
      <c r="H459" s="20">
        <f t="shared" si="7"/>
        <v>33.72</v>
      </c>
      <c r="I459" s="12" t="s">
        <v>844</v>
      </c>
      <c r="J459" s="19" t="s">
        <v>16</v>
      </c>
      <c r="K459" s="19" t="s">
        <v>17</v>
      </c>
    </row>
    <row r="460" spans="1:11" s="7" customFormat="1" x14ac:dyDescent="0.25">
      <c r="A460" s="18">
        <v>459</v>
      </c>
      <c r="B460" s="12" t="s">
        <v>1493</v>
      </c>
      <c r="C460" s="12" t="s">
        <v>539</v>
      </c>
      <c r="D460" s="13">
        <v>2608831033</v>
      </c>
      <c r="E460" s="19" t="s">
        <v>14</v>
      </c>
      <c r="F460" s="19">
        <v>2</v>
      </c>
      <c r="G460" s="20">
        <v>9.33</v>
      </c>
      <c r="H460" s="20">
        <f t="shared" si="7"/>
        <v>18.66</v>
      </c>
      <c r="I460" s="12" t="s">
        <v>844</v>
      </c>
      <c r="J460" s="22" t="s">
        <v>16</v>
      </c>
      <c r="K460" s="22" t="s">
        <v>17</v>
      </c>
    </row>
    <row r="461" spans="1:11" s="7" customFormat="1" ht="25.5" x14ac:dyDescent="0.25">
      <c r="A461" s="18">
        <v>460</v>
      </c>
      <c r="B461" s="12" t="s">
        <v>1468</v>
      </c>
      <c r="C461" s="12" t="s">
        <v>22</v>
      </c>
      <c r="D461" s="13" t="s">
        <v>1469</v>
      </c>
      <c r="E461" s="19" t="s">
        <v>24</v>
      </c>
      <c r="F461" s="19">
        <v>1</v>
      </c>
      <c r="G461" s="20">
        <v>26.66</v>
      </c>
      <c r="H461" s="20">
        <f t="shared" si="7"/>
        <v>26.66</v>
      </c>
      <c r="I461" s="12" t="s">
        <v>844</v>
      </c>
      <c r="J461" s="22" t="s">
        <v>16</v>
      </c>
      <c r="K461" s="22" t="s">
        <v>17</v>
      </c>
    </row>
    <row r="462" spans="1:11" s="7" customFormat="1" ht="25.5" x14ac:dyDescent="0.25">
      <c r="A462" s="18">
        <v>461</v>
      </c>
      <c r="B462" s="12" t="s">
        <v>1546</v>
      </c>
      <c r="C462" s="12" t="s">
        <v>22</v>
      </c>
      <c r="D462" s="13" t="s">
        <v>1547</v>
      </c>
      <c r="E462" s="19" t="s">
        <v>24</v>
      </c>
      <c r="F462" s="19">
        <v>2</v>
      </c>
      <c r="G462" s="20">
        <v>79.45</v>
      </c>
      <c r="H462" s="20">
        <f t="shared" si="7"/>
        <v>158.9</v>
      </c>
      <c r="I462" s="12" t="s">
        <v>844</v>
      </c>
      <c r="J462" s="19" t="s">
        <v>16</v>
      </c>
      <c r="K462" s="19" t="s">
        <v>17</v>
      </c>
    </row>
    <row r="463" spans="1:11" s="7" customFormat="1" x14ac:dyDescent="0.25">
      <c r="A463" s="18">
        <v>462</v>
      </c>
      <c r="B463" s="12" t="s">
        <v>1535</v>
      </c>
      <c r="C463" s="12" t="s">
        <v>22</v>
      </c>
      <c r="D463" s="13" t="s">
        <v>1536</v>
      </c>
      <c r="E463" s="19" t="s">
        <v>14</v>
      </c>
      <c r="F463" s="19">
        <v>20</v>
      </c>
      <c r="G463" s="20">
        <v>0.57999999999999996</v>
      </c>
      <c r="H463" s="20">
        <f t="shared" si="7"/>
        <v>11.6</v>
      </c>
      <c r="I463" s="12" t="s">
        <v>844</v>
      </c>
      <c r="J463" s="22" t="s">
        <v>16</v>
      </c>
      <c r="K463" s="22" t="s">
        <v>17</v>
      </c>
    </row>
    <row r="464" spans="1:11" s="7" customFormat="1" x14ac:dyDescent="0.25">
      <c r="A464" s="18">
        <v>463</v>
      </c>
      <c r="B464" s="12" t="s">
        <v>1514</v>
      </c>
      <c r="C464" s="12" t="s">
        <v>212</v>
      </c>
      <c r="D464" s="13" t="s">
        <v>1515</v>
      </c>
      <c r="E464" s="19" t="s">
        <v>191</v>
      </c>
      <c r="F464" s="19">
        <v>1</v>
      </c>
      <c r="G464" s="20">
        <v>21.46</v>
      </c>
      <c r="H464" s="20">
        <f t="shared" si="7"/>
        <v>21.46</v>
      </c>
      <c r="I464" s="12" t="s">
        <v>844</v>
      </c>
      <c r="J464" s="22" t="s">
        <v>16</v>
      </c>
      <c r="K464" s="22" t="s">
        <v>17</v>
      </c>
    </row>
    <row r="465" spans="1:11" s="7" customFormat="1" x14ac:dyDescent="0.25">
      <c r="A465" s="18">
        <v>464</v>
      </c>
      <c r="B465" s="12" t="s">
        <v>867</v>
      </c>
      <c r="C465" s="12" t="s">
        <v>212</v>
      </c>
      <c r="D465" s="13" t="s">
        <v>868</v>
      </c>
      <c r="E465" s="19" t="s">
        <v>191</v>
      </c>
      <c r="F465" s="19">
        <v>1</v>
      </c>
      <c r="G465" s="20">
        <v>6.48</v>
      </c>
      <c r="H465" s="20">
        <f t="shared" si="7"/>
        <v>6.48</v>
      </c>
      <c r="I465" s="12" t="s">
        <v>844</v>
      </c>
      <c r="J465" s="19" t="s">
        <v>16</v>
      </c>
      <c r="K465" s="19" t="s">
        <v>17</v>
      </c>
    </row>
    <row r="466" spans="1:11" s="7" customFormat="1" x14ac:dyDescent="0.25">
      <c r="A466" s="18">
        <v>465</v>
      </c>
      <c r="B466" s="12" t="s">
        <v>1352</v>
      </c>
      <c r="C466" s="12" t="s">
        <v>212</v>
      </c>
      <c r="D466" s="13" t="s">
        <v>1353</v>
      </c>
      <c r="E466" s="19" t="s">
        <v>191</v>
      </c>
      <c r="F466" s="19">
        <v>3</v>
      </c>
      <c r="G466" s="20">
        <v>42.1</v>
      </c>
      <c r="H466" s="20">
        <f t="shared" si="7"/>
        <v>126.30000000000001</v>
      </c>
      <c r="I466" s="12" t="s">
        <v>844</v>
      </c>
      <c r="J466" s="19" t="s">
        <v>16</v>
      </c>
      <c r="K466" s="19" t="s">
        <v>17</v>
      </c>
    </row>
    <row r="467" spans="1:11" s="7" customFormat="1" ht="25.5" x14ac:dyDescent="0.25">
      <c r="A467" s="18">
        <v>466</v>
      </c>
      <c r="B467" s="12" t="s">
        <v>1354</v>
      </c>
      <c r="C467" s="12" t="s">
        <v>212</v>
      </c>
      <c r="D467" s="13" t="s">
        <v>1355</v>
      </c>
      <c r="E467" s="19" t="s">
        <v>191</v>
      </c>
      <c r="F467" s="19">
        <v>1</v>
      </c>
      <c r="G467" s="20">
        <v>21.930000000000003</v>
      </c>
      <c r="H467" s="20">
        <f t="shared" si="7"/>
        <v>21.930000000000003</v>
      </c>
      <c r="I467" s="12" t="s">
        <v>844</v>
      </c>
      <c r="J467" s="19" t="s">
        <v>16</v>
      </c>
      <c r="K467" s="19" t="s">
        <v>17</v>
      </c>
    </row>
    <row r="468" spans="1:11" s="7" customFormat="1" x14ac:dyDescent="0.25">
      <c r="A468" s="18">
        <v>467</v>
      </c>
      <c r="B468" s="12" t="s">
        <v>1537</v>
      </c>
      <c r="C468" s="12" t="s">
        <v>1065</v>
      </c>
      <c r="D468" s="13" t="s">
        <v>1538</v>
      </c>
      <c r="E468" s="19" t="s">
        <v>14</v>
      </c>
      <c r="F468" s="19">
        <v>12</v>
      </c>
      <c r="G468" s="20">
        <v>3.4099999999999997</v>
      </c>
      <c r="H468" s="20">
        <f t="shared" si="7"/>
        <v>40.919999999999995</v>
      </c>
      <c r="I468" s="12" t="s">
        <v>844</v>
      </c>
      <c r="J468" s="22" t="s">
        <v>16</v>
      </c>
      <c r="K468" s="22" t="s">
        <v>17</v>
      </c>
    </row>
    <row r="469" spans="1:11" s="7" customFormat="1" x14ac:dyDescent="0.25">
      <c r="A469" s="18">
        <v>468</v>
      </c>
      <c r="B469" s="12" t="s">
        <v>1539</v>
      </c>
      <c r="C469" s="12" t="s">
        <v>1367</v>
      </c>
      <c r="D469" s="13" t="s">
        <v>1540</v>
      </c>
      <c r="E469" s="19" t="s">
        <v>68</v>
      </c>
      <c r="F469" s="19">
        <v>5</v>
      </c>
      <c r="G469" s="20">
        <v>5.43</v>
      </c>
      <c r="H469" s="20">
        <f t="shared" si="7"/>
        <v>27.15</v>
      </c>
      <c r="I469" s="12" t="s">
        <v>844</v>
      </c>
      <c r="J469" s="22" t="s">
        <v>16</v>
      </c>
      <c r="K469" s="22" t="s">
        <v>17</v>
      </c>
    </row>
    <row r="470" spans="1:11" s="7" customFormat="1" x14ac:dyDescent="0.25">
      <c r="A470" s="18">
        <v>469</v>
      </c>
      <c r="B470" s="12" t="s">
        <v>1541</v>
      </c>
      <c r="C470" s="12" t="s">
        <v>1367</v>
      </c>
      <c r="D470" s="13" t="s">
        <v>1542</v>
      </c>
      <c r="E470" s="19" t="s">
        <v>68</v>
      </c>
      <c r="F470" s="19">
        <v>5</v>
      </c>
      <c r="G470" s="20">
        <v>5.43</v>
      </c>
      <c r="H470" s="20">
        <f t="shared" si="7"/>
        <v>27.15</v>
      </c>
      <c r="I470" s="12" t="s">
        <v>844</v>
      </c>
      <c r="J470" s="22" t="s">
        <v>16</v>
      </c>
      <c r="K470" s="22" t="s">
        <v>17</v>
      </c>
    </row>
    <row r="471" spans="1:11" s="7" customFormat="1" x14ac:dyDescent="0.25">
      <c r="A471" s="18">
        <v>470</v>
      </c>
      <c r="B471" s="12" t="s">
        <v>1437</v>
      </c>
      <c r="C471" s="12" t="s">
        <v>1367</v>
      </c>
      <c r="D471" s="13" t="s">
        <v>1543</v>
      </c>
      <c r="E471" s="19" t="s">
        <v>68</v>
      </c>
      <c r="F471" s="19">
        <v>5</v>
      </c>
      <c r="G471" s="20">
        <v>5.43</v>
      </c>
      <c r="H471" s="20">
        <f t="shared" si="7"/>
        <v>27.15</v>
      </c>
      <c r="I471" s="12" t="s">
        <v>844</v>
      </c>
      <c r="J471" s="22" t="s">
        <v>16</v>
      </c>
      <c r="K471" s="22" t="s">
        <v>17</v>
      </c>
    </row>
    <row r="472" spans="1:11" s="7" customFormat="1" x14ac:dyDescent="0.25">
      <c r="A472" s="18">
        <v>471</v>
      </c>
      <c r="B472" s="12" t="s">
        <v>1544</v>
      </c>
      <c r="C472" s="12" t="s">
        <v>1065</v>
      </c>
      <c r="D472" s="13" t="s">
        <v>1545</v>
      </c>
      <c r="E472" s="19" t="s">
        <v>14</v>
      </c>
      <c r="F472" s="19">
        <v>12</v>
      </c>
      <c r="G472" s="20">
        <v>3.0999999999999996</v>
      </c>
      <c r="H472" s="20">
        <f t="shared" si="7"/>
        <v>37.199999999999996</v>
      </c>
      <c r="I472" s="12" t="s">
        <v>844</v>
      </c>
      <c r="J472" s="22" t="s">
        <v>16</v>
      </c>
      <c r="K472" s="22" t="s">
        <v>17</v>
      </c>
    </row>
    <row r="473" spans="1:11" s="7" customFormat="1" ht="25.5" x14ac:dyDescent="0.25">
      <c r="A473" s="18">
        <v>472</v>
      </c>
      <c r="B473" s="12" t="s">
        <v>1368</v>
      </c>
      <c r="C473" s="12" t="s">
        <v>1296</v>
      </c>
      <c r="D473" s="13" t="s">
        <v>1369</v>
      </c>
      <c r="E473" s="19" t="s">
        <v>236</v>
      </c>
      <c r="F473" s="19">
        <v>1</v>
      </c>
      <c r="G473" s="20">
        <v>63.48</v>
      </c>
      <c r="H473" s="20">
        <f t="shared" si="7"/>
        <v>63.48</v>
      </c>
      <c r="I473" s="12" t="s">
        <v>844</v>
      </c>
      <c r="J473" s="22" t="s">
        <v>16</v>
      </c>
      <c r="K473" s="22" t="s">
        <v>17</v>
      </c>
    </row>
    <row r="474" spans="1:11" s="7" customFormat="1" x14ac:dyDescent="0.25">
      <c r="A474" s="18">
        <v>473</v>
      </c>
      <c r="B474" s="12" t="s">
        <v>1533</v>
      </c>
      <c r="C474" s="12" t="s">
        <v>215</v>
      </c>
      <c r="D474" s="13" t="s">
        <v>1534</v>
      </c>
      <c r="E474" s="19" t="s">
        <v>14</v>
      </c>
      <c r="F474" s="19">
        <v>300</v>
      </c>
      <c r="G474" s="20">
        <v>0.13</v>
      </c>
      <c r="H474" s="20">
        <f t="shared" si="7"/>
        <v>39</v>
      </c>
      <c r="I474" s="12" t="s">
        <v>844</v>
      </c>
      <c r="J474" s="22" t="s">
        <v>16</v>
      </c>
      <c r="K474" s="22" t="s">
        <v>17</v>
      </c>
    </row>
    <row r="475" spans="1:11" s="7" customFormat="1" x14ac:dyDescent="0.25">
      <c r="A475" s="18">
        <v>474</v>
      </c>
      <c r="B475" s="12" t="s">
        <v>1494</v>
      </c>
      <c r="C475" s="12" t="s">
        <v>28</v>
      </c>
      <c r="D475" s="13" t="s">
        <v>1495</v>
      </c>
      <c r="E475" s="19" t="s">
        <v>24</v>
      </c>
      <c r="F475" s="19">
        <v>2</v>
      </c>
      <c r="G475" s="20">
        <v>37.339999999999996</v>
      </c>
      <c r="H475" s="20">
        <f t="shared" si="7"/>
        <v>74.679999999999993</v>
      </c>
      <c r="I475" s="12" t="s">
        <v>844</v>
      </c>
      <c r="J475" s="22" t="s">
        <v>16</v>
      </c>
      <c r="K475" s="22" t="s">
        <v>17</v>
      </c>
    </row>
    <row r="476" spans="1:11" s="7" customFormat="1" x14ac:dyDescent="0.25">
      <c r="A476" s="18">
        <v>475</v>
      </c>
      <c r="B476" s="12" t="s">
        <v>1505</v>
      </c>
      <c r="C476" s="12" t="s">
        <v>1506</v>
      </c>
      <c r="D476" s="13" t="s">
        <v>1507</v>
      </c>
      <c r="E476" s="19" t="s">
        <v>14</v>
      </c>
      <c r="F476" s="19">
        <v>2</v>
      </c>
      <c r="G476" s="20">
        <v>89.53</v>
      </c>
      <c r="H476" s="20">
        <f t="shared" si="7"/>
        <v>179.06</v>
      </c>
      <c r="I476" s="12" t="s">
        <v>844</v>
      </c>
      <c r="J476" s="22" t="s">
        <v>16</v>
      </c>
      <c r="K476" s="22" t="s">
        <v>17</v>
      </c>
    </row>
    <row r="477" spans="1:11" s="7" customFormat="1" ht="25.5" x14ac:dyDescent="0.25">
      <c r="A477" s="18">
        <v>476</v>
      </c>
      <c r="B477" s="12" t="s">
        <v>1528</v>
      </c>
      <c r="C477" s="12" t="s">
        <v>28</v>
      </c>
      <c r="D477" s="13" t="s">
        <v>1529</v>
      </c>
      <c r="E477" s="19" t="s">
        <v>14</v>
      </c>
      <c r="F477" s="19">
        <v>20</v>
      </c>
      <c r="G477" s="20">
        <v>0.76</v>
      </c>
      <c r="H477" s="20">
        <f t="shared" si="7"/>
        <v>15.2</v>
      </c>
      <c r="I477" s="12" t="s">
        <v>844</v>
      </c>
      <c r="J477" s="22" t="s">
        <v>16</v>
      </c>
      <c r="K477" s="22" t="s">
        <v>17</v>
      </c>
    </row>
    <row r="478" spans="1:11" s="7" customFormat="1" x14ac:dyDescent="0.25">
      <c r="A478" s="18">
        <v>477</v>
      </c>
      <c r="B478" s="12" t="s">
        <v>1576</v>
      </c>
      <c r="C478" s="12" t="s">
        <v>1506</v>
      </c>
      <c r="D478" s="13" t="s">
        <v>1577</v>
      </c>
      <c r="E478" s="19" t="s">
        <v>14</v>
      </c>
      <c r="F478" s="19">
        <v>1</v>
      </c>
      <c r="G478" s="20">
        <v>469.16</v>
      </c>
      <c r="H478" s="20">
        <f t="shared" si="7"/>
        <v>469.16</v>
      </c>
      <c r="I478" s="12" t="s">
        <v>844</v>
      </c>
      <c r="J478" s="19" t="s">
        <v>307</v>
      </c>
      <c r="K478" s="19" t="s">
        <v>308</v>
      </c>
    </row>
    <row r="479" spans="1:11" s="7" customFormat="1" x14ac:dyDescent="0.25">
      <c r="A479" s="18">
        <v>478</v>
      </c>
      <c r="B479" s="12" t="s">
        <v>1481</v>
      </c>
      <c r="C479" s="12" t="s">
        <v>736</v>
      </c>
      <c r="D479" s="13" t="s">
        <v>1482</v>
      </c>
      <c r="E479" s="19" t="s">
        <v>14</v>
      </c>
      <c r="F479" s="19">
        <v>1</v>
      </c>
      <c r="G479" s="20">
        <v>26.900000000000002</v>
      </c>
      <c r="H479" s="20">
        <f t="shared" si="7"/>
        <v>26.900000000000002</v>
      </c>
      <c r="I479" s="12" t="s">
        <v>844</v>
      </c>
      <c r="J479" s="22" t="s">
        <v>16</v>
      </c>
      <c r="K479" s="22" t="s">
        <v>17</v>
      </c>
    </row>
    <row r="480" spans="1:11" s="7" customFormat="1" x14ac:dyDescent="0.25">
      <c r="A480" s="18">
        <v>479</v>
      </c>
      <c r="B480" s="12" t="s">
        <v>1555</v>
      </c>
      <c r="C480" s="12" t="s">
        <v>234</v>
      </c>
      <c r="D480" s="13" t="s">
        <v>1556</v>
      </c>
      <c r="E480" s="19" t="s">
        <v>68</v>
      </c>
      <c r="F480" s="19">
        <v>5</v>
      </c>
      <c r="G480" s="20">
        <v>5.43</v>
      </c>
      <c r="H480" s="20">
        <f t="shared" si="7"/>
        <v>27.15</v>
      </c>
      <c r="I480" s="12" t="s">
        <v>844</v>
      </c>
      <c r="J480" s="19" t="s">
        <v>16</v>
      </c>
      <c r="K480" s="19" t="s">
        <v>17</v>
      </c>
    </row>
    <row r="481" spans="1:11" s="7" customFormat="1" x14ac:dyDescent="0.25">
      <c r="A481" s="18">
        <v>480</v>
      </c>
      <c r="B481" s="12" t="s">
        <v>1557</v>
      </c>
      <c r="C481" s="12" t="s">
        <v>234</v>
      </c>
      <c r="D481" s="13" t="s">
        <v>1558</v>
      </c>
      <c r="E481" s="19" t="s">
        <v>68</v>
      </c>
      <c r="F481" s="19">
        <v>5</v>
      </c>
      <c r="G481" s="20">
        <v>5.43</v>
      </c>
      <c r="H481" s="20">
        <f t="shared" si="7"/>
        <v>27.15</v>
      </c>
      <c r="I481" s="12" t="s">
        <v>844</v>
      </c>
      <c r="J481" s="19" t="s">
        <v>16</v>
      </c>
      <c r="K481" s="19" t="s">
        <v>17</v>
      </c>
    </row>
    <row r="482" spans="1:11" s="7" customFormat="1" ht="25.5" x14ac:dyDescent="0.25">
      <c r="A482" s="18">
        <v>481</v>
      </c>
      <c r="B482" s="12" t="s">
        <v>642</v>
      </c>
      <c r="C482" s="12" t="s">
        <v>39</v>
      </c>
      <c r="D482" s="13" t="s">
        <v>643</v>
      </c>
      <c r="E482" s="19" t="s">
        <v>14</v>
      </c>
      <c r="F482" s="19">
        <v>4</v>
      </c>
      <c r="G482" s="20">
        <v>84.79</v>
      </c>
      <c r="H482" s="20">
        <f t="shared" si="7"/>
        <v>339.16</v>
      </c>
      <c r="I482" s="12" t="s">
        <v>844</v>
      </c>
      <c r="J482" s="22" t="s">
        <v>16</v>
      </c>
      <c r="K482" s="22" t="s">
        <v>17</v>
      </c>
    </row>
    <row r="483" spans="1:11" s="7" customFormat="1" ht="25.5" x14ac:dyDescent="0.25">
      <c r="A483" s="18">
        <v>482</v>
      </c>
      <c r="B483" s="12" t="s">
        <v>495</v>
      </c>
      <c r="C483" s="12" t="s">
        <v>39</v>
      </c>
      <c r="D483" s="13" t="s">
        <v>496</v>
      </c>
      <c r="E483" s="19" t="s">
        <v>14</v>
      </c>
      <c r="F483" s="19">
        <v>1</v>
      </c>
      <c r="G483" s="20">
        <v>99.88</v>
      </c>
      <c r="H483" s="20">
        <f t="shared" si="7"/>
        <v>99.88</v>
      </c>
      <c r="I483" s="12" t="s">
        <v>844</v>
      </c>
      <c r="J483" s="19" t="s">
        <v>16</v>
      </c>
      <c r="K483" s="19" t="s">
        <v>17</v>
      </c>
    </row>
    <row r="484" spans="1:11" s="7" customFormat="1" x14ac:dyDescent="0.25">
      <c r="A484" s="18">
        <v>483</v>
      </c>
      <c r="B484" s="12" t="s">
        <v>1374</v>
      </c>
      <c r="C484" s="12" t="s">
        <v>39</v>
      </c>
      <c r="D484" s="13" t="s">
        <v>1335</v>
      </c>
      <c r="E484" s="19" t="s">
        <v>14</v>
      </c>
      <c r="F484" s="19">
        <v>9</v>
      </c>
      <c r="G484" s="20">
        <v>6.59</v>
      </c>
      <c r="H484" s="20">
        <f t="shared" si="7"/>
        <v>59.31</v>
      </c>
      <c r="I484" s="12" t="s">
        <v>844</v>
      </c>
      <c r="J484" s="22" t="s">
        <v>16</v>
      </c>
      <c r="K484" s="22" t="s">
        <v>17</v>
      </c>
    </row>
    <row r="485" spans="1:11" s="7" customFormat="1" ht="25.5" x14ac:dyDescent="0.25">
      <c r="A485" s="18">
        <v>484</v>
      </c>
      <c r="B485" s="12" t="s">
        <v>243</v>
      </c>
      <c r="C485" s="12" t="s">
        <v>39</v>
      </c>
      <c r="D485" s="13" t="s">
        <v>244</v>
      </c>
      <c r="E485" s="19" t="s">
        <v>14</v>
      </c>
      <c r="F485" s="19">
        <v>1</v>
      </c>
      <c r="G485" s="20">
        <v>227.06</v>
      </c>
      <c r="H485" s="20">
        <f t="shared" si="7"/>
        <v>227.06</v>
      </c>
      <c r="I485" s="12" t="s">
        <v>844</v>
      </c>
      <c r="J485" s="22" t="s">
        <v>16</v>
      </c>
      <c r="K485" s="22" t="s">
        <v>17</v>
      </c>
    </row>
    <row r="486" spans="1:11" s="7" customFormat="1" ht="25.5" x14ac:dyDescent="0.25">
      <c r="A486" s="18">
        <v>485</v>
      </c>
      <c r="B486" s="12" t="s">
        <v>1123</v>
      </c>
      <c r="C486" s="12" t="s">
        <v>39</v>
      </c>
      <c r="D486" s="13" t="s">
        <v>1124</v>
      </c>
      <c r="E486" s="19" t="s">
        <v>14</v>
      </c>
      <c r="F486" s="19">
        <v>2</v>
      </c>
      <c r="G486" s="20">
        <v>42.83</v>
      </c>
      <c r="H486" s="20">
        <f t="shared" si="7"/>
        <v>85.66</v>
      </c>
      <c r="I486" s="12" t="s">
        <v>844</v>
      </c>
      <c r="J486" s="22" t="s">
        <v>16</v>
      </c>
      <c r="K486" s="22" t="s">
        <v>17</v>
      </c>
    </row>
    <row r="487" spans="1:11" s="7" customFormat="1" ht="25.5" x14ac:dyDescent="0.25">
      <c r="A487" s="18">
        <v>486</v>
      </c>
      <c r="B487" s="12" t="s">
        <v>1123</v>
      </c>
      <c r="C487" s="12" t="s">
        <v>39</v>
      </c>
      <c r="D487" s="13" t="s">
        <v>1124</v>
      </c>
      <c r="E487" s="19" t="s">
        <v>14</v>
      </c>
      <c r="F487" s="19">
        <v>2</v>
      </c>
      <c r="G487" s="20">
        <v>42.83</v>
      </c>
      <c r="H487" s="20">
        <f t="shared" si="7"/>
        <v>85.66</v>
      </c>
      <c r="I487" s="12" t="s">
        <v>844</v>
      </c>
      <c r="J487" s="22" t="s">
        <v>16</v>
      </c>
      <c r="K487" s="22" t="s">
        <v>17</v>
      </c>
    </row>
    <row r="488" spans="1:11" s="7" customFormat="1" ht="25.5" x14ac:dyDescent="0.25">
      <c r="A488" s="18">
        <v>487</v>
      </c>
      <c r="B488" s="12" t="s">
        <v>1123</v>
      </c>
      <c r="C488" s="12" t="s">
        <v>39</v>
      </c>
      <c r="D488" s="13" t="s">
        <v>1124</v>
      </c>
      <c r="E488" s="19" t="s">
        <v>14</v>
      </c>
      <c r="F488" s="19">
        <v>3</v>
      </c>
      <c r="G488" s="20">
        <v>42.83</v>
      </c>
      <c r="H488" s="20">
        <f t="shared" si="7"/>
        <v>128.49</v>
      </c>
      <c r="I488" s="12" t="s">
        <v>844</v>
      </c>
      <c r="J488" s="19" t="s">
        <v>16</v>
      </c>
      <c r="K488" s="19" t="s">
        <v>17</v>
      </c>
    </row>
    <row r="489" spans="1:11" s="7" customFormat="1" x14ac:dyDescent="0.25">
      <c r="A489" s="18">
        <v>488</v>
      </c>
      <c r="B489" s="12" t="s">
        <v>1343</v>
      </c>
      <c r="C489" s="12" t="s">
        <v>39</v>
      </c>
      <c r="D489" s="13" t="s">
        <v>1344</v>
      </c>
      <c r="E489" s="19" t="s">
        <v>14</v>
      </c>
      <c r="F489" s="19">
        <v>7</v>
      </c>
      <c r="G489" s="20">
        <v>24.360000000000003</v>
      </c>
      <c r="H489" s="20">
        <f t="shared" si="7"/>
        <v>170.52</v>
      </c>
      <c r="I489" s="12" t="s">
        <v>844</v>
      </c>
      <c r="J489" s="22" t="s">
        <v>16</v>
      </c>
      <c r="K489" s="22" t="s">
        <v>17</v>
      </c>
    </row>
    <row r="490" spans="1:11" s="7" customFormat="1" x14ac:dyDescent="0.25">
      <c r="A490" s="18">
        <v>489</v>
      </c>
      <c r="B490" s="12" t="s">
        <v>1127</v>
      </c>
      <c r="C490" s="12" t="s">
        <v>39</v>
      </c>
      <c r="D490" s="13" t="s">
        <v>1128</v>
      </c>
      <c r="E490" s="19" t="s">
        <v>14</v>
      </c>
      <c r="F490" s="19">
        <v>10</v>
      </c>
      <c r="G490" s="20">
        <v>93.300000000000011</v>
      </c>
      <c r="H490" s="20">
        <f t="shared" si="7"/>
        <v>933.00000000000011</v>
      </c>
      <c r="I490" s="12" t="s">
        <v>844</v>
      </c>
      <c r="J490" s="19" t="s">
        <v>16</v>
      </c>
      <c r="K490" s="19" t="s">
        <v>17</v>
      </c>
    </row>
    <row r="491" spans="1:11" s="7" customFormat="1" ht="38.25" x14ac:dyDescent="0.25">
      <c r="A491" s="18">
        <v>490</v>
      </c>
      <c r="B491" s="12" t="s">
        <v>1375</v>
      </c>
      <c r="C491" s="12" t="s">
        <v>1376</v>
      </c>
      <c r="D491" s="13" t="s">
        <v>1377</v>
      </c>
      <c r="E491" s="19" t="s">
        <v>191</v>
      </c>
      <c r="F491" s="19">
        <v>2</v>
      </c>
      <c r="G491" s="20">
        <v>11.82</v>
      </c>
      <c r="H491" s="20">
        <f t="shared" si="7"/>
        <v>23.64</v>
      </c>
      <c r="I491" s="12" t="s">
        <v>844</v>
      </c>
      <c r="J491" s="22" t="s">
        <v>16</v>
      </c>
      <c r="K491" s="22" t="s">
        <v>17</v>
      </c>
    </row>
    <row r="492" spans="1:11" s="7" customFormat="1" x14ac:dyDescent="0.25">
      <c r="A492" s="18">
        <v>491</v>
      </c>
      <c r="B492" s="12" t="s">
        <v>1499</v>
      </c>
      <c r="C492" s="12" t="s">
        <v>376</v>
      </c>
      <c r="D492" s="13" t="s">
        <v>1500</v>
      </c>
      <c r="E492" s="19" t="s">
        <v>14</v>
      </c>
      <c r="F492" s="19">
        <v>4</v>
      </c>
      <c r="G492" s="20">
        <v>13.799999999999999</v>
      </c>
      <c r="H492" s="20">
        <f t="shared" si="7"/>
        <v>55.199999999999996</v>
      </c>
      <c r="I492" s="12" t="s">
        <v>844</v>
      </c>
      <c r="J492" s="22" t="s">
        <v>16</v>
      </c>
      <c r="K492" s="22" t="s">
        <v>17</v>
      </c>
    </row>
    <row r="493" spans="1:11" s="7" customFormat="1" x14ac:dyDescent="0.25">
      <c r="A493" s="18">
        <v>492</v>
      </c>
      <c r="B493" s="12" t="s">
        <v>1550</v>
      </c>
      <c r="C493" s="12" t="s">
        <v>1551</v>
      </c>
      <c r="D493" s="13" t="s">
        <v>1552</v>
      </c>
      <c r="E493" s="19" t="s">
        <v>14</v>
      </c>
      <c r="F493" s="19">
        <v>2</v>
      </c>
      <c r="G493" s="20">
        <v>5.84</v>
      </c>
      <c r="H493" s="20">
        <f t="shared" si="7"/>
        <v>11.68</v>
      </c>
      <c r="I493" s="12" t="s">
        <v>844</v>
      </c>
      <c r="J493" s="19" t="s">
        <v>16</v>
      </c>
      <c r="K493" s="19" t="s">
        <v>17</v>
      </c>
    </row>
    <row r="494" spans="1:11" s="7" customFormat="1" x14ac:dyDescent="0.25">
      <c r="A494" s="18">
        <v>493</v>
      </c>
      <c r="B494" s="12" t="s">
        <v>1472</v>
      </c>
      <c r="C494" s="12" t="s">
        <v>1473</v>
      </c>
      <c r="D494" s="13" t="s">
        <v>1474</v>
      </c>
      <c r="E494" s="19" t="s">
        <v>14</v>
      </c>
      <c r="F494" s="19">
        <v>19</v>
      </c>
      <c r="G494" s="20">
        <v>1.17</v>
      </c>
      <c r="H494" s="20">
        <f t="shared" si="7"/>
        <v>22.229999999999997</v>
      </c>
      <c r="I494" s="12" t="s">
        <v>844</v>
      </c>
      <c r="J494" s="22" t="s">
        <v>16</v>
      </c>
      <c r="K494" s="22" t="s">
        <v>17</v>
      </c>
    </row>
    <row r="495" spans="1:11" s="7" customFormat="1" x14ac:dyDescent="0.25">
      <c r="A495" s="18">
        <v>494</v>
      </c>
      <c r="B495" s="12" t="s">
        <v>1512</v>
      </c>
      <c r="C495" s="12" t="s">
        <v>255</v>
      </c>
      <c r="D495" s="13" t="s">
        <v>1513</v>
      </c>
      <c r="E495" s="19" t="s">
        <v>14</v>
      </c>
      <c r="F495" s="19">
        <v>25</v>
      </c>
      <c r="G495" s="20">
        <v>0.21000000000000002</v>
      </c>
      <c r="H495" s="20">
        <f t="shared" si="7"/>
        <v>5.2500000000000009</v>
      </c>
      <c r="I495" s="12" t="s">
        <v>844</v>
      </c>
      <c r="J495" s="22" t="s">
        <v>16</v>
      </c>
      <c r="K495" s="22" t="s">
        <v>17</v>
      </c>
    </row>
    <row r="496" spans="1:11" s="7" customFormat="1" ht="25.5" x14ac:dyDescent="0.25">
      <c r="A496" s="18">
        <v>495</v>
      </c>
      <c r="B496" s="12" t="s">
        <v>1496</v>
      </c>
      <c r="C496" s="12" t="s">
        <v>550</v>
      </c>
      <c r="D496" s="13" t="s">
        <v>1497</v>
      </c>
      <c r="E496" s="19" t="s">
        <v>14</v>
      </c>
      <c r="F496" s="19">
        <v>1</v>
      </c>
      <c r="G496" s="20">
        <v>398.98</v>
      </c>
      <c r="H496" s="20">
        <f t="shared" si="7"/>
        <v>398.98</v>
      </c>
      <c r="I496" s="12" t="s">
        <v>844</v>
      </c>
      <c r="J496" s="19" t="s">
        <v>307</v>
      </c>
      <c r="K496" s="19" t="s">
        <v>308</v>
      </c>
    </row>
    <row r="497" spans="1:11" s="7" customFormat="1" ht="25.5" x14ac:dyDescent="0.25">
      <c r="A497" s="18">
        <v>496</v>
      </c>
      <c r="B497" s="12" t="s">
        <v>1336</v>
      </c>
      <c r="C497" s="12" t="s">
        <v>39</v>
      </c>
      <c r="D497" s="13" t="s">
        <v>1337</v>
      </c>
      <c r="E497" s="19" t="s">
        <v>14</v>
      </c>
      <c r="F497" s="19">
        <v>1</v>
      </c>
      <c r="G497" s="20">
        <v>54</v>
      </c>
      <c r="H497" s="20">
        <f t="shared" si="7"/>
        <v>54</v>
      </c>
      <c r="I497" s="12" t="s">
        <v>844</v>
      </c>
      <c r="J497" s="19" t="s">
        <v>16</v>
      </c>
      <c r="K497" s="19" t="s">
        <v>17</v>
      </c>
    </row>
    <row r="498" spans="1:11" s="7" customFormat="1" ht="25.5" x14ac:dyDescent="0.25">
      <c r="A498" s="18">
        <v>497</v>
      </c>
      <c r="B498" s="12" t="s">
        <v>1336</v>
      </c>
      <c r="C498" s="12" t="s">
        <v>39</v>
      </c>
      <c r="D498" s="13" t="s">
        <v>1337</v>
      </c>
      <c r="E498" s="19" t="s">
        <v>14</v>
      </c>
      <c r="F498" s="19">
        <v>4</v>
      </c>
      <c r="G498" s="20">
        <v>54</v>
      </c>
      <c r="H498" s="20">
        <f t="shared" si="7"/>
        <v>216</v>
      </c>
      <c r="I498" s="12" t="s">
        <v>844</v>
      </c>
      <c r="J498" s="19" t="s">
        <v>16</v>
      </c>
      <c r="K498" s="19" t="s">
        <v>17</v>
      </c>
    </row>
    <row r="499" spans="1:11" s="7" customFormat="1" x14ac:dyDescent="0.25">
      <c r="A499" s="18">
        <v>498</v>
      </c>
      <c r="B499" s="12" t="s">
        <v>1478</v>
      </c>
      <c r="C499" s="12" t="s">
        <v>1479</v>
      </c>
      <c r="D499" s="13" t="s">
        <v>1480</v>
      </c>
      <c r="E499" s="19" t="s">
        <v>14</v>
      </c>
      <c r="F499" s="19">
        <v>21</v>
      </c>
      <c r="G499" s="20">
        <v>188.48</v>
      </c>
      <c r="H499" s="20">
        <f t="shared" si="7"/>
        <v>3958.08</v>
      </c>
      <c r="I499" s="12" t="s">
        <v>844</v>
      </c>
      <c r="J499" s="22" t="s">
        <v>16</v>
      </c>
      <c r="K499" s="22" t="s">
        <v>17</v>
      </c>
    </row>
    <row r="500" spans="1:11" s="7" customFormat="1" x14ac:dyDescent="0.25">
      <c r="A500" s="18">
        <v>499</v>
      </c>
      <c r="B500" s="12" t="s">
        <v>1578</v>
      </c>
      <c r="C500" s="12" t="s">
        <v>22</v>
      </c>
      <c r="D500" s="13" t="s">
        <v>1579</v>
      </c>
      <c r="E500" s="19" t="s">
        <v>14</v>
      </c>
      <c r="F500" s="19">
        <v>1</v>
      </c>
      <c r="G500" s="20">
        <v>16.360000000000003</v>
      </c>
      <c r="H500" s="20">
        <f t="shared" si="7"/>
        <v>16.360000000000003</v>
      </c>
      <c r="I500" s="12" t="s">
        <v>844</v>
      </c>
      <c r="J500" s="19" t="s">
        <v>16</v>
      </c>
      <c r="K500" s="19" t="s">
        <v>17</v>
      </c>
    </row>
    <row r="501" spans="1:11" s="7" customFormat="1" x14ac:dyDescent="0.25">
      <c r="A501" s="18">
        <v>500</v>
      </c>
      <c r="B501" s="12" t="s">
        <v>1530</v>
      </c>
      <c r="C501" s="12" t="s">
        <v>1531</v>
      </c>
      <c r="D501" s="13" t="s">
        <v>1532</v>
      </c>
      <c r="E501" s="19" t="s">
        <v>14</v>
      </c>
      <c r="F501" s="19">
        <v>1</v>
      </c>
      <c r="G501" s="20">
        <v>10.7</v>
      </c>
      <c r="H501" s="20">
        <f t="shared" si="7"/>
        <v>10.7</v>
      </c>
      <c r="I501" s="12" t="s">
        <v>844</v>
      </c>
      <c r="J501" s="22" t="s">
        <v>16</v>
      </c>
      <c r="K501" s="22" t="s">
        <v>17</v>
      </c>
    </row>
    <row r="502" spans="1:11" s="7" customFormat="1" x14ac:dyDescent="0.25">
      <c r="A502" s="18">
        <v>501</v>
      </c>
      <c r="B502" s="12" t="s">
        <v>1583</v>
      </c>
      <c r="C502" s="12" t="s">
        <v>1253</v>
      </c>
      <c r="D502" s="13" t="s">
        <v>1584</v>
      </c>
      <c r="E502" s="19" t="s">
        <v>14</v>
      </c>
      <c r="F502" s="19">
        <v>16</v>
      </c>
      <c r="G502" s="20">
        <v>4.29</v>
      </c>
      <c r="H502" s="20">
        <f t="shared" si="7"/>
        <v>68.64</v>
      </c>
      <c r="I502" s="12" t="s">
        <v>844</v>
      </c>
      <c r="J502" s="19" t="s">
        <v>16</v>
      </c>
      <c r="K502" s="19" t="s">
        <v>17</v>
      </c>
    </row>
    <row r="503" spans="1:11" s="7" customFormat="1" x14ac:dyDescent="0.25">
      <c r="A503" s="18">
        <v>502</v>
      </c>
      <c r="B503" s="12" t="s">
        <v>1483</v>
      </c>
      <c r="C503" s="12" t="s">
        <v>736</v>
      </c>
      <c r="D503" s="13" t="s">
        <v>1484</v>
      </c>
      <c r="E503" s="19" t="s">
        <v>14</v>
      </c>
      <c r="F503" s="19">
        <v>3</v>
      </c>
      <c r="G503" s="20">
        <v>22.18</v>
      </c>
      <c r="H503" s="20">
        <f t="shared" si="7"/>
        <v>66.539999999999992</v>
      </c>
      <c r="I503" s="12" t="s">
        <v>844</v>
      </c>
      <c r="J503" s="22" t="s">
        <v>16</v>
      </c>
      <c r="K503" s="22" t="s">
        <v>17</v>
      </c>
    </row>
    <row r="504" spans="1:11" s="7" customFormat="1" ht="25.5" x14ac:dyDescent="0.25">
      <c r="A504" s="18">
        <v>503</v>
      </c>
      <c r="B504" s="12" t="s">
        <v>1363</v>
      </c>
      <c r="C504" s="12" t="s">
        <v>739</v>
      </c>
      <c r="D504" s="13" t="s">
        <v>1364</v>
      </c>
      <c r="E504" s="19" t="s">
        <v>14</v>
      </c>
      <c r="F504" s="19">
        <v>18</v>
      </c>
      <c r="G504" s="20">
        <v>60</v>
      </c>
      <c r="H504" s="20">
        <f t="shared" si="7"/>
        <v>1080</v>
      </c>
      <c r="I504" s="12" t="s">
        <v>844</v>
      </c>
      <c r="J504" s="19" t="s">
        <v>16</v>
      </c>
      <c r="K504" s="19" t="s">
        <v>17</v>
      </c>
    </row>
    <row r="505" spans="1:11" s="7" customFormat="1" x14ac:dyDescent="0.25">
      <c r="A505" s="18">
        <v>504</v>
      </c>
      <c r="B505" s="12" t="s">
        <v>1390</v>
      </c>
      <c r="C505" s="12" t="s">
        <v>63</v>
      </c>
      <c r="D505" s="13" t="s">
        <v>1391</v>
      </c>
      <c r="E505" s="19" t="s">
        <v>14</v>
      </c>
      <c r="F505" s="19">
        <v>1</v>
      </c>
      <c r="G505" s="20">
        <v>19.55</v>
      </c>
      <c r="H505" s="20">
        <f t="shared" si="7"/>
        <v>19.55</v>
      </c>
      <c r="I505" s="12" t="s">
        <v>844</v>
      </c>
      <c r="J505" s="22" t="s">
        <v>16</v>
      </c>
      <c r="K505" s="22" t="s">
        <v>17</v>
      </c>
    </row>
    <row r="506" spans="1:11" s="7" customFormat="1" x14ac:dyDescent="0.25">
      <c r="A506" s="18">
        <v>505</v>
      </c>
      <c r="B506" s="12" t="s">
        <v>1390</v>
      </c>
      <c r="C506" s="12" t="s">
        <v>63</v>
      </c>
      <c r="D506" s="13" t="s">
        <v>1391</v>
      </c>
      <c r="E506" s="19" t="s">
        <v>14</v>
      </c>
      <c r="F506" s="19">
        <v>5</v>
      </c>
      <c r="G506" s="20">
        <v>19.55</v>
      </c>
      <c r="H506" s="20">
        <f t="shared" si="7"/>
        <v>97.75</v>
      </c>
      <c r="I506" s="12" t="s">
        <v>844</v>
      </c>
      <c r="J506" s="22" t="s">
        <v>16</v>
      </c>
      <c r="K506" s="22" t="s">
        <v>17</v>
      </c>
    </row>
    <row r="507" spans="1:11" s="7" customFormat="1" x14ac:dyDescent="0.25">
      <c r="A507" s="18">
        <v>506</v>
      </c>
      <c r="B507" s="12" t="s">
        <v>1524</v>
      </c>
      <c r="C507" s="12" t="s">
        <v>63</v>
      </c>
      <c r="D507" s="13" t="s">
        <v>1525</v>
      </c>
      <c r="E507" s="19" t="s">
        <v>14</v>
      </c>
      <c r="F507" s="19">
        <v>2</v>
      </c>
      <c r="G507" s="20">
        <v>35.03</v>
      </c>
      <c r="H507" s="20">
        <f t="shared" si="7"/>
        <v>70.06</v>
      </c>
      <c r="I507" s="12" t="s">
        <v>844</v>
      </c>
      <c r="J507" s="22" t="s">
        <v>16</v>
      </c>
      <c r="K507" s="22" t="s">
        <v>17</v>
      </c>
    </row>
    <row r="508" spans="1:11" s="7" customFormat="1" x14ac:dyDescent="0.25">
      <c r="A508" s="18">
        <v>507</v>
      </c>
      <c r="B508" s="12" t="s">
        <v>1516</v>
      </c>
      <c r="C508" s="12" t="s">
        <v>273</v>
      </c>
      <c r="D508" s="13" t="s">
        <v>1517</v>
      </c>
      <c r="E508" s="19" t="s">
        <v>191</v>
      </c>
      <c r="F508" s="19">
        <v>2</v>
      </c>
      <c r="G508" s="20">
        <v>25.01</v>
      </c>
      <c r="H508" s="20">
        <f t="shared" si="7"/>
        <v>50.02</v>
      </c>
      <c r="I508" s="12" t="s">
        <v>844</v>
      </c>
      <c r="J508" s="22" t="s">
        <v>16</v>
      </c>
      <c r="K508" s="22" t="s">
        <v>17</v>
      </c>
    </row>
    <row r="509" spans="1:11" s="7" customFormat="1" ht="25.5" x14ac:dyDescent="0.25">
      <c r="A509" s="18">
        <v>508</v>
      </c>
      <c r="B509" s="12" t="s">
        <v>428</v>
      </c>
      <c r="C509" s="12" t="s">
        <v>429</v>
      </c>
      <c r="D509" s="13" t="s">
        <v>430</v>
      </c>
      <c r="E509" s="19" t="s">
        <v>14</v>
      </c>
      <c r="F509" s="19">
        <v>69</v>
      </c>
      <c r="G509" s="20">
        <v>48.23</v>
      </c>
      <c r="H509" s="20">
        <f t="shared" si="7"/>
        <v>3327.87</v>
      </c>
      <c r="I509" s="12" t="s">
        <v>844</v>
      </c>
      <c r="J509" s="22" t="s">
        <v>16</v>
      </c>
      <c r="K509" s="22" t="s">
        <v>17</v>
      </c>
    </row>
    <row r="510" spans="1:11" s="7" customFormat="1" ht="25.5" x14ac:dyDescent="0.25">
      <c r="A510" s="18">
        <v>509</v>
      </c>
      <c r="B510" s="12" t="s">
        <v>428</v>
      </c>
      <c r="C510" s="12" t="s">
        <v>429</v>
      </c>
      <c r="D510" s="13" t="s">
        <v>430</v>
      </c>
      <c r="E510" s="19" t="s">
        <v>14</v>
      </c>
      <c r="F510" s="19">
        <v>1</v>
      </c>
      <c r="G510" s="20">
        <v>48.23</v>
      </c>
      <c r="H510" s="20">
        <f t="shared" si="7"/>
        <v>48.23</v>
      </c>
      <c r="I510" s="12" t="s">
        <v>844</v>
      </c>
      <c r="J510" s="19" t="s">
        <v>16</v>
      </c>
      <c r="K510" s="19" t="s">
        <v>17</v>
      </c>
    </row>
    <row r="511" spans="1:11" s="7" customFormat="1" x14ac:dyDescent="0.25">
      <c r="A511" s="18">
        <v>510</v>
      </c>
      <c r="B511" s="12" t="s">
        <v>1397</v>
      </c>
      <c r="C511" s="12" t="s">
        <v>143</v>
      </c>
      <c r="D511" s="13" t="s">
        <v>1398</v>
      </c>
      <c r="E511" s="19" t="s">
        <v>14</v>
      </c>
      <c r="F511" s="19">
        <v>7</v>
      </c>
      <c r="G511" s="20">
        <v>3.23</v>
      </c>
      <c r="H511" s="20">
        <f t="shared" si="7"/>
        <v>22.61</v>
      </c>
      <c r="I511" s="12" t="s">
        <v>844</v>
      </c>
      <c r="J511" s="19" t="s">
        <v>16</v>
      </c>
      <c r="K511" s="19" t="s">
        <v>17</v>
      </c>
    </row>
    <row r="512" spans="1:11" s="7" customFormat="1" ht="25.5" x14ac:dyDescent="0.25">
      <c r="A512" s="18">
        <v>511</v>
      </c>
      <c r="B512" s="12" t="s">
        <v>1585</v>
      </c>
      <c r="C512" s="12" t="s">
        <v>81</v>
      </c>
      <c r="D512" s="13" t="s">
        <v>1586</v>
      </c>
      <c r="E512" s="19" t="s">
        <v>24</v>
      </c>
      <c r="F512" s="19">
        <v>2</v>
      </c>
      <c r="G512" s="20">
        <v>8.26</v>
      </c>
      <c r="H512" s="20">
        <f t="shared" si="7"/>
        <v>16.52</v>
      </c>
      <c r="I512" s="12" t="s">
        <v>844</v>
      </c>
      <c r="J512" s="19" t="s">
        <v>16</v>
      </c>
      <c r="K512" s="19" t="s">
        <v>17</v>
      </c>
    </row>
    <row r="513" spans="1:11" s="7" customFormat="1" ht="25.5" x14ac:dyDescent="0.25">
      <c r="A513" s="18">
        <v>512</v>
      </c>
      <c r="B513" s="12" t="s">
        <v>80</v>
      </c>
      <c r="C513" s="12" t="s">
        <v>81</v>
      </c>
      <c r="D513" s="13" t="s">
        <v>82</v>
      </c>
      <c r="E513" s="19" t="s">
        <v>24</v>
      </c>
      <c r="F513" s="19">
        <v>4</v>
      </c>
      <c r="G513" s="20">
        <v>1.25</v>
      </c>
      <c r="H513" s="20">
        <f t="shared" si="7"/>
        <v>5</v>
      </c>
      <c r="I513" s="12" t="s">
        <v>844</v>
      </c>
      <c r="J513" s="22" t="s">
        <v>16</v>
      </c>
      <c r="K513" s="22" t="s">
        <v>17</v>
      </c>
    </row>
    <row r="514" spans="1:11" s="7" customFormat="1" ht="25.5" x14ac:dyDescent="0.25">
      <c r="A514" s="18">
        <v>513</v>
      </c>
      <c r="B514" s="12" t="s">
        <v>1401</v>
      </c>
      <c r="C514" s="12" t="s">
        <v>81</v>
      </c>
      <c r="D514" s="13" t="s">
        <v>1402</v>
      </c>
      <c r="E514" s="19" t="s">
        <v>14</v>
      </c>
      <c r="F514" s="19">
        <v>1</v>
      </c>
      <c r="G514" s="20">
        <v>10.43</v>
      </c>
      <c r="H514" s="20">
        <f t="shared" ref="H514:H577" si="8">F514*G514</f>
        <v>10.43</v>
      </c>
      <c r="I514" s="12" t="s">
        <v>844</v>
      </c>
      <c r="J514" s="22" t="s">
        <v>16</v>
      </c>
      <c r="K514" s="22" t="s">
        <v>17</v>
      </c>
    </row>
    <row r="515" spans="1:11" s="7" customFormat="1" ht="25.5" x14ac:dyDescent="0.25">
      <c r="A515" s="18">
        <v>514</v>
      </c>
      <c r="B515" s="12" t="s">
        <v>1403</v>
      </c>
      <c r="C515" s="12" t="s">
        <v>81</v>
      </c>
      <c r="D515" s="13" t="s">
        <v>1404</v>
      </c>
      <c r="E515" s="19" t="s">
        <v>24</v>
      </c>
      <c r="F515" s="19">
        <v>2</v>
      </c>
      <c r="G515" s="20">
        <v>52.16</v>
      </c>
      <c r="H515" s="20">
        <f t="shared" si="8"/>
        <v>104.32</v>
      </c>
      <c r="I515" s="12" t="s">
        <v>844</v>
      </c>
      <c r="J515" s="19" t="s">
        <v>16</v>
      </c>
      <c r="K515" s="19" t="s">
        <v>17</v>
      </c>
    </row>
    <row r="516" spans="1:11" s="7" customFormat="1" x14ac:dyDescent="0.25">
      <c r="A516" s="18">
        <v>515</v>
      </c>
      <c r="B516" s="12" t="s">
        <v>1503</v>
      </c>
      <c r="C516" s="12" t="s">
        <v>1361</v>
      </c>
      <c r="D516" s="13" t="s">
        <v>1504</v>
      </c>
      <c r="E516" s="19" t="s">
        <v>14</v>
      </c>
      <c r="F516" s="19">
        <v>1</v>
      </c>
      <c r="G516" s="20">
        <v>42.019999999999996</v>
      </c>
      <c r="H516" s="20">
        <f t="shared" si="8"/>
        <v>42.019999999999996</v>
      </c>
      <c r="I516" s="12" t="s">
        <v>844</v>
      </c>
      <c r="J516" s="22" t="s">
        <v>16</v>
      </c>
      <c r="K516" s="22" t="s">
        <v>17</v>
      </c>
    </row>
    <row r="517" spans="1:11" s="7" customFormat="1" x14ac:dyDescent="0.25">
      <c r="A517" s="18">
        <v>516</v>
      </c>
      <c r="B517" s="12" t="s">
        <v>1503</v>
      </c>
      <c r="C517" s="12" t="s">
        <v>1361</v>
      </c>
      <c r="D517" s="13" t="s">
        <v>1504</v>
      </c>
      <c r="E517" s="19" t="s">
        <v>14</v>
      </c>
      <c r="F517" s="19">
        <v>1</v>
      </c>
      <c r="G517" s="20">
        <v>42.019999999999996</v>
      </c>
      <c r="H517" s="20">
        <f t="shared" si="8"/>
        <v>42.019999999999996</v>
      </c>
      <c r="I517" s="12" t="s">
        <v>844</v>
      </c>
      <c r="J517" s="19" t="s">
        <v>16</v>
      </c>
      <c r="K517" s="19" t="s">
        <v>17</v>
      </c>
    </row>
    <row r="518" spans="1:11" s="7" customFormat="1" x14ac:dyDescent="0.25">
      <c r="A518" s="18">
        <v>517</v>
      </c>
      <c r="B518" s="12" t="s">
        <v>845</v>
      </c>
      <c r="C518" s="12" t="s">
        <v>31</v>
      </c>
      <c r="D518" s="13" t="s">
        <v>846</v>
      </c>
      <c r="E518" s="19" t="s">
        <v>14</v>
      </c>
      <c r="F518" s="19">
        <v>1</v>
      </c>
      <c r="G518" s="20">
        <v>20.12</v>
      </c>
      <c r="H518" s="20">
        <f t="shared" si="8"/>
        <v>20.12</v>
      </c>
      <c r="I518" s="12" t="s">
        <v>844</v>
      </c>
      <c r="J518" s="22" t="s">
        <v>16</v>
      </c>
      <c r="K518" s="22" t="s">
        <v>17</v>
      </c>
    </row>
    <row r="519" spans="1:11" s="7" customFormat="1" x14ac:dyDescent="0.25">
      <c r="A519" s="18">
        <v>518</v>
      </c>
      <c r="B519" s="12" t="s">
        <v>1405</v>
      </c>
      <c r="C519" s="12" t="s">
        <v>39</v>
      </c>
      <c r="D519" s="13" t="s">
        <v>1406</v>
      </c>
      <c r="E519" s="19" t="s">
        <v>14</v>
      </c>
      <c r="F519" s="19">
        <v>70</v>
      </c>
      <c r="G519" s="20">
        <v>7.55</v>
      </c>
      <c r="H519" s="20">
        <f t="shared" si="8"/>
        <v>528.5</v>
      </c>
      <c r="I519" s="12" t="s">
        <v>844</v>
      </c>
      <c r="J519" s="19" t="s">
        <v>16</v>
      </c>
      <c r="K519" s="19" t="s">
        <v>17</v>
      </c>
    </row>
    <row r="520" spans="1:11" s="7" customFormat="1" x14ac:dyDescent="0.25">
      <c r="A520" s="18">
        <v>519</v>
      </c>
      <c r="B520" s="12" t="s">
        <v>1475</v>
      </c>
      <c r="C520" s="12" t="s">
        <v>1476</v>
      </c>
      <c r="D520" s="13" t="s">
        <v>1477</v>
      </c>
      <c r="E520" s="19" t="s">
        <v>14</v>
      </c>
      <c r="F520" s="19">
        <v>26</v>
      </c>
      <c r="G520" s="20">
        <v>8.6199999999999992</v>
      </c>
      <c r="H520" s="20">
        <f t="shared" si="8"/>
        <v>224.11999999999998</v>
      </c>
      <c r="I520" s="12" t="s">
        <v>844</v>
      </c>
      <c r="J520" s="22" t="s">
        <v>16</v>
      </c>
      <c r="K520" s="22" t="s">
        <v>17</v>
      </c>
    </row>
    <row r="521" spans="1:11" s="7" customFormat="1" ht="25.5" x14ac:dyDescent="0.25">
      <c r="A521" s="18">
        <v>520</v>
      </c>
      <c r="B521" s="12" t="s">
        <v>1518</v>
      </c>
      <c r="C521" s="12" t="s">
        <v>1519</v>
      </c>
      <c r="D521" s="13" t="s">
        <v>1520</v>
      </c>
      <c r="E521" s="19" t="s">
        <v>14</v>
      </c>
      <c r="F521" s="19">
        <v>2</v>
      </c>
      <c r="G521" s="20">
        <v>191.12</v>
      </c>
      <c r="H521" s="20">
        <f t="shared" si="8"/>
        <v>382.24</v>
      </c>
      <c r="I521" s="12" t="s">
        <v>844</v>
      </c>
      <c r="J521" s="22" t="s">
        <v>16</v>
      </c>
      <c r="K521" s="22" t="s">
        <v>17</v>
      </c>
    </row>
    <row r="522" spans="1:11" s="7" customFormat="1" ht="25.5" x14ac:dyDescent="0.25">
      <c r="A522" s="18">
        <v>521</v>
      </c>
      <c r="B522" s="12" t="s">
        <v>1407</v>
      </c>
      <c r="C522" s="12" t="s">
        <v>266</v>
      </c>
      <c r="D522" s="13" t="s">
        <v>1408</v>
      </c>
      <c r="E522" s="19" t="s">
        <v>191</v>
      </c>
      <c r="F522" s="19">
        <v>2</v>
      </c>
      <c r="G522" s="20">
        <v>17.130000000000003</v>
      </c>
      <c r="H522" s="20">
        <f t="shared" si="8"/>
        <v>34.260000000000005</v>
      </c>
      <c r="I522" s="12" t="s">
        <v>844</v>
      </c>
      <c r="J522" s="22" t="s">
        <v>16</v>
      </c>
      <c r="K522" s="22" t="s">
        <v>17</v>
      </c>
    </row>
    <row r="523" spans="1:11" s="7" customFormat="1" ht="25.5" x14ac:dyDescent="0.25">
      <c r="A523" s="18">
        <v>522</v>
      </c>
      <c r="B523" s="12" t="s">
        <v>1470</v>
      </c>
      <c r="C523" s="12" t="s">
        <v>290</v>
      </c>
      <c r="D523" s="13" t="s">
        <v>1471</v>
      </c>
      <c r="E523" s="19" t="s">
        <v>24</v>
      </c>
      <c r="F523" s="19">
        <v>4</v>
      </c>
      <c r="G523" s="20">
        <v>10</v>
      </c>
      <c r="H523" s="20">
        <f t="shared" si="8"/>
        <v>40</v>
      </c>
      <c r="I523" s="12" t="s">
        <v>844</v>
      </c>
      <c r="J523" s="22" t="s">
        <v>16</v>
      </c>
      <c r="K523" s="22" t="s">
        <v>17</v>
      </c>
    </row>
    <row r="524" spans="1:11" s="7" customFormat="1" ht="25.5" x14ac:dyDescent="0.25">
      <c r="A524" s="18">
        <v>523</v>
      </c>
      <c r="B524" s="12" t="s">
        <v>1450</v>
      </c>
      <c r="C524" s="12" t="s">
        <v>39</v>
      </c>
      <c r="D524" s="13" t="s">
        <v>1451</v>
      </c>
      <c r="E524" s="19" t="s">
        <v>14</v>
      </c>
      <c r="F524" s="19">
        <v>3</v>
      </c>
      <c r="G524" s="20">
        <v>17</v>
      </c>
      <c r="H524" s="20">
        <f t="shared" si="8"/>
        <v>51</v>
      </c>
      <c r="I524" s="12" t="s">
        <v>844</v>
      </c>
      <c r="J524" s="19" t="s">
        <v>16</v>
      </c>
      <c r="K524" s="19" t="s">
        <v>17</v>
      </c>
    </row>
    <row r="525" spans="1:11" s="7" customFormat="1" x14ac:dyDescent="0.25">
      <c r="A525" s="18">
        <v>524</v>
      </c>
      <c r="B525" s="12" t="s">
        <v>1521</v>
      </c>
      <c r="C525" s="12" t="s">
        <v>1522</v>
      </c>
      <c r="D525" s="13" t="s">
        <v>1523</v>
      </c>
      <c r="E525" s="19" t="s">
        <v>14</v>
      </c>
      <c r="F525" s="19">
        <v>100</v>
      </c>
      <c r="G525" s="20">
        <v>6.0000000000000005E-2</v>
      </c>
      <c r="H525" s="20">
        <f t="shared" si="8"/>
        <v>6.0000000000000009</v>
      </c>
      <c r="I525" s="12" t="s">
        <v>844</v>
      </c>
      <c r="J525" s="22" t="s">
        <v>16</v>
      </c>
      <c r="K525" s="22" t="s">
        <v>17</v>
      </c>
    </row>
    <row r="526" spans="1:11" s="7" customFormat="1" ht="25.5" x14ac:dyDescent="0.25">
      <c r="A526" s="18">
        <v>525</v>
      </c>
      <c r="B526" s="12" t="s">
        <v>1348</v>
      </c>
      <c r="C526" s="12" t="s">
        <v>1349</v>
      </c>
      <c r="D526" s="13" t="s">
        <v>1350</v>
      </c>
      <c r="E526" s="19" t="s">
        <v>191</v>
      </c>
      <c r="F526" s="19">
        <v>4</v>
      </c>
      <c r="G526" s="20">
        <v>6.32</v>
      </c>
      <c r="H526" s="20">
        <f t="shared" si="8"/>
        <v>25.28</v>
      </c>
      <c r="I526" s="12" t="s">
        <v>844</v>
      </c>
      <c r="J526" s="19" t="s">
        <v>16</v>
      </c>
      <c r="K526" s="19" t="s">
        <v>17</v>
      </c>
    </row>
    <row r="527" spans="1:11" s="7" customFormat="1" x14ac:dyDescent="0.25">
      <c r="A527" s="18">
        <v>526</v>
      </c>
      <c r="B527" s="12" t="s">
        <v>1510</v>
      </c>
      <c r="C527" s="12" t="s">
        <v>273</v>
      </c>
      <c r="D527" s="13" t="s">
        <v>1511</v>
      </c>
      <c r="E527" s="19" t="s">
        <v>191</v>
      </c>
      <c r="F527" s="19">
        <v>2</v>
      </c>
      <c r="G527" s="20">
        <v>15.4</v>
      </c>
      <c r="H527" s="20">
        <f t="shared" si="8"/>
        <v>30.8</v>
      </c>
      <c r="I527" s="12" t="s">
        <v>844</v>
      </c>
      <c r="J527" s="22" t="s">
        <v>16</v>
      </c>
      <c r="K527" s="22" t="s">
        <v>17</v>
      </c>
    </row>
    <row r="528" spans="1:11" s="7" customFormat="1" x14ac:dyDescent="0.25">
      <c r="A528" s="18">
        <v>527</v>
      </c>
      <c r="B528" s="12" t="s">
        <v>976</v>
      </c>
      <c r="C528" s="12" t="s">
        <v>977</v>
      </c>
      <c r="D528" s="13" t="s">
        <v>978</v>
      </c>
      <c r="E528" s="19" t="s">
        <v>14</v>
      </c>
      <c r="F528" s="19">
        <v>1</v>
      </c>
      <c r="G528" s="20">
        <v>4.83</v>
      </c>
      <c r="H528" s="20">
        <f t="shared" si="8"/>
        <v>4.83</v>
      </c>
      <c r="I528" s="12" t="s">
        <v>844</v>
      </c>
      <c r="J528" s="22" t="s">
        <v>16</v>
      </c>
      <c r="K528" s="22" t="s">
        <v>17</v>
      </c>
    </row>
    <row r="529" spans="1:11" s="7" customFormat="1" x14ac:dyDescent="0.25">
      <c r="A529" s="18">
        <v>528</v>
      </c>
      <c r="B529" s="12" t="s">
        <v>1489</v>
      </c>
      <c r="C529" s="12" t="s">
        <v>39</v>
      </c>
      <c r="D529" s="13" t="s">
        <v>1490</v>
      </c>
      <c r="E529" s="19" t="s">
        <v>14</v>
      </c>
      <c r="F529" s="19">
        <v>1</v>
      </c>
      <c r="G529" s="20">
        <v>216.32</v>
      </c>
      <c r="H529" s="20">
        <f t="shared" si="8"/>
        <v>216.32</v>
      </c>
      <c r="I529" s="12" t="s">
        <v>844</v>
      </c>
      <c r="J529" s="22" t="s">
        <v>16</v>
      </c>
      <c r="K529" s="22" t="s">
        <v>17</v>
      </c>
    </row>
    <row r="530" spans="1:11" s="7" customFormat="1" ht="25.5" x14ac:dyDescent="0.25">
      <c r="A530" s="18">
        <v>529</v>
      </c>
      <c r="B530" s="12" t="s">
        <v>1465</v>
      </c>
      <c r="C530" s="12" t="s">
        <v>39</v>
      </c>
      <c r="D530" s="13" t="s">
        <v>1466</v>
      </c>
      <c r="E530" s="19" t="s">
        <v>14</v>
      </c>
      <c r="F530" s="19">
        <v>1</v>
      </c>
      <c r="G530" s="20">
        <v>765.54</v>
      </c>
      <c r="H530" s="20">
        <f t="shared" si="8"/>
        <v>765.54</v>
      </c>
      <c r="I530" s="12" t="s">
        <v>844</v>
      </c>
      <c r="J530" s="22" t="s">
        <v>16</v>
      </c>
      <c r="K530" s="22" t="s">
        <v>17</v>
      </c>
    </row>
    <row r="531" spans="1:11" s="7" customFormat="1" ht="25.5" x14ac:dyDescent="0.25">
      <c r="A531" s="18">
        <v>530</v>
      </c>
      <c r="B531" s="12" t="s">
        <v>1491</v>
      </c>
      <c r="C531" s="12" t="s">
        <v>39</v>
      </c>
      <c r="D531" s="13" t="s">
        <v>1492</v>
      </c>
      <c r="E531" s="19" t="s">
        <v>14</v>
      </c>
      <c r="F531" s="19">
        <v>1</v>
      </c>
      <c r="G531" s="20">
        <v>1120.9000000000001</v>
      </c>
      <c r="H531" s="20">
        <f t="shared" si="8"/>
        <v>1120.9000000000001</v>
      </c>
      <c r="I531" s="12" t="s">
        <v>844</v>
      </c>
      <c r="J531" s="22" t="s">
        <v>16</v>
      </c>
      <c r="K531" s="22" t="s">
        <v>17</v>
      </c>
    </row>
    <row r="532" spans="1:11" s="7" customFormat="1" ht="25.5" x14ac:dyDescent="0.25">
      <c r="A532" s="18">
        <v>531</v>
      </c>
      <c r="B532" s="12" t="s">
        <v>983</v>
      </c>
      <c r="C532" s="12" t="s">
        <v>39</v>
      </c>
      <c r="D532" s="13" t="s">
        <v>984</v>
      </c>
      <c r="E532" s="19" t="s">
        <v>14</v>
      </c>
      <c r="F532" s="19">
        <v>2</v>
      </c>
      <c r="G532" s="20">
        <v>1617.27</v>
      </c>
      <c r="H532" s="20">
        <f t="shared" si="8"/>
        <v>3234.54</v>
      </c>
      <c r="I532" s="12" t="s">
        <v>844</v>
      </c>
      <c r="J532" s="19" t="s">
        <v>16</v>
      </c>
      <c r="K532" s="19" t="s">
        <v>17</v>
      </c>
    </row>
    <row r="533" spans="1:11" s="7" customFormat="1" ht="38.25" x14ac:dyDescent="0.25">
      <c r="A533" s="18">
        <v>532</v>
      </c>
      <c r="B533" s="12" t="s">
        <v>1415</v>
      </c>
      <c r="C533" s="12" t="s">
        <v>39</v>
      </c>
      <c r="D533" s="13" t="s">
        <v>1416</v>
      </c>
      <c r="E533" s="19" t="s">
        <v>14</v>
      </c>
      <c r="F533" s="19">
        <v>3</v>
      </c>
      <c r="G533" s="20">
        <v>1049.8</v>
      </c>
      <c r="H533" s="20">
        <f t="shared" si="8"/>
        <v>3149.3999999999996</v>
      </c>
      <c r="I533" s="12" t="s">
        <v>844</v>
      </c>
      <c r="J533" s="22" t="s">
        <v>16</v>
      </c>
      <c r="K533" s="22" t="s">
        <v>17</v>
      </c>
    </row>
    <row r="534" spans="1:11" s="7" customFormat="1" ht="38.25" x14ac:dyDescent="0.25">
      <c r="A534" s="18">
        <v>533</v>
      </c>
      <c r="B534" s="12" t="s">
        <v>1415</v>
      </c>
      <c r="C534" s="12" t="s">
        <v>39</v>
      </c>
      <c r="D534" s="13" t="s">
        <v>1416</v>
      </c>
      <c r="E534" s="19" t="s">
        <v>14</v>
      </c>
      <c r="F534" s="19">
        <v>3</v>
      </c>
      <c r="G534" s="20">
        <v>1049.8</v>
      </c>
      <c r="H534" s="20">
        <f t="shared" si="8"/>
        <v>3149.3999999999996</v>
      </c>
      <c r="I534" s="12" t="s">
        <v>844</v>
      </c>
      <c r="J534" s="22" t="s">
        <v>16</v>
      </c>
      <c r="K534" s="22" t="s">
        <v>17</v>
      </c>
    </row>
    <row r="535" spans="1:11" s="7" customFormat="1" x14ac:dyDescent="0.25">
      <c r="A535" s="18">
        <v>534</v>
      </c>
      <c r="B535" s="12" t="s">
        <v>1487</v>
      </c>
      <c r="C535" s="12" t="s">
        <v>39</v>
      </c>
      <c r="D535" s="13" t="s">
        <v>1488</v>
      </c>
      <c r="E535" s="19" t="s">
        <v>14</v>
      </c>
      <c r="F535" s="19">
        <v>1</v>
      </c>
      <c r="G535" s="20">
        <v>26.55</v>
      </c>
      <c r="H535" s="20">
        <f t="shared" si="8"/>
        <v>26.55</v>
      </c>
      <c r="I535" s="12" t="s">
        <v>844</v>
      </c>
      <c r="J535" s="22" t="s">
        <v>16</v>
      </c>
      <c r="K535" s="22" t="s">
        <v>17</v>
      </c>
    </row>
    <row r="536" spans="1:11" s="7" customFormat="1" ht="25.5" x14ac:dyDescent="0.25">
      <c r="A536" s="18">
        <v>535</v>
      </c>
      <c r="B536" s="12" t="s">
        <v>1553</v>
      </c>
      <c r="C536" s="12" t="s">
        <v>39</v>
      </c>
      <c r="D536" s="13" t="s">
        <v>1554</v>
      </c>
      <c r="E536" s="19" t="s">
        <v>14</v>
      </c>
      <c r="F536" s="19">
        <v>1</v>
      </c>
      <c r="G536" s="20">
        <v>1058</v>
      </c>
      <c r="H536" s="20">
        <f t="shared" si="8"/>
        <v>1058</v>
      </c>
      <c r="I536" s="12" t="s">
        <v>844</v>
      </c>
      <c r="J536" s="19" t="s">
        <v>16</v>
      </c>
      <c r="K536" s="19" t="s">
        <v>17</v>
      </c>
    </row>
    <row r="537" spans="1:11" s="7" customFormat="1" x14ac:dyDescent="0.25">
      <c r="A537" s="18">
        <v>536</v>
      </c>
      <c r="B537" s="12" t="s">
        <v>1485</v>
      </c>
      <c r="C537" s="12" t="s">
        <v>39</v>
      </c>
      <c r="D537" s="13" t="s">
        <v>1486</v>
      </c>
      <c r="E537" s="19" t="s">
        <v>14</v>
      </c>
      <c r="F537" s="19">
        <v>6</v>
      </c>
      <c r="G537" s="20">
        <v>13.549999999999999</v>
      </c>
      <c r="H537" s="20">
        <f t="shared" si="8"/>
        <v>81.3</v>
      </c>
      <c r="I537" s="12" t="s">
        <v>844</v>
      </c>
      <c r="J537" s="22" t="s">
        <v>16</v>
      </c>
      <c r="K537" s="22" t="s">
        <v>17</v>
      </c>
    </row>
    <row r="538" spans="1:11" s="7" customFormat="1" x14ac:dyDescent="0.25">
      <c r="A538" s="18">
        <v>537</v>
      </c>
      <c r="B538" s="12" t="s">
        <v>1508</v>
      </c>
      <c r="C538" s="12" t="s">
        <v>1420</v>
      </c>
      <c r="D538" s="13" t="s">
        <v>1509</v>
      </c>
      <c r="E538" s="19" t="s">
        <v>14</v>
      </c>
      <c r="F538" s="19">
        <v>40</v>
      </c>
      <c r="G538" s="20">
        <v>0.35000000000000003</v>
      </c>
      <c r="H538" s="20">
        <f t="shared" si="8"/>
        <v>14.000000000000002</v>
      </c>
      <c r="I538" s="12" t="s">
        <v>844</v>
      </c>
      <c r="J538" s="22" t="s">
        <v>16</v>
      </c>
      <c r="K538" s="22" t="s">
        <v>17</v>
      </c>
    </row>
    <row r="539" spans="1:11" s="7" customFormat="1" ht="25.5" x14ac:dyDescent="0.25">
      <c r="A539" s="18">
        <v>538</v>
      </c>
      <c r="B539" s="12" t="s">
        <v>847</v>
      </c>
      <c r="C539" s="12" t="s">
        <v>848</v>
      </c>
      <c r="D539" s="13">
        <v>1131</v>
      </c>
      <c r="E539" s="19" t="s">
        <v>24</v>
      </c>
      <c r="F539" s="19">
        <v>1</v>
      </c>
      <c r="G539" s="20">
        <v>56.93</v>
      </c>
      <c r="H539" s="20">
        <f t="shared" si="8"/>
        <v>56.93</v>
      </c>
      <c r="I539" s="12" t="s">
        <v>849</v>
      </c>
      <c r="J539" s="22" t="s">
        <v>16</v>
      </c>
      <c r="K539" s="22" t="s">
        <v>17</v>
      </c>
    </row>
    <row r="540" spans="1:11" s="7" customFormat="1" ht="25.5" x14ac:dyDescent="0.25">
      <c r="A540" s="18">
        <v>539</v>
      </c>
      <c r="B540" s="12" t="s">
        <v>850</v>
      </c>
      <c r="C540" s="12" t="s">
        <v>39</v>
      </c>
      <c r="D540" s="13">
        <v>13441</v>
      </c>
      <c r="E540" s="19" t="s">
        <v>14</v>
      </c>
      <c r="F540" s="19">
        <v>1</v>
      </c>
      <c r="G540" s="20">
        <v>65.87</v>
      </c>
      <c r="H540" s="20">
        <f t="shared" si="8"/>
        <v>65.87</v>
      </c>
      <c r="I540" s="12" t="s">
        <v>849</v>
      </c>
      <c r="J540" s="22" t="s">
        <v>16</v>
      </c>
      <c r="K540" s="22" t="s">
        <v>17</v>
      </c>
    </row>
    <row r="541" spans="1:11" s="7" customFormat="1" ht="25.5" x14ac:dyDescent="0.25">
      <c r="A541" s="18">
        <v>540</v>
      </c>
      <c r="B541" s="12" t="s">
        <v>851</v>
      </c>
      <c r="C541" s="12" t="s">
        <v>84</v>
      </c>
      <c r="D541" s="13">
        <v>50108</v>
      </c>
      <c r="E541" s="19" t="s">
        <v>191</v>
      </c>
      <c r="F541" s="19">
        <v>3</v>
      </c>
      <c r="G541" s="20">
        <v>4</v>
      </c>
      <c r="H541" s="20">
        <f t="shared" si="8"/>
        <v>12</v>
      </c>
      <c r="I541" s="12" t="s">
        <v>849</v>
      </c>
      <c r="J541" s="22" t="s">
        <v>16</v>
      </c>
      <c r="K541" s="22" t="s">
        <v>17</v>
      </c>
    </row>
    <row r="542" spans="1:11" s="7" customFormat="1" x14ac:dyDescent="0.25">
      <c r="A542" s="18">
        <v>541</v>
      </c>
      <c r="B542" s="12" t="s">
        <v>852</v>
      </c>
      <c r="C542" s="12" t="s">
        <v>63</v>
      </c>
      <c r="D542" s="13">
        <v>613003</v>
      </c>
      <c r="E542" s="19" t="s">
        <v>14</v>
      </c>
      <c r="F542" s="19">
        <v>200</v>
      </c>
      <c r="G542" s="20">
        <v>0.15</v>
      </c>
      <c r="H542" s="20">
        <f t="shared" si="8"/>
        <v>30</v>
      </c>
      <c r="I542" s="12" t="s">
        <v>849</v>
      </c>
      <c r="J542" s="22" t="s">
        <v>16</v>
      </c>
      <c r="K542" s="22" t="s">
        <v>17</v>
      </c>
    </row>
    <row r="543" spans="1:11" s="7" customFormat="1" x14ac:dyDescent="0.25">
      <c r="A543" s="18">
        <v>542</v>
      </c>
      <c r="B543" s="12" t="s">
        <v>853</v>
      </c>
      <c r="C543" s="12" t="s">
        <v>63</v>
      </c>
      <c r="D543" s="13">
        <v>630905</v>
      </c>
      <c r="E543" s="19" t="s">
        <v>14</v>
      </c>
      <c r="F543" s="19">
        <v>6</v>
      </c>
      <c r="G543" s="20">
        <v>2.7</v>
      </c>
      <c r="H543" s="20">
        <f t="shared" si="8"/>
        <v>16.200000000000003</v>
      </c>
      <c r="I543" s="12" t="s">
        <v>849</v>
      </c>
      <c r="J543" s="22" t="s">
        <v>16</v>
      </c>
      <c r="K543" s="22" t="s">
        <v>17</v>
      </c>
    </row>
    <row r="544" spans="1:11" s="7" customFormat="1" x14ac:dyDescent="0.25">
      <c r="A544" s="18">
        <v>543</v>
      </c>
      <c r="B544" s="12" t="s">
        <v>854</v>
      </c>
      <c r="C544" s="12" t="s">
        <v>63</v>
      </c>
      <c r="D544" s="13">
        <v>631005</v>
      </c>
      <c r="E544" s="19" t="s">
        <v>14</v>
      </c>
      <c r="F544" s="19">
        <v>6</v>
      </c>
      <c r="G544" s="20">
        <v>1.66</v>
      </c>
      <c r="H544" s="20">
        <f t="shared" si="8"/>
        <v>9.9599999999999991</v>
      </c>
      <c r="I544" s="12" t="s">
        <v>849</v>
      </c>
      <c r="J544" s="22" t="s">
        <v>16</v>
      </c>
      <c r="K544" s="22" t="s">
        <v>17</v>
      </c>
    </row>
    <row r="545" spans="1:11" s="7" customFormat="1" x14ac:dyDescent="0.25">
      <c r="A545" s="18">
        <v>544</v>
      </c>
      <c r="B545" s="12" t="s">
        <v>855</v>
      </c>
      <c r="C545" s="12" t="s">
        <v>63</v>
      </c>
      <c r="D545" s="13">
        <v>631205</v>
      </c>
      <c r="E545" s="19" t="s">
        <v>14</v>
      </c>
      <c r="F545" s="19">
        <v>12</v>
      </c>
      <c r="G545" s="20">
        <v>2.5</v>
      </c>
      <c r="H545" s="20">
        <f t="shared" si="8"/>
        <v>30</v>
      </c>
      <c r="I545" s="12" t="s">
        <v>849</v>
      </c>
      <c r="J545" s="22" t="s">
        <v>16</v>
      </c>
      <c r="K545" s="22" t="s">
        <v>17</v>
      </c>
    </row>
    <row r="546" spans="1:11" s="7" customFormat="1" x14ac:dyDescent="0.25">
      <c r="A546" s="18">
        <v>545</v>
      </c>
      <c r="B546" s="12" t="s">
        <v>856</v>
      </c>
      <c r="C546" s="12" t="s">
        <v>84</v>
      </c>
      <c r="D546" s="13">
        <v>670304</v>
      </c>
      <c r="E546" s="19" t="s">
        <v>191</v>
      </c>
      <c r="F546" s="19">
        <v>3</v>
      </c>
      <c r="G546" s="20">
        <v>4</v>
      </c>
      <c r="H546" s="20">
        <f t="shared" si="8"/>
        <v>12</v>
      </c>
      <c r="I546" s="12" t="s">
        <v>849</v>
      </c>
      <c r="J546" s="22" t="s">
        <v>16</v>
      </c>
      <c r="K546" s="22" t="s">
        <v>17</v>
      </c>
    </row>
    <row r="547" spans="1:11" s="7" customFormat="1" x14ac:dyDescent="0.25">
      <c r="A547" s="18">
        <v>546</v>
      </c>
      <c r="B547" s="12" t="s">
        <v>857</v>
      </c>
      <c r="C547" s="12" t="s">
        <v>858</v>
      </c>
      <c r="D547" s="12">
        <v>20488312</v>
      </c>
      <c r="E547" s="19" t="s">
        <v>236</v>
      </c>
      <c r="F547" s="19">
        <v>30</v>
      </c>
      <c r="G547" s="20">
        <v>239.5</v>
      </c>
      <c r="H547" s="20">
        <f t="shared" si="8"/>
        <v>7185</v>
      </c>
      <c r="I547" s="12" t="s">
        <v>849</v>
      </c>
      <c r="J547" s="22" t="s">
        <v>16</v>
      </c>
      <c r="K547" s="22" t="s">
        <v>17</v>
      </c>
    </row>
    <row r="548" spans="1:11" s="7" customFormat="1" x14ac:dyDescent="0.25">
      <c r="A548" s="18">
        <v>547</v>
      </c>
      <c r="B548" s="12" t="s">
        <v>859</v>
      </c>
      <c r="C548" s="12" t="s">
        <v>22</v>
      </c>
      <c r="D548" s="13" t="s">
        <v>860</v>
      </c>
      <c r="E548" s="19" t="s">
        <v>14</v>
      </c>
      <c r="F548" s="19">
        <v>20</v>
      </c>
      <c r="G548" s="20">
        <v>0.39</v>
      </c>
      <c r="H548" s="20">
        <f t="shared" si="8"/>
        <v>7.8000000000000007</v>
      </c>
      <c r="I548" s="12" t="s">
        <v>849</v>
      </c>
      <c r="J548" s="22" t="s">
        <v>16</v>
      </c>
      <c r="K548" s="22" t="s">
        <v>17</v>
      </c>
    </row>
    <row r="549" spans="1:11" s="7" customFormat="1" x14ac:dyDescent="0.25">
      <c r="A549" s="18">
        <v>548</v>
      </c>
      <c r="B549" s="12" t="s">
        <v>861</v>
      </c>
      <c r="C549" s="12" t="s">
        <v>22</v>
      </c>
      <c r="D549" s="13" t="s">
        <v>862</v>
      </c>
      <c r="E549" s="19" t="s">
        <v>14</v>
      </c>
      <c r="F549" s="19">
        <v>100</v>
      </c>
      <c r="G549" s="20">
        <v>0.15</v>
      </c>
      <c r="H549" s="20">
        <f t="shared" si="8"/>
        <v>15</v>
      </c>
      <c r="I549" s="12" t="s">
        <v>849</v>
      </c>
      <c r="J549" s="22" t="s">
        <v>16</v>
      </c>
      <c r="K549" s="22" t="s">
        <v>17</v>
      </c>
    </row>
    <row r="550" spans="1:11" s="7" customFormat="1" x14ac:dyDescent="0.25">
      <c r="A550" s="18">
        <v>549</v>
      </c>
      <c r="B550" s="12" t="s">
        <v>863</v>
      </c>
      <c r="C550" s="12" t="s">
        <v>22</v>
      </c>
      <c r="D550" s="13" t="s">
        <v>864</v>
      </c>
      <c r="E550" s="19" t="s">
        <v>14</v>
      </c>
      <c r="F550" s="19">
        <v>70</v>
      </c>
      <c r="G550" s="20">
        <v>0.06</v>
      </c>
      <c r="H550" s="20">
        <f t="shared" si="8"/>
        <v>4.2</v>
      </c>
      <c r="I550" s="12" t="s">
        <v>849</v>
      </c>
      <c r="J550" s="22" t="s">
        <v>16</v>
      </c>
      <c r="K550" s="22" t="s">
        <v>17</v>
      </c>
    </row>
    <row r="551" spans="1:11" s="7" customFormat="1" x14ac:dyDescent="0.25">
      <c r="A551" s="18">
        <v>550</v>
      </c>
      <c r="B551" s="12" t="s">
        <v>865</v>
      </c>
      <c r="C551" s="12" t="s">
        <v>212</v>
      </c>
      <c r="D551" s="13" t="s">
        <v>866</v>
      </c>
      <c r="E551" s="19" t="s">
        <v>24</v>
      </c>
      <c r="F551" s="19">
        <v>1</v>
      </c>
      <c r="G551" s="20">
        <v>11.23</v>
      </c>
      <c r="H551" s="20">
        <f t="shared" si="8"/>
        <v>11.23</v>
      </c>
      <c r="I551" s="12" t="s">
        <v>849</v>
      </c>
      <c r="J551" s="22" t="s">
        <v>16</v>
      </c>
      <c r="K551" s="22" t="s">
        <v>17</v>
      </c>
    </row>
    <row r="552" spans="1:11" s="7" customFormat="1" x14ac:dyDescent="0.25">
      <c r="A552" s="18">
        <v>551</v>
      </c>
      <c r="B552" s="12" t="s">
        <v>867</v>
      </c>
      <c r="C552" s="12" t="s">
        <v>212</v>
      </c>
      <c r="D552" s="13" t="s">
        <v>868</v>
      </c>
      <c r="E552" s="19" t="s">
        <v>191</v>
      </c>
      <c r="F552" s="19">
        <v>1</v>
      </c>
      <c r="G552" s="20">
        <v>6.48</v>
      </c>
      <c r="H552" s="20">
        <f t="shared" si="8"/>
        <v>6.48</v>
      </c>
      <c r="I552" s="12" t="s">
        <v>849</v>
      </c>
      <c r="J552" s="22" t="s">
        <v>16</v>
      </c>
      <c r="K552" s="22" t="s">
        <v>17</v>
      </c>
    </row>
    <row r="553" spans="1:11" s="7" customFormat="1" x14ac:dyDescent="0.25">
      <c r="A553" s="18">
        <v>552</v>
      </c>
      <c r="B553" s="12" t="s">
        <v>869</v>
      </c>
      <c r="C553" s="12" t="s">
        <v>212</v>
      </c>
      <c r="D553" s="13" t="s">
        <v>870</v>
      </c>
      <c r="E553" s="19" t="s">
        <v>191</v>
      </c>
      <c r="F553" s="19">
        <v>1</v>
      </c>
      <c r="G553" s="20">
        <v>2.5</v>
      </c>
      <c r="H553" s="20">
        <f t="shared" si="8"/>
        <v>2.5</v>
      </c>
      <c r="I553" s="12" t="s">
        <v>849</v>
      </c>
      <c r="J553" s="22" t="s">
        <v>16</v>
      </c>
      <c r="K553" s="22" t="s">
        <v>17</v>
      </c>
    </row>
    <row r="554" spans="1:11" s="7" customFormat="1" x14ac:dyDescent="0.25">
      <c r="A554" s="18">
        <v>553</v>
      </c>
      <c r="B554" s="12" t="s">
        <v>871</v>
      </c>
      <c r="C554" s="12" t="s">
        <v>872</v>
      </c>
      <c r="D554" s="13" t="s">
        <v>873</v>
      </c>
      <c r="E554" s="19" t="s">
        <v>14</v>
      </c>
      <c r="F554" s="19">
        <v>30</v>
      </c>
      <c r="G554" s="20">
        <v>0.32</v>
      </c>
      <c r="H554" s="20">
        <f t="shared" si="8"/>
        <v>9.6</v>
      </c>
      <c r="I554" s="12" t="s">
        <v>849</v>
      </c>
      <c r="J554" s="22" t="s">
        <v>16</v>
      </c>
      <c r="K554" s="22" t="s">
        <v>17</v>
      </c>
    </row>
    <row r="555" spans="1:11" s="7" customFormat="1" x14ac:dyDescent="0.25">
      <c r="A555" s="18">
        <v>554</v>
      </c>
      <c r="B555" s="12" t="s">
        <v>874</v>
      </c>
      <c r="C555" s="12" t="s">
        <v>212</v>
      </c>
      <c r="D555" s="13" t="s">
        <v>875</v>
      </c>
      <c r="E555" s="19" t="s">
        <v>14</v>
      </c>
      <c r="F555" s="19">
        <v>30</v>
      </c>
      <c r="G555" s="20">
        <v>0.13</v>
      </c>
      <c r="H555" s="20">
        <f t="shared" si="8"/>
        <v>3.9000000000000004</v>
      </c>
      <c r="I555" s="12" t="s">
        <v>849</v>
      </c>
      <c r="J555" s="22" t="s">
        <v>16</v>
      </c>
      <c r="K555" s="22" t="s">
        <v>17</v>
      </c>
    </row>
    <row r="556" spans="1:11" s="7" customFormat="1" x14ac:dyDescent="0.25">
      <c r="A556" s="18">
        <v>555</v>
      </c>
      <c r="B556" s="12" t="s">
        <v>876</v>
      </c>
      <c r="C556" s="12" t="s">
        <v>212</v>
      </c>
      <c r="D556" s="13" t="s">
        <v>877</v>
      </c>
      <c r="E556" s="19" t="s">
        <v>14</v>
      </c>
      <c r="F556" s="19">
        <v>30</v>
      </c>
      <c r="G556" s="20">
        <v>0.08</v>
      </c>
      <c r="H556" s="20">
        <f t="shared" si="8"/>
        <v>2.4</v>
      </c>
      <c r="I556" s="12" t="s">
        <v>849</v>
      </c>
      <c r="J556" s="22" t="s">
        <v>16</v>
      </c>
      <c r="K556" s="22" t="s">
        <v>17</v>
      </c>
    </row>
    <row r="557" spans="1:11" s="7" customFormat="1" x14ac:dyDescent="0.25">
      <c r="A557" s="18">
        <v>556</v>
      </c>
      <c r="B557" s="12" t="s">
        <v>878</v>
      </c>
      <c r="C557" s="12" t="s">
        <v>879</v>
      </c>
      <c r="D557" s="13" t="s">
        <v>880</v>
      </c>
      <c r="E557" s="19" t="s">
        <v>68</v>
      </c>
      <c r="F557" s="19">
        <v>10</v>
      </c>
      <c r="G557" s="20">
        <v>7.76</v>
      </c>
      <c r="H557" s="20">
        <f t="shared" si="8"/>
        <v>77.599999999999994</v>
      </c>
      <c r="I557" s="12" t="s">
        <v>849</v>
      </c>
      <c r="J557" s="22" t="s">
        <v>16</v>
      </c>
      <c r="K557" s="22" t="s">
        <v>17</v>
      </c>
    </row>
    <row r="558" spans="1:11" s="7" customFormat="1" x14ac:dyDescent="0.25">
      <c r="A558" s="18">
        <v>557</v>
      </c>
      <c r="B558" s="12" t="s">
        <v>881</v>
      </c>
      <c r="C558" s="12" t="s">
        <v>879</v>
      </c>
      <c r="D558" s="13" t="s">
        <v>882</v>
      </c>
      <c r="E558" s="19" t="s">
        <v>68</v>
      </c>
      <c r="F558" s="19">
        <v>10</v>
      </c>
      <c r="G558" s="20">
        <v>10.45</v>
      </c>
      <c r="H558" s="20">
        <f t="shared" si="8"/>
        <v>104.5</v>
      </c>
      <c r="I558" s="12" t="s">
        <v>849</v>
      </c>
      <c r="J558" s="22" t="s">
        <v>16</v>
      </c>
      <c r="K558" s="22" t="s">
        <v>17</v>
      </c>
    </row>
    <row r="559" spans="1:11" s="7" customFormat="1" x14ac:dyDescent="0.25">
      <c r="A559" s="18">
        <v>558</v>
      </c>
      <c r="B559" s="12" t="s">
        <v>883</v>
      </c>
      <c r="C559" s="12" t="s">
        <v>884</v>
      </c>
      <c r="D559" s="13" t="s">
        <v>885</v>
      </c>
      <c r="E559" s="19" t="s">
        <v>14</v>
      </c>
      <c r="F559" s="19">
        <v>34</v>
      </c>
      <c r="G559" s="20">
        <v>0.59</v>
      </c>
      <c r="H559" s="20">
        <f t="shared" si="8"/>
        <v>20.059999999999999</v>
      </c>
      <c r="I559" s="12" t="s">
        <v>849</v>
      </c>
      <c r="J559" s="22" t="s">
        <v>16</v>
      </c>
      <c r="K559" s="22" t="s">
        <v>17</v>
      </c>
    </row>
    <row r="560" spans="1:11" s="7" customFormat="1" x14ac:dyDescent="0.25">
      <c r="A560" s="18">
        <v>559</v>
      </c>
      <c r="B560" s="12" t="s">
        <v>886</v>
      </c>
      <c r="C560" s="12" t="s">
        <v>28</v>
      </c>
      <c r="D560" s="13" t="s">
        <v>887</v>
      </c>
      <c r="E560" s="19" t="s">
        <v>14</v>
      </c>
      <c r="F560" s="19">
        <v>100</v>
      </c>
      <c r="G560" s="20">
        <v>0.26</v>
      </c>
      <c r="H560" s="20">
        <f t="shared" si="8"/>
        <v>26</v>
      </c>
      <c r="I560" s="12" t="s">
        <v>849</v>
      </c>
      <c r="J560" s="22" t="s">
        <v>16</v>
      </c>
      <c r="K560" s="22" t="s">
        <v>17</v>
      </c>
    </row>
    <row r="561" spans="1:11" s="7" customFormat="1" x14ac:dyDescent="0.25">
      <c r="A561" s="18">
        <v>560</v>
      </c>
      <c r="B561" s="12" t="s">
        <v>888</v>
      </c>
      <c r="C561" s="12" t="s">
        <v>889</v>
      </c>
      <c r="D561" s="13" t="s">
        <v>890</v>
      </c>
      <c r="E561" s="19" t="s">
        <v>14</v>
      </c>
      <c r="F561" s="19">
        <v>24</v>
      </c>
      <c r="G561" s="20">
        <v>5.1100000000000003</v>
      </c>
      <c r="H561" s="20">
        <f t="shared" si="8"/>
        <v>122.64000000000001</v>
      </c>
      <c r="I561" s="12" t="s">
        <v>849</v>
      </c>
      <c r="J561" s="22" t="s">
        <v>16</v>
      </c>
      <c r="K561" s="22" t="s">
        <v>17</v>
      </c>
    </row>
    <row r="562" spans="1:11" s="7" customFormat="1" x14ac:dyDescent="0.25">
      <c r="A562" s="18">
        <v>561</v>
      </c>
      <c r="B562" s="12" t="s">
        <v>891</v>
      </c>
      <c r="C562" s="12" t="s">
        <v>892</v>
      </c>
      <c r="D562" s="13" t="s">
        <v>893</v>
      </c>
      <c r="E562" s="19" t="s">
        <v>14</v>
      </c>
      <c r="F562" s="19">
        <v>30</v>
      </c>
      <c r="G562" s="20">
        <v>20.07</v>
      </c>
      <c r="H562" s="20">
        <f t="shared" si="8"/>
        <v>602.1</v>
      </c>
      <c r="I562" s="12" t="s">
        <v>849</v>
      </c>
      <c r="J562" s="22" t="s">
        <v>16</v>
      </c>
      <c r="K562" s="22" t="s">
        <v>17</v>
      </c>
    </row>
    <row r="563" spans="1:11" s="7" customFormat="1" x14ac:dyDescent="0.25">
      <c r="A563" s="18">
        <v>562</v>
      </c>
      <c r="B563" s="12" t="s">
        <v>894</v>
      </c>
      <c r="C563" s="12" t="s">
        <v>892</v>
      </c>
      <c r="D563" s="13" t="s">
        <v>895</v>
      </c>
      <c r="E563" s="19" t="s">
        <v>14</v>
      </c>
      <c r="F563" s="19">
        <v>30</v>
      </c>
      <c r="G563" s="20">
        <v>18.190000000000001</v>
      </c>
      <c r="H563" s="20">
        <f t="shared" si="8"/>
        <v>545.70000000000005</v>
      </c>
      <c r="I563" s="12" t="s">
        <v>849</v>
      </c>
      <c r="J563" s="22" t="s">
        <v>16</v>
      </c>
      <c r="K563" s="22" t="s">
        <v>17</v>
      </c>
    </row>
    <row r="564" spans="1:11" s="7" customFormat="1" ht="25.5" x14ac:dyDescent="0.25">
      <c r="A564" s="18">
        <v>563</v>
      </c>
      <c r="B564" s="12" t="s">
        <v>896</v>
      </c>
      <c r="C564" s="12" t="s">
        <v>28</v>
      </c>
      <c r="D564" s="13" t="s">
        <v>897</v>
      </c>
      <c r="E564" s="19" t="s">
        <v>14</v>
      </c>
      <c r="F564" s="19">
        <v>9</v>
      </c>
      <c r="G564" s="20">
        <v>16.32</v>
      </c>
      <c r="H564" s="20">
        <f t="shared" si="8"/>
        <v>146.88</v>
      </c>
      <c r="I564" s="12" t="s">
        <v>849</v>
      </c>
      <c r="J564" s="22" t="s">
        <v>16</v>
      </c>
      <c r="K564" s="22" t="s">
        <v>17</v>
      </c>
    </row>
    <row r="565" spans="1:11" s="7" customFormat="1" ht="25.5" x14ac:dyDescent="0.25">
      <c r="A565" s="18">
        <v>564</v>
      </c>
      <c r="B565" s="12" t="s">
        <v>898</v>
      </c>
      <c r="C565" s="12" t="s">
        <v>39</v>
      </c>
      <c r="D565" s="13" t="s">
        <v>899</v>
      </c>
      <c r="E565" s="19" t="s">
        <v>14</v>
      </c>
      <c r="F565" s="19">
        <v>1</v>
      </c>
      <c r="G565" s="20">
        <v>171.05</v>
      </c>
      <c r="H565" s="20">
        <f t="shared" si="8"/>
        <v>171.05</v>
      </c>
      <c r="I565" s="12" t="s">
        <v>849</v>
      </c>
      <c r="J565" s="22" t="s">
        <v>16</v>
      </c>
      <c r="K565" s="22" t="s">
        <v>17</v>
      </c>
    </row>
    <row r="566" spans="1:11" s="7" customFormat="1" ht="25.5" x14ac:dyDescent="0.25">
      <c r="A566" s="18">
        <v>565</v>
      </c>
      <c r="B566" s="12" t="s">
        <v>900</v>
      </c>
      <c r="C566" s="12" t="s">
        <v>39</v>
      </c>
      <c r="D566" s="13" t="s">
        <v>901</v>
      </c>
      <c r="E566" s="19" t="s">
        <v>14</v>
      </c>
      <c r="F566" s="19">
        <v>4</v>
      </c>
      <c r="G566" s="20">
        <v>80.92</v>
      </c>
      <c r="H566" s="20">
        <f t="shared" si="8"/>
        <v>323.68</v>
      </c>
      <c r="I566" s="12" t="s">
        <v>849</v>
      </c>
      <c r="J566" s="22" t="s">
        <v>16</v>
      </c>
      <c r="K566" s="22" t="s">
        <v>17</v>
      </c>
    </row>
    <row r="567" spans="1:11" s="7" customFormat="1" ht="25.5" x14ac:dyDescent="0.25">
      <c r="A567" s="18">
        <v>566</v>
      </c>
      <c r="B567" s="12" t="s">
        <v>902</v>
      </c>
      <c r="C567" s="12" t="s">
        <v>39</v>
      </c>
      <c r="D567" s="13" t="s">
        <v>903</v>
      </c>
      <c r="E567" s="19" t="s">
        <v>14</v>
      </c>
      <c r="F567" s="19">
        <v>2</v>
      </c>
      <c r="G567" s="20">
        <v>165</v>
      </c>
      <c r="H567" s="20">
        <f t="shared" si="8"/>
        <v>330</v>
      </c>
      <c r="I567" s="12" t="s">
        <v>849</v>
      </c>
      <c r="J567" s="22" t="s">
        <v>16</v>
      </c>
      <c r="K567" s="22" t="s">
        <v>17</v>
      </c>
    </row>
    <row r="568" spans="1:11" s="7" customFormat="1" x14ac:dyDescent="0.25">
      <c r="A568" s="18">
        <v>567</v>
      </c>
      <c r="B568" s="12" t="s">
        <v>904</v>
      </c>
      <c r="C568" s="12" t="s">
        <v>234</v>
      </c>
      <c r="D568" s="13" t="s">
        <v>905</v>
      </c>
      <c r="E568" s="19" t="s">
        <v>68</v>
      </c>
      <c r="F568" s="19">
        <v>30</v>
      </c>
      <c r="G568" s="20">
        <v>2.58</v>
      </c>
      <c r="H568" s="20">
        <f t="shared" si="8"/>
        <v>77.400000000000006</v>
      </c>
      <c r="I568" s="12" t="s">
        <v>849</v>
      </c>
      <c r="J568" s="22" t="s">
        <v>16</v>
      </c>
      <c r="K568" s="22" t="s">
        <v>17</v>
      </c>
    </row>
    <row r="569" spans="1:11" s="7" customFormat="1" x14ac:dyDescent="0.25">
      <c r="A569" s="18">
        <v>568</v>
      </c>
      <c r="B569" s="12" t="s">
        <v>906</v>
      </c>
      <c r="C569" s="12" t="s">
        <v>234</v>
      </c>
      <c r="D569" s="13" t="s">
        <v>907</v>
      </c>
      <c r="E569" s="19" t="s">
        <v>68</v>
      </c>
      <c r="F569" s="19">
        <v>180</v>
      </c>
      <c r="G569" s="20">
        <v>2.61</v>
      </c>
      <c r="H569" s="20">
        <f t="shared" si="8"/>
        <v>469.79999999999995</v>
      </c>
      <c r="I569" s="12" t="s">
        <v>849</v>
      </c>
      <c r="J569" s="22" t="s">
        <v>16</v>
      </c>
      <c r="K569" s="22" t="s">
        <v>17</v>
      </c>
    </row>
    <row r="570" spans="1:11" s="7" customFormat="1" ht="25.5" x14ac:dyDescent="0.25">
      <c r="A570" s="18">
        <v>569</v>
      </c>
      <c r="B570" s="12" t="s">
        <v>908</v>
      </c>
      <c r="C570" s="12" t="s">
        <v>848</v>
      </c>
      <c r="D570" s="13" t="s">
        <v>909</v>
      </c>
      <c r="E570" s="19" t="s">
        <v>24</v>
      </c>
      <c r="F570" s="19">
        <v>3</v>
      </c>
      <c r="G570" s="20">
        <v>5.36</v>
      </c>
      <c r="H570" s="20">
        <f t="shared" si="8"/>
        <v>16.080000000000002</v>
      </c>
      <c r="I570" s="12" t="s">
        <v>849</v>
      </c>
      <c r="J570" s="22" t="s">
        <v>16</v>
      </c>
      <c r="K570" s="22" t="s">
        <v>17</v>
      </c>
    </row>
    <row r="571" spans="1:11" s="7" customFormat="1" ht="25.5" x14ac:dyDescent="0.25">
      <c r="A571" s="18">
        <v>570</v>
      </c>
      <c r="B571" s="12" t="s">
        <v>910</v>
      </c>
      <c r="C571" s="12" t="s">
        <v>848</v>
      </c>
      <c r="D571" s="13" t="s">
        <v>911</v>
      </c>
      <c r="E571" s="19" t="s">
        <v>24</v>
      </c>
      <c r="F571" s="19">
        <v>4</v>
      </c>
      <c r="G571" s="20">
        <v>4.21</v>
      </c>
      <c r="H571" s="20">
        <f t="shared" si="8"/>
        <v>16.84</v>
      </c>
      <c r="I571" s="12" t="s">
        <v>849</v>
      </c>
      <c r="J571" s="22" t="s">
        <v>16</v>
      </c>
      <c r="K571" s="22" t="s">
        <v>17</v>
      </c>
    </row>
    <row r="572" spans="1:11" s="7" customFormat="1" ht="25.5" x14ac:dyDescent="0.25">
      <c r="A572" s="18">
        <v>571</v>
      </c>
      <c r="B572" s="12" t="s">
        <v>912</v>
      </c>
      <c r="C572" s="12" t="s">
        <v>848</v>
      </c>
      <c r="D572" s="13" t="s">
        <v>913</v>
      </c>
      <c r="E572" s="19" t="s">
        <v>24</v>
      </c>
      <c r="F572" s="19">
        <v>4</v>
      </c>
      <c r="G572" s="20">
        <v>4.21</v>
      </c>
      <c r="H572" s="20">
        <f t="shared" si="8"/>
        <v>16.84</v>
      </c>
      <c r="I572" s="12" t="s">
        <v>849</v>
      </c>
      <c r="J572" s="22" t="s">
        <v>16</v>
      </c>
      <c r="K572" s="22" t="s">
        <v>17</v>
      </c>
    </row>
    <row r="573" spans="1:11" s="7" customFormat="1" ht="25.5" x14ac:dyDescent="0.25">
      <c r="A573" s="18">
        <v>572</v>
      </c>
      <c r="B573" s="12" t="s">
        <v>914</v>
      </c>
      <c r="C573" s="12" t="s">
        <v>22</v>
      </c>
      <c r="D573" s="13" t="s">
        <v>915</v>
      </c>
      <c r="E573" s="19" t="s">
        <v>14</v>
      </c>
      <c r="F573" s="19">
        <v>50</v>
      </c>
      <c r="G573" s="20">
        <v>0.4</v>
      </c>
      <c r="H573" s="20">
        <f t="shared" si="8"/>
        <v>20</v>
      </c>
      <c r="I573" s="12" t="s">
        <v>849</v>
      </c>
      <c r="J573" s="22" t="s">
        <v>16</v>
      </c>
      <c r="K573" s="22" t="s">
        <v>17</v>
      </c>
    </row>
    <row r="574" spans="1:11" s="7" customFormat="1" x14ac:dyDescent="0.25">
      <c r="A574" s="18">
        <v>573</v>
      </c>
      <c r="B574" s="12" t="s">
        <v>916</v>
      </c>
      <c r="C574" s="12" t="s">
        <v>50</v>
      </c>
      <c r="D574" s="13" t="s">
        <v>917</v>
      </c>
      <c r="E574" s="19" t="s">
        <v>14</v>
      </c>
      <c r="F574" s="19">
        <v>4</v>
      </c>
      <c r="G574" s="20">
        <v>11.56</v>
      </c>
      <c r="H574" s="20">
        <f t="shared" si="8"/>
        <v>46.24</v>
      </c>
      <c r="I574" s="12" t="s">
        <v>849</v>
      </c>
      <c r="J574" s="22" t="s">
        <v>16</v>
      </c>
      <c r="K574" s="22" t="s">
        <v>17</v>
      </c>
    </row>
    <row r="575" spans="1:11" s="7" customFormat="1" x14ac:dyDescent="0.25">
      <c r="A575" s="18">
        <v>574</v>
      </c>
      <c r="B575" s="12" t="s">
        <v>918</v>
      </c>
      <c r="C575" s="12" t="s">
        <v>50</v>
      </c>
      <c r="D575" s="13" t="s">
        <v>919</v>
      </c>
      <c r="E575" s="19" t="s">
        <v>24</v>
      </c>
      <c r="F575" s="19">
        <v>20</v>
      </c>
      <c r="G575" s="20">
        <v>9.1199999999999992</v>
      </c>
      <c r="H575" s="20">
        <f t="shared" si="8"/>
        <v>182.39999999999998</v>
      </c>
      <c r="I575" s="12" t="s">
        <v>849</v>
      </c>
      <c r="J575" s="22" t="s">
        <v>16</v>
      </c>
      <c r="K575" s="22" t="s">
        <v>17</v>
      </c>
    </row>
    <row r="576" spans="1:11" s="7" customFormat="1" x14ac:dyDescent="0.25">
      <c r="A576" s="18">
        <v>575</v>
      </c>
      <c r="B576" s="12" t="s">
        <v>920</v>
      </c>
      <c r="C576" s="12" t="s">
        <v>921</v>
      </c>
      <c r="D576" s="13" t="s">
        <v>922</v>
      </c>
      <c r="E576" s="19" t="s">
        <v>14</v>
      </c>
      <c r="F576" s="19">
        <v>2</v>
      </c>
      <c r="G576" s="20">
        <v>14.04</v>
      </c>
      <c r="H576" s="20">
        <f t="shared" si="8"/>
        <v>28.08</v>
      </c>
      <c r="I576" s="12" t="s">
        <v>849</v>
      </c>
      <c r="J576" s="22" t="s">
        <v>16</v>
      </c>
      <c r="K576" s="22" t="s">
        <v>17</v>
      </c>
    </row>
    <row r="577" spans="1:11" s="7" customFormat="1" x14ac:dyDescent="0.25">
      <c r="A577" s="18">
        <v>576</v>
      </c>
      <c r="B577" s="12" t="s">
        <v>923</v>
      </c>
      <c r="C577" s="12" t="s">
        <v>550</v>
      </c>
      <c r="D577" s="13" t="s">
        <v>924</v>
      </c>
      <c r="E577" s="19" t="s">
        <v>14</v>
      </c>
      <c r="F577" s="19">
        <v>1</v>
      </c>
      <c r="G577" s="20">
        <v>108.44</v>
      </c>
      <c r="H577" s="20">
        <f t="shared" si="8"/>
        <v>108.44</v>
      </c>
      <c r="I577" s="12" t="s">
        <v>849</v>
      </c>
      <c r="J577" s="22" t="s">
        <v>16</v>
      </c>
      <c r="K577" s="22" t="s">
        <v>17</v>
      </c>
    </row>
    <row r="578" spans="1:11" s="7" customFormat="1" ht="25.5" x14ac:dyDescent="0.25">
      <c r="A578" s="18">
        <v>577</v>
      </c>
      <c r="B578" s="12" t="s">
        <v>925</v>
      </c>
      <c r="C578" s="12" t="s">
        <v>848</v>
      </c>
      <c r="D578" s="13" t="s">
        <v>926</v>
      </c>
      <c r="E578" s="19" t="s">
        <v>236</v>
      </c>
      <c r="F578" s="19">
        <v>1</v>
      </c>
      <c r="G578" s="20">
        <v>18.82</v>
      </c>
      <c r="H578" s="20">
        <f t="shared" ref="H578:H641" si="9">F578*G578</f>
        <v>18.82</v>
      </c>
      <c r="I578" s="12" t="s">
        <v>849</v>
      </c>
      <c r="J578" s="22" t="s">
        <v>16</v>
      </c>
      <c r="K578" s="22" t="s">
        <v>17</v>
      </c>
    </row>
    <row r="579" spans="1:11" s="7" customFormat="1" ht="25.5" x14ac:dyDescent="0.25">
      <c r="A579" s="18">
        <v>578</v>
      </c>
      <c r="B579" s="12" t="s">
        <v>927</v>
      </c>
      <c r="C579" s="12" t="s">
        <v>848</v>
      </c>
      <c r="D579" s="13" t="s">
        <v>928</v>
      </c>
      <c r="E579" s="19" t="s">
        <v>236</v>
      </c>
      <c r="F579" s="19">
        <v>1</v>
      </c>
      <c r="G579" s="20">
        <v>18.82</v>
      </c>
      <c r="H579" s="20">
        <f t="shared" si="9"/>
        <v>18.82</v>
      </c>
      <c r="I579" s="12" t="s">
        <v>849</v>
      </c>
      <c r="J579" s="22" t="s">
        <v>16</v>
      </c>
      <c r="K579" s="22" t="s">
        <v>17</v>
      </c>
    </row>
    <row r="580" spans="1:11" s="7" customFormat="1" ht="25.5" x14ac:dyDescent="0.25">
      <c r="A580" s="18">
        <v>579</v>
      </c>
      <c r="B580" s="12" t="s">
        <v>929</v>
      </c>
      <c r="C580" s="12" t="s">
        <v>848</v>
      </c>
      <c r="D580" s="13" t="s">
        <v>930</v>
      </c>
      <c r="E580" s="19" t="s">
        <v>236</v>
      </c>
      <c r="F580" s="19">
        <v>1</v>
      </c>
      <c r="G580" s="20">
        <v>18.82</v>
      </c>
      <c r="H580" s="20">
        <f t="shared" si="9"/>
        <v>18.82</v>
      </c>
      <c r="I580" s="12" t="s">
        <v>849</v>
      </c>
      <c r="J580" s="22" t="s">
        <v>16</v>
      </c>
      <c r="K580" s="22" t="s">
        <v>17</v>
      </c>
    </row>
    <row r="581" spans="1:11" s="7" customFormat="1" x14ac:dyDescent="0.25">
      <c r="A581" s="18">
        <v>580</v>
      </c>
      <c r="B581" s="12" t="s">
        <v>931</v>
      </c>
      <c r="C581" s="12" t="s">
        <v>205</v>
      </c>
      <c r="D581" s="12" t="s">
        <v>932</v>
      </c>
      <c r="E581" s="19" t="s">
        <v>14</v>
      </c>
      <c r="F581" s="19">
        <v>1</v>
      </c>
      <c r="G581" s="20">
        <v>127.59</v>
      </c>
      <c r="H581" s="20">
        <f t="shared" si="9"/>
        <v>127.59</v>
      </c>
      <c r="I581" s="12" t="s">
        <v>849</v>
      </c>
      <c r="J581" s="22" t="s">
        <v>16</v>
      </c>
      <c r="K581" s="22" t="s">
        <v>17</v>
      </c>
    </row>
    <row r="582" spans="1:11" s="7" customFormat="1" x14ac:dyDescent="0.25">
      <c r="A582" s="18">
        <v>581</v>
      </c>
      <c r="B582" s="12" t="s">
        <v>933</v>
      </c>
      <c r="C582" s="12" t="s">
        <v>934</v>
      </c>
      <c r="D582" s="13" t="s">
        <v>935</v>
      </c>
      <c r="E582" s="19" t="s">
        <v>68</v>
      </c>
      <c r="F582" s="19">
        <v>115</v>
      </c>
      <c r="G582" s="20">
        <v>6.08</v>
      </c>
      <c r="H582" s="20">
        <f t="shared" si="9"/>
        <v>699.2</v>
      </c>
      <c r="I582" s="12" t="s">
        <v>849</v>
      </c>
      <c r="J582" s="22" t="s">
        <v>16</v>
      </c>
      <c r="K582" s="22" t="s">
        <v>17</v>
      </c>
    </row>
    <row r="583" spans="1:11" s="7" customFormat="1" x14ac:dyDescent="0.25">
      <c r="A583" s="18">
        <v>582</v>
      </c>
      <c r="B583" s="12" t="s">
        <v>936</v>
      </c>
      <c r="C583" s="12" t="s">
        <v>934</v>
      </c>
      <c r="D583" s="13" t="s">
        <v>937</v>
      </c>
      <c r="E583" s="19" t="s">
        <v>68</v>
      </c>
      <c r="F583" s="19">
        <v>260</v>
      </c>
      <c r="G583" s="20">
        <v>3.17</v>
      </c>
      <c r="H583" s="20">
        <f t="shared" si="9"/>
        <v>824.19999999999993</v>
      </c>
      <c r="I583" s="12" t="s">
        <v>849</v>
      </c>
      <c r="J583" s="22" t="s">
        <v>16</v>
      </c>
      <c r="K583" s="22" t="s">
        <v>17</v>
      </c>
    </row>
    <row r="584" spans="1:11" s="7" customFormat="1" x14ac:dyDescent="0.25">
      <c r="A584" s="18">
        <v>583</v>
      </c>
      <c r="B584" s="12" t="s">
        <v>938</v>
      </c>
      <c r="C584" s="12" t="s">
        <v>934</v>
      </c>
      <c r="D584" s="13" t="s">
        <v>939</v>
      </c>
      <c r="E584" s="19" t="s">
        <v>68</v>
      </c>
      <c r="F584" s="19">
        <v>100</v>
      </c>
      <c r="G584" s="20">
        <v>16.07</v>
      </c>
      <c r="H584" s="20">
        <f t="shared" si="9"/>
        <v>1607</v>
      </c>
      <c r="I584" s="12" t="s">
        <v>849</v>
      </c>
      <c r="J584" s="22" t="s">
        <v>16</v>
      </c>
      <c r="K584" s="22" t="s">
        <v>17</v>
      </c>
    </row>
    <row r="585" spans="1:11" s="7" customFormat="1" x14ac:dyDescent="0.25">
      <c r="A585" s="18">
        <v>584</v>
      </c>
      <c r="B585" s="12" t="s">
        <v>940</v>
      </c>
      <c r="C585" s="12" t="s">
        <v>892</v>
      </c>
      <c r="D585" s="13" t="s">
        <v>941</v>
      </c>
      <c r="E585" s="19" t="s">
        <v>14</v>
      </c>
      <c r="F585" s="19">
        <v>4</v>
      </c>
      <c r="G585" s="20">
        <v>71.040000000000006</v>
      </c>
      <c r="H585" s="20">
        <f t="shared" si="9"/>
        <v>284.16000000000003</v>
      </c>
      <c r="I585" s="12" t="s">
        <v>849</v>
      </c>
      <c r="J585" s="22" t="s">
        <v>16</v>
      </c>
      <c r="K585" s="22" t="s">
        <v>17</v>
      </c>
    </row>
    <row r="586" spans="1:11" s="7" customFormat="1" x14ac:dyDescent="0.25">
      <c r="A586" s="18">
        <v>585</v>
      </c>
      <c r="B586" s="12" t="s">
        <v>942</v>
      </c>
      <c r="C586" s="12" t="s">
        <v>892</v>
      </c>
      <c r="D586" s="13" t="s">
        <v>943</v>
      </c>
      <c r="E586" s="19" t="s">
        <v>14</v>
      </c>
      <c r="F586" s="19">
        <v>4</v>
      </c>
      <c r="G586" s="20">
        <v>54.06</v>
      </c>
      <c r="H586" s="20">
        <f t="shared" si="9"/>
        <v>216.24</v>
      </c>
      <c r="I586" s="12" t="s">
        <v>849</v>
      </c>
      <c r="J586" s="22" t="s">
        <v>16</v>
      </c>
      <c r="K586" s="22" t="s">
        <v>17</v>
      </c>
    </row>
    <row r="587" spans="1:11" s="7" customFormat="1" ht="25.5" x14ac:dyDescent="0.25">
      <c r="A587" s="18">
        <v>586</v>
      </c>
      <c r="B587" s="12" t="s">
        <v>944</v>
      </c>
      <c r="C587" s="12" t="s">
        <v>945</v>
      </c>
      <c r="D587" s="13" t="s">
        <v>946</v>
      </c>
      <c r="E587" s="19" t="s">
        <v>14</v>
      </c>
      <c r="F587" s="19">
        <v>140</v>
      </c>
      <c r="G587" s="20">
        <v>0.25</v>
      </c>
      <c r="H587" s="20">
        <f t="shared" si="9"/>
        <v>35</v>
      </c>
      <c r="I587" s="12" t="s">
        <v>849</v>
      </c>
      <c r="J587" s="22" t="s">
        <v>16</v>
      </c>
      <c r="K587" s="22" t="s">
        <v>17</v>
      </c>
    </row>
    <row r="588" spans="1:11" s="7" customFormat="1" x14ac:dyDescent="0.25">
      <c r="A588" s="18">
        <v>587</v>
      </c>
      <c r="B588" s="12" t="s">
        <v>817</v>
      </c>
      <c r="C588" s="12" t="s">
        <v>143</v>
      </c>
      <c r="D588" s="13" t="s">
        <v>818</v>
      </c>
      <c r="E588" s="19" t="s">
        <v>14</v>
      </c>
      <c r="F588" s="19">
        <v>1</v>
      </c>
      <c r="G588" s="20">
        <v>22.07</v>
      </c>
      <c r="H588" s="20">
        <f t="shared" si="9"/>
        <v>22.07</v>
      </c>
      <c r="I588" s="12" t="s">
        <v>849</v>
      </c>
      <c r="J588" s="22" t="s">
        <v>16</v>
      </c>
      <c r="K588" s="22" t="s">
        <v>17</v>
      </c>
    </row>
    <row r="589" spans="1:11" s="7" customFormat="1" ht="25.5" x14ac:dyDescent="0.25">
      <c r="A589" s="18">
        <v>588</v>
      </c>
      <c r="B589" s="12" t="s">
        <v>947</v>
      </c>
      <c r="C589" s="12" t="s">
        <v>848</v>
      </c>
      <c r="D589" s="13" t="s">
        <v>948</v>
      </c>
      <c r="E589" s="19" t="s">
        <v>236</v>
      </c>
      <c r="F589" s="19">
        <v>1</v>
      </c>
      <c r="G589" s="20">
        <v>18.52</v>
      </c>
      <c r="H589" s="20">
        <f t="shared" si="9"/>
        <v>18.52</v>
      </c>
      <c r="I589" s="12" t="s">
        <v>849</v>
      </c>
      <c r="J589" s="22" t="s">
        <v>16</v>
      </c>
      <c r="K589" s="22" t="s">
        <v>17</v>
      </c>
    </row>
    <row r="590" spans="1:11" s="7" customFormat="1" ht="25.5" x14ac:dyDescent="0.25">
      <c r="A590" s="18">
        <v>589</v>
      </c>
      <c r="B590" s="12" t="s">
        <v>949</v>
      </c>
      <c r="C590" s="12" t="s">
        <v>848</v>
      </c>
      <c r="D590" s="13" t="s">
        <v>950</v>
      </c>
      <c r="E590" s="19" t="s">
        <v>236</v>
      </c>
      <c r="F590" s="19">
        <v>1</v>
      </c>
      <c r="G590" s="20">
        <v>185.26</v>
      </c>
      <c r="H590" s="20">
        <f t="shared" si="9"/>
        <v>185.26</v>
      </c>
      <c r="I590" s="12" t="s">
        <v>849</v>
      </c>
      <c r="J590" s="22" t="s">
        <v>16</v>
      </c>
      <c r="K590" s="22" t="s">
        <v>17</v>
      </c>
    </row>
    <row r="591" spans="1:11" s="7" customFormat="1" ht="25.5" x14ac:dyDescent="0.25">
      <c r="A591" s="18">
        <v>590</v>
      </c>
      <c r="B591" s="12" t="s">
        <v>951</v>
      </c>
      <c r="C591" s="12" t="s">
        <v>848</v>
      </c>
      <c r="D591" s="13" t="s">
        <v>952</v>
      </c>
      <c r="E591" s="19" t="s">
        <v>236</v>
      </c>
      <c r="F591" s="19">
        <v>1</v>
      </c>
      <c r="G591" s="20">
        <v>18.52</v>
      </c>
      <c r="H591" s="20">
        <f t="shared" si="9"/>
        <v>18.52</v>
      </c>
      <c r="I591" s="12" t="s">
        <v>849</v>
      </c>
      <c r="J591" s="22" t="s">
        <v>16</v>
      </c>
      <c r="K591" s="22" t="s">
        <v>17</v>
      </c>
    </row>
    <row r="592" spans="1:11" s="7" customFormat="1" ht="25.5" x14ac:dyDescent="0.25">
      <c r="A592" s="18">
        <v>591</v>
      </c>
      <c r="B592" s="12" t="s">
        <v>953</v>
      </c>
      <c r="C592" s="12" t="s">
        <v>848</v>
      </c>
      <c r="D592" s="13" t="s">
        <v>954</v>
      </c>
      <c r="E592" s="19" t="s">
        <v>236</v>
      </c>
      <c r="F592" s="19">
        <v>1</v>
      </c>
      <c r="G592" s="20">
        <v>18.52</v>
      </c>
      <c r="H592" s="20">
        <f t="shared" si="9"/>
        <v>18.52</v>
      </c>
      <c r="I592" s="12" t="s">
        <v>849</v>
      </c>
      <c r="J592" s="22" t="s">
        <v>16</v>
      </c>
      <c r="K592" s="22" t="s">
        <v>17</v>
      </c>
    </row>
    <row r="593" spans="1:11" s="7" customFormat="1" ht="25.5" x14ac:dyDescent="0.25">
      <c r="A593" s="18">
        <v>592</v>
      </c>
      <c r="B593" s="12" t="s">
        <v>955</v>
      </c>
      <c r="C593" s="12" t="s">
        <v>848</v>
      </c>
      <c r="D593" s="13" t="s">
        <v>956</v>
      </c>
      <c r="E593" s="19" t="s">
        <v>236</v>
      </c>
      <c r="F593" s="19">
        <v>1</v>
      </c>
      <c r="G593" s="20">
        <v>18.52</v>
      </c>
      <c r="H593" s="20">
        <f t="shared" si="9"/>
        <v>18.52</v>
      </c>
      <c r="I593" s="12" t="s">
        <v>849</v>
      </c>
      <c r="J593" s="22" t="s">
        <v>16</v>
      </c>
      <c r="K593" s="22" t="s">
        <v>17</v>
      </c>
    </row>
    <row r="594" spans="1:11" s="7" customFormat="1" ht="25.5" x14ac:dyDescent="0.25">
      <c r="A594" s="18">
        <v>593</v>
      </c>
      <c r="B594" s="12" t="s">
        <v>957</v>
      </c>
      <c r="C594" s="12" t="s">
        <v>848</v>
      </c>
      <c r="D594" s="13" t="s">
        <v>958</v>
      </c>
      <c r="E594" s="19" t="s">
        <v>236</v>
      </c>
      <c r="F594" s="19">
        <v>1</v>
      </c>
      <c r="G594" s="20">
        <v>18.52</v>
      </c>
      <c r="H594" s="20">
        <f t="shared" si="9"/>
        <v>18.52</v>
      </c>
      <c r="I594" s="12" t="s">
        <v>849</v>
      </c>
      <c r="J594" s="22" t="s">
        <v>16</v>
      </c>
      <c r="K594" s="22" t="s">
        <v>17</v>
      </c>
    </row>
    <row r="595" spans="1:11" s="7" customFormat="1" ht="25.5" x14ac:dyDescent="0.25">
      <c r="A595" s="18">
        <v>594</v>
      </c>
      <c r="B595" s="12" t="s">
        <v>959</v>
      </c>
      <c r="C595" s="12" t="s">
        <v>848</v>
      </c>
      <c r="D595" s="13" t="s">
        <v>960</v>
      </c>
      <c r="E595" s="19" t="s">
        <v>236</v>
      </c>
      <c r="F595" s="19">
        <v>1</v>
      </c>
      <c r="G595" s="20">
        <v>18.52</v>
      </c>
      <c r="H595" s="20">
        <f t="shared" si="9"/>
        <v>18.52</v>
      </c>
      <c r="I595" s="12" t="s">
        <v>849</v>
      </c>
      <c r="J595" s="22" t="s">
        <v>16</v>
      </c>
      <c r="K595" s="22" t="s">
        <v>17</v>
      </c>
    </row>
    <row r="596" spans="1:11" s="7" customFormat="1" ht="25.5" x14ac:dyDescent="0.25">
      <c r="A596" s="18">
        <v>595</v>
      </c>
      <c r="B596" s="12" t="s">
        <v>961</v>
      </c>
      <c r="C596" s="12" t="s">
        <v>848</v>
      </c>
      <c r="D596" s="13" t="s">
        <v>962</v>
      </c>
      <c r="E596" s="19" t="s">
        <v>236</v>
      </c>
      <c r="F596" s="19">
        <v>1</v>
      </c>
      <c r="G596" s="20">
        <v>18.52</v>
      </c>
      <c r="H596" s="20">
        <f t="shared" si="9"/>
        <v>18.52</v>
      </c>
      <c r="I596" s="12" t="s">
        <v>849</v>
      </c>
      <c r="J596" s="22" t="s">
        <v>16</v>
      </c>
      <c r="K596" s="22" t="s">
        <v>17</v>
      </c>
    </row>
    <row r="597" spans="1:11" s="7" customFormat="1" ht="25.5" x14ac:dyDescent="0.25">
      <c r="A597" s="18">
        <v>596</v>
      </c>
      <c r="B597" s="12" t="s">
        <v>963</v>
      </c>
      <c r="C597" s="12" t="s">
        <v>848</v>
      </c>
      <c r="D597" s="13" t="s">
        <v>964</v>
      </c>
      <c r="E597" s="19" t="s">
        <v>236</v>
      </c>
      <c r="F597" s="19">
        <v>1</v>
      </c>
      <c r="G597" s="20">
        <v>18.52</v>
      </c>
      <c r="H597" s="20">
        <f t="shared" si="9"/>
        <v>18.52</v>
      </c>
      <c r="I597" s="12" t="s">
        <v>849</v>
      </c>
      <c r="J597" s="22" t="s">
        <v>16</v>
      </c>
      <c r="K597" s="22" t="s">
        <v>17</v>
      </c>
    </row>
    <row r="598" spans="1:11" s="7" customFormat="1" x14ac:dyDescent="0.25">
      <c r="A598" s="18">
        <v>597</v>
      </c>
      <c r="B598" s="12" t="s">
        <v>965</v>
      </c>
      <c r="C598" s="12" t="s">
        <v>290</v>
      </c>
      <c r="D598" s="13" t="s">
        <v>966</v>
      </c>
      <c r="E598" s="19" t="s">
        <v>14</v>
      </c>
      <c r="F598" s="19">
        <v>2</v>
      </c>
      <c r="G598" s="20">
        <v>19.79</v>
      </c>
      <c r="H598" s="20">
        <f t="shared" si="9"/>
        <v>39.58</v>
      </c>
      <c r="I598" s="12" t="s">
        <v>849</v>
      </c>
      <c r="J598" s="22" t="s">
        <v>16</v>
      </c>
      <c r="K598" s="22" t="s">
        <v>17</v>
      </c>
    </row>
    <row r="599" spans="1:11" s="7" customFormat="1" ht="25.5" x14ac:dyDescent="0.25">
      <c r="A599" s="18">
        <v>598</v>
      </c>
      <c r="B599" s="12" t="s">
        <v>80</v>
      </c>
      <c r="C599" s="12" t="s">
        <v>81</v>
      </c>
      <c r="D599" s="13" t="s">
        <v>82</v>
      </c>
      <c r="E599" s="19" t="s">
        <v>24</v>
      </c>
      <c r="F599" s="19">
        <v>25</v>
      </c>
      <c r="G599" s="20">
        <v>1.25</v>
      </c>
      <c r="H599" s="20">
        <f t="shared" si="9"/>
        <v>31.25</v>
      </c>
      <c r="I599" s="12" t="s">
        <v>849</v>
      </c>
      <c r="J599" s="22" t="s">
        <v>16</v>
      </c>
      <c r="K599" s="22" t="s">
        <v>17</v>
      </c>
    </row>
    <row r="600" spans="1:11" s="7" customFormat="1" x14ac:dyDescent="0.25">
      <c r="A600" s="18">
        <v>599</v>
      </c>
      <c r="B600" s="12" t="s">
        <v>967</v>
      </c>
      <c r="C600" s="12" t="s">
        <v>872</v>
      </c>
      <c r="D600" s="13" t="s">
        <v>968</v>
      </c>
      <c r="E600" s="19" t="s">
        <v>14</v>
      </c>
      <c r="F600" s="19">
        <v>100</v>
      </c>
      <c r="G600" s="20">
        <v>0.1</v>
      </c>
      <c r="H600" s="20">
        <f t="shared" si="9"/>
        <v>10</v>
      </c>
      <c r="I600" s="12" t="s">
        <v>849</v>
      </c>
      <c r="J600" s="22" t="s">
        <v>16</v>
      </c>
      <c r="K600" s="22" t="s">
        <v>17</v>
      </c>
    </row>
    <row r="601" spans="1:11" s="7" customFormat="1" ht="25.5" x14ac:dyDescent="0.25">
      <c r="A601" s="18">
        <v>600</v>
      </c>
      <c r="B601" s="12" t="s">
        <v>969</v>
      </c>
      <c r="C601" s="12" t="s">
        <v>892</v>
      </c>
      <c r="D601" s="13" t="s">
        <v>970</v>
      </c>
      <c r="E601" s="19" t="s">
        <v>14</v>
      </c>
      <c r="F601" s="19">
        <v>34</v>
      </c>
      <c r="G601" s="20">
        <v>0.41</v>
      </c>
      <c r="H601" s="20">
        <f t="shared" si="9"/>
        <v>13.94</v>
      </c>
      <c r="I601" s="12" t="s">
        <v>849</v>
      </c>
      <c r="J601" s="22" t="s">
        <v>16</v>
      </c>
      <c r="K601" s="22" t="s">
        <v>17</v>
      </c>
    </row>
    <row r="602" spans="1:11" s="7" customFormat="1" ht="38.25" x14ac:dyDescent="0.25">
      <c r="A602" s="18">
        <v>601</v>
      </c>
      <c r="B602" s="12" t="s">
        <v>971</v>
      </c>
      <c r="C602" s="12" t="s">
        <v>972</v>
      </c>
      <c r="D602" s="13" t="s">
        <v>973</v>
      </c>
      <c r="E602" s="19" t="s">
        <v>14</v>
      </c>
      <c r="F602" s="19">
        <v>2</v>
      </c>
      <c r="G602" s="20">
        <v>20.21</v>
      </c>
      <c r="H602" s="20">
        <f t="shared" si="9"/>
        <v>40.42</v>
      </c>
      <c r="I602" s="12" t="s">
        <v>849</v>
      </c>
      <c r="J602" s="22" t="s">
        <v>16</v>
      </c>
      <c r="K602" s="22" t="s">
        <v>17</v>
      </c>
    </row>
    <row r="603" spans="1:11" s="7" customFormat="1" ht="25.5" x14ac:dyDescent="0.25">
      <c r="A603" s="18">
        <v>602</v>
      </c>
      <c r="B603" s="12" t="s">
        <v>974</v>
      </c>
      <c r="C603" s="12" t="s">
        <v>290</v>
      </c>
      <c r="D603" s="13" t="s">
        <v>975</v>
      </c>
      <c r="E603" s="19" t="s">
        <v>24</v>
      </c>
      <c r="F603" s="19">
        <v>22</v>
      </c>
      <c r="G603" s="20">
        <v>6.55</v>
      </c>
      <c r="H603" s="20">
        <f t="shared" si="9"/>
        <v>144.1</v>
      </c>
      <c r="I603" s="12" t="s">
        <v>849</v>
      </c>
      <c r="J603" s="22" t="s">
        <v>16</v>
      </c>
      <c r="K603" s="22" t="s">
        <v>17</v>
      </c>
    </row>
    <row r="604" spans="1:11" s="7" customFormat="1" x14ac:dyDescent="0.25">
      <c r="A604" s="18">
        <v>603</v>
      </c>
      <c r="B604" s="12" t="s">
        <v>976</v>
      </c>
      <c r="C604" s="12" t="s">
        <v>977</v>
      </c>
      <c r="D604" s="13" t="s">
        <v>978</v>
      </c>
      <c r="E604" s="19" t="s">
        <v>14</v>
      </c>
      <c r="F604" s="19">
        <v>1</v>
      </c>
      <c r="G604" s="20">
        <v>4.83</v>
      </c>
      <c r="H604" s="20">
        <f t="shared" si="9"/>
        <v>4.83</v>
      </c>
      <c r="I604" s="12" t="s">
        <v>849</v>
      </c>
      <c r="J604" s="22" t="s">
        <v>16</v>
      </c>
      <c r="K604" s="22" t="s">
        <v>17</v>
      </c>
    </row>
    <row r="605" spans="1:11" s="7" customFormat="1" ht="25.5" x14ac:dyDescent="0.25">
      <c r="A605" s="18">
        <v>604</v>
      </c>
      <c r="B605" s="12" t="s">
        <v>979</v>
      </c>
      <c r="C605" s="12" t="s">
        <v>31</v>
      </c>
      <c r="D605" s="13" t="s">
        <v>980</v>
      </c>
      <c r="E605" s="19" t="s">
        <v>14</v>
      </c>
      <c r="F605" s="19">
        <v>6</v>
      </c>
      <c r="G605" s="20">
        <v>4.1500000000000004</v>
      </c>
      <c r="H605" s="20">
        <f t="shared" si="9"/>
        <v>24.900000000000002</v>
      </c>
      <c r="I605" s="12" t="s">
        <v>849</v>
      </c>
      <c r="J605" s="22" t="s">
        <v>16</v>
      </c>
      <c r="K605" s="22" t="s">
        <v>17</v>
      </c>
    </row>
    <row r="606" spans="1:11" s="7" customFormat="1" x14ac:dyDescent="0.25">
      <c r="A606" s="18">
        <v>605</v>
      </c>
      <c r="B606" s="12" t="s">
        <v>981</v>
      </c>
      <c r="C606" s="12" t="s">
        <v>39</v>
      </c>
      <c r="D606" s="13" t="s">
        <v>982</v>
      </c>
      <c r="E606" s="19" t="s">
        <v>14</v>
      </c>
      <c r="F606" s="19">
        <v>1</v>
      </c>
      <c r="G606" s="20">
        <v>91.46</v>
      </c>
      <c r="H606" s="20">
        <f t="shared" si="9"/>
        <v>91.46</v>
      </c>
      <c r="I606" s="12" t="s">
        <v>849</v>
      </c>
      <c r="J606" s="22" t="s">
        <v>16</v>
      </c>
      <c r="K606" s="22" t="s">
        <v>17</v>
      </c>
    </row>
    <row r="607" spans="1:11" s="7" customFormat="1" ht="25.5" x14ac:dyDescent="0.25">
      <c r="A607" s="18">
        <v>606</v>
      </c>
      <c r="B607" s="12" t="s">
        <v>983</v>
      </c>
      <c r="C607" s="12" t="s">
        <v>39</v>
      </c>
      <c r="D607" s="13" t="s">
        <v>984</v>
      </c>
      <c r="E607" s="19" t="s">
        <v>14</v>
      </c>
      <c r="F607" s="19">
        <v>1</v>
      </c>
      <c r="G607" s="20">
        <v>1617.27</v>
      </c>
      <c r="H607" s="20">
        <f t="shared" si="9"/>
        <v>1617.27</v>
      </c>
      <c r="I607" s="12" t="s">
        <v>849</v>
      </c>
      <c r="J607" s="22" t="s">
        <v>16</v>
      </c>
      <c r="K607" s="22" t="s">
        <v>17</v>
      </c>
    </row>
    <row r="608" spans="1:11" s="7" customFormat="1" ht="25.5" x14ac:dyDescent="0.25">
      <c r="A608" s="18">
        <v>607</v>
      </c>
      <c r="B608" s="12" t="s">
        <v>95</v>
      </c>
      <c r="C608" s="12" t="s">
        <v>81</v>
      </c>
      <c r="D608" s="13" t="s">
        <v>96</v>
      </c>
      <c r="E608" s="19" t="s">
        <v>14</v>
      </c>
      <c r="F608" s="19">
        <v>10</v>
      </c>
      <c r="G608" s="20">
        <v>13.57</v>
      </c>
      <c r="H608" s="20">
        <f t="shared" si="9"/>
        <v>135.69999999999999</v>
      </c>
      <c r="I608" s="12" t="s">
        <v>849</v>
      </c>
      <c r="J608" s="22" t="s">
        <v>16</v>
      </c>
      <c r="K608" s="22" t="s">
        <v>17</v>
      </c>
    </row>
    <row r="609" spans="1:11" s="7" customFormat="1" x14ac:dyDescent="0.25">
      <c r="A609" s="18">
        <v>608</v>
      </c>
      <c r="B609" s="12" t="s">
        <v>985</v>
      </c>
      <c r="C609" s="12" t="s">
        <v>986</v>
      </c>
      <c r="D609" s="13" t="s">
        <v>987</v>
      </c>
      <c r="E609" s="19" t="s">
        <v>24</v>
      </c>
      <c r="F609" s="19">
        <v>11</v>
      </c>
      <c r="G609" s="20">
        <v>44.68</v>
      </c>
      <c r="H609" s="20">
        <f t="shared" si="9"/>
        <v>491.48</v>
      </c>
      <c r="I609" s="12" t="s">
        <v>849</v>
      </c>
      <c r="J609" s="22" t="s">
        <v>16</v>
      </c>
      <c r="K609" s="22" t="s">
        <v>17</v>
      </c>
    </row>
    <row r="610" spans="1:11" s="7" customFormat="1" ht="25.5" x14ac:dyDescent="0.25">
      <c r="A610" s="18">
        <v>609</v>
      </c>
      <c r="B610" s="12" t="s">
        <v>988</v>
      </c>
      <c r="C610" s="12" t="s">
        <v>986</v>
      </c>
      <c r="D610" s="13" t="s">
        <v>989</v>
      </c>
      <c r="E610" s="19" t="s">
        <v>14</v>
      </c>
      <c r="F610" s="19">
        <v>6</v>
      </c>
      <c r="G610" s="20">
        <v>792.71</v>
      </c>
      <c r="H610" s="20">
        <f t="shared" si="9"/>
        <v>4756.26</v>
      </c>
      <c r="I610" s="12" t="s">
        <v>849</v>
      </c>
      <c r="J610" s="22" t="s">
        <v>16</v>
      </c>
      <c r="K610" s="22" t="s">
        <v>17</v>
      </c>
    </row>
    <row r="611" spans="1:11" s="7" customFormat="1" ht="25.5" x14ac:dyDescent="0.25">
      <c r="A611" s="18">
        <v>610</v>
      </c>
      <c r="B611" s="12" t="s">
        <v>990</v>
      </c>
      <c r="C611" s="12" t="s">
        <v>986</v>
      </c>
      <c r="D611" s="13" t="s">
        <v>991</v>
      </c>
      <c r="E611" s="19" t="s">
        <v>14</v>
      </c>
      <c r="F611" s="19">
        <v>5</v>
      </c>
      <c r="G611" s="20">
        <v>708.46</v>
      </c>
      <c r="H611" s="20">
        <f t="shared" si="9"/>
        <v>3542.3</v>
      </c>
      <c r="I611" s="12" t="s">
        <v>849</v>
      </c>
      <c r="J611" s="22" t="s">
        <v>16</v>
      </c>
      <c r="K611" s="22" t="s">
        <v>17</v>
      </c>
    </row>
    <row r="612" spans="1:11" s="7" customFormat="1" x14ac:dyDescent="0.25">
      <c r="A612" s="18">
        <v>611</v>
      </c>
      <c r="B612" s="12" t="s">
        <v>992</v>
      </c>
      <c r="C612" s="12" t="s">
        <v>290</v>
      </c>
      <c r="D612" s="13" t="s">
        <v>993</v>
      </c>
      <c r="E612" s="19" t="s">
        <v>24</v>
      </c>
      <c r="F612" s="19">
        <v>6</v>
      </c>
      <c r="G612" s="20">
        <v>22.02</v>
      </c>
      <c r="H612" s="20">
        <f t="shared" si="9"/>
        <v>132.12</v>
      </c>
      <c r="I612" s="12" t="s">
        <v>849</v>
      </c>
      <c r="J612" s="22" t="s">
        <v>16</v>
      </c>
      <c r="K612" s="22" t="s">
        <v>17</v>
      </c>
    </row>
    <row r="613" spans="1:11" s="7" customFormat="1" x14ac:dyDescent="0.25">
      <c r="A613" s="18">
        <v>612</v>
      </c>
      <c r="B613" s="12" t="s">
        <v>994</v>
      </c>
      <c r="C613" s="12" t="s">
        <v>57</v>
      </c>
      <c r="D613" s="13" t="s">
        <v>995</v>
      </c>
      <c r="E613" s="19" t="s">
        <v>14</v>
      </c>
      <c r="F613" s="19">
        <v>10</v>
      </c>
      <c r="G613" s="20">
        <v>1.06</v>
      </c>
      <c r="H613" s="20">
        <f t="shared" si="9"/>
        <v>10.600000000000001</v>
      </c>
      <c r="I613" s="12" t="s">
        <v>849</v>
      </c>
      <c r="J613" s="22" t="s">
        <v>16</v>
      </c>
      <c r="K613" s="22" t="s">
        <v>17</v>
      </c>
    </row>
    <row r="614" spans="1:11" s="7" customFormat="1" ht="25.5" x14ac:dyDescent="0.25">
      <c r="A614" s="18">
        <v>613</v>
      </c>
      <c r="B614" s="12" t="s">
        <v>996</v>
      </c>
      <c r="C614" s="12" t="s">
        <v>997</v>
      </c>
      <c r="D614" s="12">
        <v>61885</v>
      </c>
      <c r="E614" s="19" t="s">
        <v>14</v>
      </c>
      <c r="F614" s="19">
        <v>300</v>
      </c>
      <c r="G614" s="20">
        <v>96.67</v>
      </c>
      <c r="H614" s="20">
        <f t="shared" si="9"/>
        <v>29001</v>
      </c>
      <c r="I614" s="12" t="s">
        <v>998</v>
      </c>
      <c r="J614" s="22" t="s">
        <v>16</v>
      </c>
      <c r="K614" s="22" t="s">
        <v>17</v>
      </c>
    </row>
    <row r="615" spans="1:11" s="7" customFormat="1" ht="25.5" x14ac:dyDescent="0.25">
      <c r="A615" s="18">
        <v>614</v>
      </c>
      <c r="B615" s="12" t="s">
        <v>999</v>
      </c>
      <c r="C615" s="12" t="s">
        <v>1000</v>
      </c>
      <c r="D615" s="13" t="s">
        <v>1001</v>
      </c>
      <c r="E615" s="19" t="s">
        <v>14</v>
      </c>
      <c r="F615" s="19">
        <v>90</v>
      </c>
      <c r="G615" s="20">
        <v>98.07</v>
      </c>
      <c r="H615" s="20">
        <f t="shared" si="9"/>
        <v>8826.2999999999993</v>
      </c>
      <c r="I615" s="12" t="s">
        <v>998</v>
      </c>
      <c r="J615" s="22" t="s">
        <v>16</v>
      </c>
      <c r="K615" s="22" t="s">
        <v>17</v>
      </c>
    </row>
    <row r="616" spans="1:11" s="7" customFormat="1" ht="25.5" x14ac:dyDescent="0.25">
      <c r="A616" s="18">
        <v>615</v>
      </c>
      <c r="B616" s="12" t="s">
        <v>1002</v>
      </c>
      <c r="C616" s="12" t="s">
        <v>1003</v>
      </c>
      <c r="D616" s="13" t="s">
        <v>1004</v>
      </c>
      <c r="E616" s="19" t="s">
        <v>14</v>
      </c>
      <c r="F616" s="19">
        <v>163</v>
      </c>
      <c r="G616" s="20">
        <v>16.7</v>
      </c>
      <c r="H616" s="20">
        <f t="shared" si="9"/>
        <v>2722.1</v>
      </c>
      <c r="I616" s="12" t="s">
        <v>998</v>
      </c>
      <c r="J616" s="22" t="s">
        <v>16</v>
      </c>
      <c r="K616" s="22" t="s">
        <v>17</v>
      </c>
    </row>
    <row r="617" spans="1:11" s="7" customFormat="1" ht="25.5" x14ac:dyDescent="0.25">
      <c r="A617" s="18">
        <v>616</v>
      </c>
      <c r="B617" s="12" t="s">
        <v>1005</v>
      </c>
      <c r="C617" s="12" t="s">
        <v>1000</v>
      </c>
      <c r="D617" s="13" t="s">
        <v>1006</v>
      </c>
      <c r="E617" s="19" t="s">
        <v>14</v>
      </c>
      <c r="F617" s="19">
        <v>17</v>
      </c>
      <c r="G617" s="20">
        <v>40.94</v>
      </c>
      <c r="H617" s="20">
        <f t="shared" si="9"/>
        <v>695.98</v>
      </c>
      <c r="I617" s="12" t="s">
        <v>998</v>
      </c>
      <c r="J617" s="22" t="s">
        <v>16</v>
      </c>
      <c r="K617" s="22" t="s">
        <v>17</v>
      </c>
    </row>
    <row r="618" spans="1:11" s="7" customFormat="1" ht="25.5" x14ac:dyDescent="0.25">
      <c r="A618" s="18">
        <v>617</v>
      </c>
      <c r="B618" s="12" t="s">
        <v>1007</v>
      </c>
      <c r="C618" s="12" t="s">
        <v>1008</v>
      </c>
      <c r="D618" s="13" t="s">
        <v>1009</v>
      </c>
      <c r="E618" s="19" t="s">
        <v>14</v>
      </c>
      <c r="F618" s="19">
        <v>1</v>
      </c>
      <c r="G618" s="20">
        <v>70.900000000000006</v>
      </c>
      <c r="H618" s="20">
        <f t="shared" si="9"/>
        <v>70.900000000000006</v>
      </c>
      <c r="I618" s="12" t="s">
        <v>998</v>
      </c>
      <c r="J618" s="22" t="s">
        <v>16</v>
      </c>
      <c r="K618" s="22" t="s">
        <v>17</v>
      </c>
    </row>
    <row r="619" spans="1:11" s="7" customFormat="1" x14ac:dyDescent="0.25">
      <c r="A619" s="18">
        <v>618</v>
      </c>
      <c r="B619" s="12" t="s">
        <v>1010</v>
      </c>
      <c r="C619" s="12" t="s">
        <v>317</v>
      </c>
      <c r="D619" s="13">
        <v>4016</v>
      </c>
      <c r="E619" s="19" t="s">
        <v>14</v>
      </c>
      <c r="F619" s="19">
        <v>4</v>
      </c>
      <c r="G619" s="20">
        <v>17.64</v>
      </c>
      <c r="H619" s="20">
        <f t="shared" si="9"/>
        <v>70.56</v>
      </c>
      <c r="I619" s="12" t="s">
        <v>1011</v>
      </c>
      <c r="J619" s="22" t="s">
        <v>16</v>
      </c>
      <c r="K619" s="22" t="s">
        <v>17</v>
      </c>
    </row>
    <row r="620" spans="1:11" s="7" customFormat="1" x14ac:dyDescent="0.25">
      <c r="A620" s="18">
        <v>619</v>
      </c>
      <c r="B620" s="12" t="s">
        <v>1012</v>
      </c>
      <c r="C620" s="12" t="s">
        <v>317</v>
      </c>
      <c r="D620" s="13">
        <v>4827</v>
      </c>
      <c r="E620" s="19" t="s">
        <v>14</v>
      </c>
      <c r="F620" s="19">
        <v>13</v>
      </c>
      <c r="G620" s="20">
        <v>4.9400000000000004</v>
      </c>
      <c r="H620" s="20">
        <f t="shared" si="9"/>
        <v>64.22</v>
      </c>
      <c r="I620" s="12" t="s">
        <v>1011</v>
      </c>
      <c r="J620" s="22" t="s">
        <v>16</v>
      </c>
      <c r="K620" s="22" t="s">
        <v>17</v>
      </c>
    </row>
    <row r="621" spans="1:11" s="7" customFormat="1" ht="25.5" x14ac:dyDescent="0.25">
      <c r="A621" s="18">
        <v>620</v>
      </c>
      <c r="B621" s="12" t="s">
        <v>1013</v>
      </c>
      <c r="C621" s="12" t="s">
        <v>39</v>
      </c>
      <c r="D621" s="13">
        <v>13450</v>
      </c>
      <c r="E621" s="19" t="s">
        <v>24</v>
      </c>
      <c r="F621" s="19">
        <v>6</v>
      </c>
      <c r="G621" s="20">
        <v>11.1</v>
      </c>
      <c r="H621" s="20">
        <f t="shared" si="9"/>
        <v>66.599999999999994</v>
      </c>
      <c r="I621" s="12" t="s">
        <v>1011</v>
      </c>
      <c r="J621" s="22" t="s">
        <v>16</v>
      </c>
      <c r="K621" s="22" t="s">
        <v>17</v>
      </c>
    </row>
    <row r="622" spans="1:11" s="7" customFormat="1" ht="25.5" x14ac:dyDescent="0.25">
      <c r="A622" s="18">
        <v>621</v>
      </c>
      <c r="B622" s="12" t="s">
        <v>1014</v>
      </c>
      <c r="C622" s="12" t="s">
        <v>1015</v>
      </c>
      <c r="D622" s="13">
        <v>38167</v>
      </c>
      <c r="E622" s="19" t="s">
        <v>236</v>
      </c>
      <c r="F622" s="19">
        <v>1</v>
      </c>
      <c r="G622" s="20">
        <v>229.77</v>
      </c>
      <c r="H622" s="20">
        <f t="shared" si="9"/>
        <v>229.77</v>
      </c>
      <c r="I622" s="12" t="s">
        <v>1011</v>
      </c>
      <c r="J622" s="22" t="s">
        <v>16</v>
      </c>
      <c r="K622" s="22" t="s">
        <v>17</v>
      </c>
    </row>
    <row r="623" spans="1:11" s="7" customFormat="1" x14ac:dyDescent="0.25">
      <c r="A623" s="18">
        <v>622</v>
      </c>
      <c r="B623" s="12" t="s">
        <v>1016</v>
      </c>
      <c r="C623" s="12" t="s">
        <v>1015</v>
      </c>
      <c r="D623" s="12">
        <v>55347</v>
      </c>
      <c r="E623" s="19" t="s">
        <v>68</v>
      </c>
      <c r="F623" s="19">
        <v>20</v>
      </c>
      <c r="G623" s="20">
        <v>7.45</v>
      </c>
      <c r="H623" s="20">
        <f t="shared" si="9"/>
        <v>149</v>
      </c>
      <c r="I623" s="12" t="s">
        <v>1011</v>
      </c>
      <c r="J623" s="22" t="s">
        <v>16</v>
      </c>
      <c r="K623" s="22" t="s">
        <v>17</v>
      </c>
    </row>
    <row r="624" spans="1:11" s="7" customFormat="1" x14ac:dyDescent="0.25">
      <c r="A624" s="18">
        <v>623</v>
      </c>
      <c r="B624" s="12" t="s">
        <v>1017</v>
      </c>
      <c r="C624" s="12" t="s">
        <v>1015</v>
      </c>
      <c r="D624" s="12">
        <v>55513</v>
      </c>
      <c r="E624" s="19" t="s">
        <v>68</v>
      </c>
      <c r="F624" s="19">
        <v>30</v>
      </c>
      <c r="G624" s="20">
        <v>5.5</v>
      </c>
      <c r="H624" s="20">
        <f t="shared" si="9"/>
        <v>165</v>
      </c>
      <c r="I624" s="12" t="s">
        <v>1011</v>
      </c>
      <c r="J624" s="22" t="s">
        <v>16</v>
      </c>
      <c r="K624" s="22" t="s">
        <v>17</v>
      </c>
    </row>
    <row r="625" spans="1:11" s="7" customFormat="1" ht="25.5" x14ac:dyDescent="0.25">
      <c r="A625" s="18">
        <v>624</v>
      </c>
      <c r="B625" s="12" t="s">
        <v>1018</v>
      </c>
      <c r="C625" s="12" t="s">
        <v>39</v>
      </c>
      <c r="D625" s="13">
        <v>99217</v>
      </c>
      <c r="E625" s="19" t="s">
        <v>14</v>
      </c>
      <c r="F625" s="19">
        <v>1</v>
      </c>
      <c r="G625" s="20">
        <v>57.34</v>
      </c>
      <c r="H625" s="20">
        <f t="shared" si="9"/>
        <v>57.34</v>
      </c>
      <c r="I625" s="12" t="s">
        <v>1011</v>
      </c>
      <c r="J625" s="22" t="s">
        <v>16</v>
      </c>
      <c r="K625" s="22" t="s">
        <v>17</v>
      </c>
    </row>
    <row r="626" spans="1:11" s="7" customFormat="1" x14ac:dyDescent="0.25">
      <c r="A626" s="18">
        <v>625</v>
      </c>
      <c r="B626" s="12" t="s">
        <v>1019</v>
      </c>
      <c r="C626" s="12" t="s">
        <v>297</v>
      </c>
      <c r="D626" s="13">
        <v>424008</v>
      </c>
      <c r="E626" s="19" t="s">
        <v>14</v>
      </c>
      <c r="F626" s="19">
        <v>1</v>
      </c>
      <c r="G626" s="20">
        <v>24.13</v>
      </c>
      <c r="H626" s="20">
        <f t="shared" si="9"/>
        <v>24.13</v>
      </c>
      <c r="I626" s="12" t="s">
        <v>1011</v>
      </c>
      <c r="J626" s="22" t="s">
        <v>16</v>
      </c>
      <c r="K626" s="22" t="s">
        <v>17</v>
      </c>
    </row>
    <row r="627" spans="1:11" s="7" customFormat="1" x14ac:dyDescent="0.25">
      <c r="A627" s="18">
        <v>626</v>
      </c>
      <c r="B627" s="12" t="s">
        <v>1020</v>
      </c>
      <c r="C627" s="12" t="s">
        <v>297</v>
      </c>
      <c r="D627" s="13">
        <v>424010</v>
      </c>
      <c r="E627" s="19" t="s">
        <v>14</v>
      </c>
      <c r="F627" s="19">
        <v>1</v>
      </c>
      <c r="G627" s="20">
        <v>25.99</v>
      </c>
      <c r="H627" s="20">
        <f t="shared" si="9"/>
        <v>25.99</v>
      </c>
      <c r="I627" s="12" t="s">
        <v>1011</v>
      </c>
      <c r="J627" s="22" t="s">
        <v>16</v>
      </c>
      <c r="K627" s="22" t="s">
        <v>17</v>
      </c>
    </row>
    <row r="628" spans="1:11" s="7" customFormat="1" x14ac:dyDescent="0.25">
      <c r="A628" s="18">
        <v>627</v>
      </c>
      <c r="B628" s="12" t="s">
        <v>1021</v>
      </c>
      <c r="C628" s="12" t="s">
        <v>297</v>
      </c>
      <c r="D628" s="13">
        <v>424016</v>
      </c>
      <c r="E628" s="19" t="s">
        <v>14</v>
      </c>
      <c r="F628" s="19">
        <v>1</v>
      </c>
      <c r="G628" s="20">
        <v>35.35</v>
      </c>
      <c r="H628" s="20">
        <f t="shared" si="9"/>
        <v>35.35</v>
      </c>
      <c r="I628" s="12" t="s">
        <v>1011</v>
      </c>
      <c r="J628" s="22" t="s">
        <v>16</v>
      </c>
      <c r="K628" s="22" t="s">
        <v>17</v>
      </c>
    </row>
    <row r="629" spans="1:11" s="7" customFormat="1" x14ac:dyDescent="0.25">
      <c r="A629" s="18">
        <v>628</v>
      </c>
      <c r="B629" s="12" t="s">
        <v>1022</v>
      </c>
      <c r="C629" s="12" t="s">
        <v>297</v>
      </c>
      <c r="D629" s="13">
        <v>424020</v>
      </c>
      <c r="E629" s="19" t="s">
        <v>14</v>
      </c>
      <c r="F629" s="19">
        <v>1</v>
      </c>
      <c r="G629" s="20">
        <v>33.44</v>
      </c>
      <c r="H629" s="20">
        <f t="shared" si="9"/>
        <v>33.44</v>
      </c>
      <c r="I629" s="12" t="s">
        <v>1011</v>
      </c>
      <c r="J629" s="22" t="s">
        <v>16</v>
      </c>
      <c r="K629" s="22" t="s">
        <v>17</v>
      </c>
    </row>
    <row r="630" spans="1:11" s="7" customFormat="1" ht="25.5" x14ac:dyDescent="0.25">
      <c r="A630" s="18">
        <v>629</v>
      </c>
      <c r="B630" s="12" t="s">
        <v>1023</v>
      </c>
      <c r="C630" s="12" t="s">
        <v>297</v>
      </c>
      <c r="D630" s="13">
        <v>424039</v>
      </c>
      <c r="E630" s="19" t="s">
        <v>14</v>
      </c>
      <c r="F630" s="19">
        <v>1</v>
      </c>
      <c r="G630" s="20">
        <v>40.049999999999997</v>
      </c>
      <c r="H630" s="20">
        <f t="shared" si="9"/>
        <v>40.049999999999997</v>
      </c>
      <c r="I630" s="12" t="s">
        <v>1011</v>
      </c>
      <c r="J630" s="22" t="s">
        <v>16</v>
      </c>
      <c r="K630" s="22" t="s">
        <v>17</v>
      </c>
    </row>
    <row r="631" spans="1:11" s="7" customFormat="1" x14ac:dyDescent="0.25">
      <c r="A631" s="18">
        <v>630</v>
      </c>
      <c r="B631" s="12" t="s">
        <v>1024</v>
      </c>
      <c r="C631" s="12" t="s">
        <v>63</v>
      </c>
      <c r="D631" s="13">
        <v>630605</v>
      </c>
      <c r="E631" s="19" t="s">
        <v>14</v>
      </c>
      <c r="F631" s="19">
        <v>30</v>
      </c>
      <c r="G631" s="20">
        <v>0.45</v>
      </c>
      <c r="H631" s="20">
        <f t="shared" si="9"/>
        <v>13.5</v>
      </c>
      <c r="I631" s="12" t="s">
        <v>1011</v>
      </c>
      <c r="J631" s="22" t="s">
        <v>16</v>
      </c>
      <c r="K631" s="22" t="s">
        <v>17</v>
      </c>
    </row>
    <row r="632" spans="1:11" s="7" customFormat="1" x14ac:dyDescent="0.25">
      <c r="A632" s="18">
        <v>631</v>
      </c>
      <c r="B632" s="12" t="s">
        <v>1025</v>
      </c>
      <c r="C632" s="12" t="s">
        <v>63</v>
      </c>
      <c r="D632" s="13">
        <v>640008</v>
      </c>
      <c r="E632" s="19" t="s">
        <v>24</v>
      </c>
      <c r="F632" s="19">
        <v>1</v>
      </c>
      <c r="G632" s="20">
        <v>16.579999999999998</v>
      </c>
      <c r="H632" s="20">
        <f t="shared" si="9"/>
        <v>16.579999999999998</v>
      </c>
      <c r="I632" s="12" t="s">
        <v>1011</v>
      </c>
      <c r="J632" s="22" t="s">
        <v>16</v>
      </c>
      <c r="K632" s="22" t="s">
        <v>17</v>
      </c>
    </row>
    <row r="633" spans="1:11" s="7" customFormat="1" x14ac:dyDescent="0.25">
      <c r="A633" s="18">
        <v>632</v>
      </c>
      <c r="B633" s="12" t="s">
        <v>1026</v>
      </c>
      <c r="C633" s="12" t="s">
        <v>39</v>
      </c>
      <c r="D633" s="13">
        <v>1776015</v>
      </c>
      <c r="E633" s="19" t="s">
        <v>24</v>
      </c>
      <c r="F633" s="19">
        <v>1</v>
      </c>
      <c r="G633" s="20">
        <v>48.59</v>
      </c>
      <c r="H633" s="20">
        <f t="shared" si="9"/>
        <v>48.59</v>
      </c>
      <c r="I633" s="12" t="s">
        <v>1011</v>
      </c>
      <c r="J633" s="22" t="s">
        <v>16</v>
      </c>
      <c r="K633" s="22" t="s">
        <v>17</v>
      </c>
    </row>
    <row r="634" spans="1:11" s="7" customFormat="1" x14ac:dyDescent="0.25">
      <c r="A634" s="18">
        <v>633</v>
      </c>
      <c r="B634" s="12" t="s">
        <v>1027</v>
      </c>
      <c r="C634" s="12" t="s">
        <v>1028</v>
      </c>
      <c r="D634" s="12">
        <v>10066413</v>
      </c>
      <c r="E634" s="19" t="s">
        <v>14</v>
      </c>
      <c r="F634" s="19">
        <v>10</v>
      </c>
      <c r="G634" s="20">
        <v>1.06</v>
      </c>
      <c r="H634" s="20">
        <f t="shared" si="9"/>
        <v>10.600000000000001</v>
      </c>
      <c r="I634" s="12" t="s">
        <v>1011</v>
      </c>
      <c r="J634" s="22" t="s">
        <v>16</v>
      </c>
      <c r="K634" s="22" t="s">
        <v>17</v>
      </c>
    </row>
    <row r="635" spans="1:11" s="7" customFormat="1" ht="25.5" x14ac:dyDescent="0.25">
      <c r="A635" s="18">
        <v>634</v>
      </c>
      <c r="B635" s="12" t="s">
        <v>1029</v>
      </c>
      <c r="C635" s="12" t="s">
        <v>1028</v>
      </c>
      <c r="D635" s="13">
        <v>10100611</v>
      </c>
      <c r="E635" s="19" t="s">
        <v>24</v>
      </c>
      <c r="F635" s="19">
        <v>8</v>
      </c>
      <c r="G635" s="20">
        <v>10.74</v>
      </c>
      <c r="H635" s="20">
        <f t="shared" si="9"/>
        <v>85.92</v>
      </c>
      <c r="I635" s="12" t="s">
        <v>1011</v>
      </c>
      <c r="J635" s="22" t="s">
        <v>16</v>
      </c>
      <c r="K635" s="22" t="s">
        <v>17</v>
      </c>
    </row>
    <row r="636" spans="1:11" s="7" customFormat="1" ht="25.5" x14ac:dyDescent="0.25">
      <c r="A636" s="18">
        <v>635</v>
      </c>
      <c r="B636" s="12" t="s">
        <v>1030</v>
      </c>
      <c r="C636" s="12" t="s">
        <v>1028</v>
      </c>
      <c r="D636" s="13">
        <v>10100613</v>
      </c>
      <c r="E636" s="19" t="s">
        <v>24</v>
      </c>
      <c r="F636" s="19">
        <v>20</v>
      </c>
      <c r="G636" s="20">
        <v>4.17</v>
      </c>
      <c r="H636" s="20">
        <f t="shared" si="9"/>
        <v>83.4</v>
      </c>
      <c r="I636" s="12" t="s">
        <v>1011</v>
      </c>
      <c r="J636" s="22" t="s">
        <v>16</v>
      </c>
      <c r="K636" s="22" t="s">
        <v>17</v>
      </c>
    </row>
    <row r="637" spans="1:11" s="7" customFormat="1" ht="25.5" x14ac:dyDescent="0.25">
      <c r="A637" s="18">
        <v>636</v>
      </c>
      <c r="B637" s="12" t="s">
        <v>1031</v>
      </c>
      <c r="C637" s="12" t="s">
        <v>1028</v>
      </c>
      <c r="D637" s="13">
        <v>10100824</v>
      </c>
      <c r="E637" s="19" t="s">
        <v>24</v>
      </c>
      <c r="F637" s="19">
        <v>8</v>
      </c>
      <c r="G637" s="20">
        <v>13.07</v>
      </c>
      <c r="H637" s="20">
        <f t="shared" si="9"/>
        <v>104.56</v>
      </c>
      <c r="I637" s="12" t="s">
        <v>1011</v>
      </c>
      <c r="J637" s="22" t="s">
        <v>16</v>
      </c>
      <c r="K637" s="22" t="s">
        <v>17</v>
      </c>
    </row>
    <row r="638" spans="1:11" s="7" customFormat="1" ht="25.5" x14ac:dyDescent="0.25">
      <c r="A638" s="18">
        <v>637</v>
      </c>
      <c r="B638" s="12" t="s">
        <v>1032</v>
      </c>
      <c r="C638" s="12" t="s">
        <v>1028</v>
      </c>
      <c r="D638" s="13">
        <v>10101459</v>
      </c>
      <c r="E638" s="19" t="s">
        <v>14</v>
      </c>
      <c r="F638" s="19">
        <v>1</v>
      </c>
      <c r="G638" s="20">
        <v>27.73</v>
      </c>
      <c r="H638" s="20">
        <f t="shared" si="9"/>
        <v>27.73</v>
      </c>
      <c r="I638" s="12" t="s">
        <v>1011</v>
      </c>
      <c r="J638" s="22" t="s">
        <v>16</v>
      </c>
      <c r="K638" s="22" t="s">
        <v>17</v>
      </c>
    </row>
    <row r="639" spans="1:11" s="7" customFormat="1" ht="25.5" x14ac:dyDescent="0.25">
      <c r="A639" s="18">
        <v>638</v>
      </c>
      <c r="B639" s="12" t="s">
        <v>1033</v>
      </c>
      <c r="C639" s="12" t="s">
        <v>1028</v>
      </c>
      <c r="D639" s="13">
        <v>10101462</v>
      </c>
      <c r="E639" s="19" t="s">
        <v>14</v>
      </c>
      <c r="F639" s="19">
        <v>5</v>
      </c>
      <c r="G639" s="20">
        <v>26.28</v>
      </c>
      <c r="H639" s="20">
        <f t="shared" si="9"/>
        <v>131.4</v>
      </c>
      <c r="I639" s="12" t="s">
        <v>1011</v>
      </c>
      <c r="J639" s="22" t="s">
        <v>16</v>
      </c>
      <c r="K639" s="22" t="s">
        <v>17</v>
      </c>
    </row>
    <row r="640" spans="1:11" s="7" customFormat="1" ht="25.5" x14ac:dyDescent="0.25">
      <c r="A640" s="18">
        <v>639</v>
      </c>
      <c r="B640" s="12" t="s">
        <v>1034</v>
      </c>
      <c r="C640" s="12" t="s">
        <v>1028</v>
      </c>
      <c r="D640" s="13">
        <v>10109674</v>
      </c>
      <c r="E640" s="19" t="s">
        <v>14</v>
      </c>
      <c r="F640" s="19">
        <v>12</v>
      </c>
      <c r="G640" s="20">
        <v>10.18</v>
      </c>
      <c r="H640" s="20">
        <f t="shared" si="9"/>
        <v>122.16</v>
      </c>
      <c r="I640" s="12" t="s">
        <v>1011</v>
      </c>
      <c r="J640" s="22" t="s">
        <v>16</v>
      </c>
      <c r="K640" s="22" t="s">
        <v>17</v>
      </c>
    </row>
    <row r="641" spans="1:11" s="7" customFormat="1" ht="25.5" x14ac:dyDescent="0.25">
      <c r="A641" s="18">
        <v>640</v>
      </c>
      <c r="B641" s="12" t="s">
        <v>1035</v>
      </c>
      <c r="C641" s="12" t="s">
        <v>1028</v>
      </c>
      <c r="D641" s="13">
        <v>10110871</v>
      </c>
      <c r="E641" s="19" t="s">
        <v>14</v>
      </c>
      <c r="F641" s="19">
        <v>5</v>
      </c>
      <c r="G641" s="20">
        <v>16.09</v>
      </c>
      <c r="H641" s="20">
        <f t="shared" si="9"/>
        <v>80.45</v>
      </c>
      <c r="I641" s="12" t="s">
        <v>1011</v>
      </c>
      <c r="J641" s="22" t="s">
        <v>16</v>
      </c>
      <c r="K641" s="22" t="s">
        <v>17</v>
      </c>
    </row>
    <row r="642" spans="1:11" s="7" customFormat="1" ht="25.5" x14ac:dyDescent="0.25">
      <c r="A642" s="18">
        <v>641</v>
      </c>
      <c r="B642" s="12" t="s">
        <v>1036</v>
      </c>
      <c r="C642" s="12" t="s">
        <v>1028</v>
      </c>
      <c r="D642" s="13">
        <v>10110873</v>
      </c>
      <c r="E642" s="19" t="s">
        <v>14</v>
      </c>
      <c r="F642" s="19">
        <v>10</v>
      </c>
      <c r="G642" s="20">
        <v>19.510000000000002</v>
      </c>
      <c r="H642" s="20">
        <f t="shared" ref="H642:H705" si="10">F642*G642</f>
        <v>195.10000000000002</v>
      </c>
      <c r="I642" s="12" t="s">
        <v>1011</v>
      </c>
      <c r="J642" s="22" t="s">
        <v>16</v>
      </c>
      <c r="K642" s="22" t="s">
        <v>17</v>
      </c>
    </row>
    <row r="643" spans="1:11" s="7" customFormat="1" x14ac:dyDescent="0.25">
      <c r="A643" s="18">
        <v>642</v>
      </c>
      <c r="B643" s="12" t="s">
        <v>1037</v>
      </c>
      <c r="C643" s="12" t="s">
        <v>1038</v>
      </c>
      <c r="D643" s="13">
        <v>88168304</v>
      </c>
      <c r="E643" s="19" t="s">
        <v>14</v>
      </c>
      <c r="F643" s="19">
        <v>50</v>
      </c>
      <c r="G643" s="20">
        <v>1.38</v>
      </c>
      <c r="H643" s="20">
        <f t="shared" si="10"/>
        <v>69</v>
      </c>
      <c r="I643" s="12" t="s">
        <v>1011</v>
      </c>
      <c r="J643" s="22" t="s">
        <v>16</v>
      </c>
      <c r="K643" s="22" t="s">
        <v>17</v>
      </c>
    </row>
    <row r="644" spans="1:11" s="7" customFormat="1" x14ac:dyDescent="0.25">
      <c r="A644" s="18">
        <v>643</v>
      </c>
      <c r="B644" s="12" t="s">
        <v>1039</v>
      </c>
      <c r="C644" s="12" t="s">
        <v>323</v>
      </c>
      <c r="D644" s="13">
        <v>9290022994</v>
      </c>
      <c r="E644" s="19" t="s">
        <v>14</v>
      </c>
      <c r="F644" s="19">
        <v>6</v>
      </c>
      <c r="G644" s="20">
        <v>18.11</v>
      </c>
      <c r="H644" s="20">
        <f t="shared" si="10"/>
        <v>108.66</v>
      </c>
      <c r="I644" s="12" t="s">
        <v>1011</v>
      </c>
      <c r="J644" s="22" t="s">
        <v>16</v>
      </c>
      <c r="K644" s="22" t="s">
        <v>17</v>
      </c>
    </row>
    <row r="645" spans="1:11" s="7" customFormat="1" x14ac:dyDescent="0.25">
      <c r="A645" s="18">
        <v>644</v>
      </c>
      <c r="B645" s="12" t="s">
        <v>859</v>
      </c>
      <c r="C645" s="12" t="s">
        <v>22</v>
      </c>
      <c r="D645" s="13" t="s">
        <v>860</v>
      </c>
      <c r="E645" s="19" t="s">
        <v>14</v>
      </c>
      <c r="F645" s="19">
        <v>20</v>
      </c>
      <c r="G645" s="20">
        <v>0.39</v>
      </c>
      <c r="H645" s="20">
        <f t="shared" si="10"/>
        <v>7.8000000000000007</v>
      </c>
      <c r="I645" s="12" t="s">
        <v>1011</v>
      </c>
      <c r="J645" s="22" t="s">
        <v>16</v>
      </c>
      <c r="K645" s="22" t="s">
        <v>17</v>
      </c>
    </row>
    <row r="646" spans="1:11" s="7" customFormat="1" x14ac:dyDescent="0.25">
      <c r="A646" s="18">
        <v>645</v>
      </c>
      <c r="B646" s="12" t="s">
        <v>1040</v>
      </c>
      <c r="C646" s="12" t="s">
        <v>1041</v>
      </c>
      <c r="D646" s="23" t="s">
        <v>1042</v>
      </c>
      <c r="E646" s="19" t="s">
        <v>14</v>
      </c>
      <c r="F646" s="19">
        <v>5</v>
      </c>
      <c r="G646" s="20">
        <v>22.48</v>
      </c>
      <c r="H646" s="20">
        <f t="shared" si="10"/>
        <v>112.4</v>
      </c>
      <c r="I646" s="12" t="s">
        <v>1011</v>
      </c>
      <c r="J646" s="22" t="s">
        <v>16</v>
      </c>
      <c r="K646" s="22" t="s">
        <v>17</v>
      </c>
    </row>
    <row r="647" spans="1:11" s="7" customFormat="1" x14ac:dyDescent="0.25">
      <c r="A647" s="18">
        <v>646</v>
      </c>
      <c r="B647" s="12" t="s">
        <v>1043</v>
      </c>
      <c r="C647" s="12" t="s">
        <v>1041</v>
      </c>
      <c r="D647" s="23" t="s">
        <v>1044</v>
      </c>
      <c r="E647" s="19" t="s">
        <v>14</v>
      </c>
      <c r="F647" s="19">
        <v>5</v>
      </c>
      <c r="G647" s="20">
        <v>22.48</v>
      </c>
      <c r="H647" s="20">
        <f t="shared" si="10"/>
        <v>112.4</v>
      </c>
      <c r="I647" s="12" t="s">
        <v>1011</v>
      </c>
      <c r="J647" s="22" t="s">
        <v>16</v>
      </c>
      <c r="K647" s="22" t="s">
        <v>17</v>
      </c>
    </row>
    <row r="648" spans="1:11" s="7" customFormat="1" x14ac:dyDescent="0.25">
      <c r="A648" s="18">
        <v>647</v>
      </c>
      <c r="B648" s="12" t="s">
        <v>1045</v>
      </c>
      <c r="C648" s="12" t="s">
        <v>1046</v>
      </c>
      <c r="D648" s="13" t="s">
        <v>1047</v>
      </c>
      <c r="E648" s="19" t="s">
        <v>24</v>
      </c>
      <c r="F648" s="19">
        <v>8</v>
      </c>
      <c r="G648" s="20">
        <v>335.96</v>
      </c>
      <c r="H648" s="20">
        <f t="shared" si="10"/>
        <v>2687.68</v>
      </c>
      <c r="I648" s="12" t="s">
        <v>1011</v>
      </c>
      <c r="J648" s="22" t="s">
        <v>16</v>
      </c>
      <c r="K648" s="22" t="s">
        <v>17</v>
      </c>
    </row>
    <row r="649" spans="1:11" s="7" customFormat="1" x14ac:dyDescent="0.25">
      <c r="A649" s="18">
        <v>648</v>
      </c>
      <c r="B649" s="12" t="s">
        <v>1048</v>
      </c>
      <c r="C649" s="12" t="s">
        <v>1046</v>
      </c>
      <c r="D649" s="13" t="s">
        <v>1049</v>
      </c>
      <c r="E649" s="19" t="s">
        <v>14</v>
      </c>
      <c r="F649" s="19">
        <v>2</v>
      </c>
      <c r="G649" s="20">
        <v>63.38</v>
      </c>
      <c r="H649" s="20">
        <f t="shared" si="10"/>
        <v>126.76</v>
      </c>
      <c r="I649" s="12" t="s">
        <v>1011</v>
      </c>
      <c r="J649" s="22" t="s">
        <v>16</v>
      </c>
      <c r="K649" s="22" t="s">
        <v>17</v>
      </c>
    </row>
    <row r="650" spans="1:11" s="7" customFormat="1" x14ac:dyDescent="0.25">
      <c r="A650" s="18">
        <v>649</v>
      </c>
      <c r="B650" s="12" t="s">
        <v>1050</v>
      </c>
      <c r="C650" s="12" t="s">
        <v>1041</v>
      </c>
      <c r="D650" s="13" t="s">
        <v>1051</v>
      </c>
      <c r="E650" s="19" t="s">
        <v>14</v>
      </c>
      <c r="F650" s="19">
        <v>150</v>
      </c>
      <c r="G650" s="20">
        <v>1.17</v>
      </c>
      <c r="H650" s="20">
        <f t="shared" si="10"/>
        <v>175.5</v>
      </c>
      <c r="I650" s="12" t="s">
        <v>1011</v>
      </c>
      <c r="J650" s="22" t="s">
        <v>16</v>
      </c>
      <c r="K650" s="22" t="s">
        <v>17</v>
      </c>
    </row>
    <row r="651" spans="1:11" s="7" customFormat="1" x14ac:dyDescent="0.25">
      <c r="A651" s="18">
        <v>650</v>
      </c>
      <c r="B651" s="12" t="s">
        <v>1052</v>
      </c>
      <c r="C651" s="12" t="s">
        <v>1041</v>
      </c>
      <c r="D651" s="13" t="s">
        <v>1053</v>
      </c>
      <c r="E651" s="19" t="s">
        <v>14</v>
      </c>
      <c r="F651" s="19">
        <v>30</v>
      </c>
      <c r="G651" s="20">
        <v>1.38</v>
      </c>
      <c r="H651" s="20">
        <f t="shared" si="10"/>
        <v>41.4</v>
      </c>
      <c r="I651" s="12" t="s">
        <v>1011</v>
      </c>
      <c r="J651" s="22" t="s">
        <v>16</v>
      </c>
      <c r="K651" s="22" t="s">
        <v>17</v>
      </c>
    </row>
    <row r="652" spans="1:11" s="7" customFormat="1" ht="25.5" x14ac:dyDescent="0.25">
      <c r="A652" s="18">
        <v>651</v>
      </c>
      <c r="B652" s="12" t="s">
        <v>1054</v>
      </c>
      <c r="C652" s="12" t="s">
        <v>1055</v>
      </c>
      <c r="D652" s="13" t="s">
        <v>1056</v>
      </c>
      <c r="E652" s="19" t="s">
        <v>14</v>
      </c>
      <c r="F652" s="19">
        <v>3</v>
      </c>
      <c r="G652" s="20">
        <v>8.5</v>
      </c>
      <c r="H652" s="20">
        <f t="shared" si="10"/>
        <v>25.5</v>
      </c>
      <c r="I652" s="12" t="s">
        <v>1011</v>
      </c>
      <c r="J652" s="22" t="s">
        <v>16</v>
      </c>
      <c r="K652" s="22" t="s">
        <v>17</v>
      </c>
    </row>
    <row r="653" spans="1:11" s="7" customFormat="1" x14ac:dyDescent="0.25">
      <c r="A653" s="18">
        <v>652</v>
      </c>
      <c r="B653" s="12" t="s">
        <v>1057</v>
      </c>
      <c r="C653" s="12" t="s">
        <v>1058</v>
      </c>
      <c r="D653" s="13" t="s">
        <v>1059</v>
      </c>
      <c r="E653" s="19" t="s">
        <v>14</v>
      </c>
      <c r="F653" s="19">
        <v>30</v>
      </c>
      <c r="G653" s="20">
        <v>0.99</v>
      </c>
      <c r="H653" s="20">
        <f t="shared" si="10"/>
        <v>29.7</v>
      </c>
      <c r="I653" s="12" t="s">
        <v>1011</v>
      </c>
      <c r="J653" s="22" t="s">
        <v>16</v>
      </c>
      <c r="K653" s="22" t="s">
        <v>17</v>
      </c>
    </row>
    <row r="654" spans="1:11" s="7" customFormat="1" x14ac:dyDescent="0.25">
      <c r="A654" s="18">
        <v>653</v>
      </c>
      <c r="B654" s="12" t="s">
        <v>1060</v>
      </c>
      <c r="C654" s="12" t="s">
        <v>212</v>
      </c>
      <c r="D654" s="13" t="s">
        <v>1061</v>
      </c>
      <c r="E654" s="19" t="s">
        <v>24</v>
      </c>
      <c r="F654" s="19">
        <v>2</v>
      </c>
      <c r="G654" s="20">
        <v>38.75</v>
      </c>
      <c r="H654" s="20">
        <f t="shared" si="10"/>
        <v>77.5</v>
      </c>
      <c r="I654" s="12" t="s">
        <v>1011</v>
      </c>
      <c r="J654" s="22" t="s">
        <v>16</v>
      </c>
      <c r="K654" s="22" t="s">
        <v>17</v>
      </c>
    </row>
    <row r="655" spans="1:11" s="7" customFormat="1" x14ac:dyDescent="0.25">
      <c r="A655" s="18">
        <v>654</v>
      </c>
      <c r="B655" s="12" t="s">
        <v>1062</v>
      </c>
      <c r="C655" s="12" t="s">
        <v>212</v>
      </c>
      <c r="D655" s="13" t="s">
        <v>1063</v>
      </c>
      <c r="E655" s="19" t="s">
        <v>14</v>
      </c>
      <c r="F655" s="19">
        <v>100</v>
      </c>
      <c r="G655" s="20">
        <v>0.1</v>
      </c>
      <c r="H655" s="20">
        <f t="shared" si="10"/>
        <v>10</v>
      </c>
      <c r="I655" s="12" t="s">
        <v>1011</v>
      </c>
      <c r="J655" s="22" t="s">
        <v>16</v>
      </c>
      <c r="K655" s="22" t="s">
        <v>17</v>
      </c>
    </row>
    <row r="656" spans="1:11" s="7" customFormat="1" x14ac:dyDescent="0.25">
      <c r="A656" s="18">
        <v>655</v>
      </c>
      <c r="B656" s="12" t="s">
        <v>1064</v>
      </c>
      <c r="C656" s="12" t="s">
        <v>1065</v>
      </c>
      <c r="D656" s="13" t="s">
        <v>1066</v>
      </c>
      <c r="E656" s="19" t="s">
        <v>14</v>
      </c>
      <c r="F656" s="19">
        <v>20</v>
      </c>
      <c r="G656" s="20">
        <v>0.71</v>
      </c>
      <c r="H656" s="20">
        <f t="shared" si="10"/>
        <v>14.2</v>
      </c>
      <c r="I656" s="12" t="s">
        <v>1011</v>
      </c>
      <c r="J656" s="22" t="s">
        <v>16</v>
      </c>
      <c r="K656" s="22" t="s">
        <v>17</v>
      </c>
    </row>
    <row r="657" spans="1:11" s="7" customFormat="1" x14ac:dyDescent="0.25">
      <c r="A657" s="18">
        <v>656</v>
      </c>
      <c r="B657" s="12" t="s">
        <v>1067</v>
      </c>
      <c r="C657" s="12" t="s">
        <v>1065</v>
      </c>
      <c r="D657" s="13" t="s">
        <v>1068</v>
      </c>
      <c r="E657" s="19" t="s">
        <v>14</v>
      </c>
      <c r="F657" s="19">
        <v>20</v>
      </c>
      <c r="G657" s="20">
        <v>0.49</v>
      </c>
      <c r="H657" s="20">
        <f t="shared" si="10"/>
        <v>9.8000000000000007</v>
      </c>
      <c r="I657" s="12" t="s">
        <v>1011</v>
      </c>
      <c r="J657" s="22" t="s">
        <v>16</v>
      </c>
      <c r="K657" s="22" t="s">
        <v>17</v>
      </c>
    </row>
    <row r="658" spans="1:11" s="7" customFormat="1" x14ac:dyDescent="0.25">
      <c r="A658" s="18">
        <v>657</v>
      </c>
      <c r="B658" s="12" t="s">
        <v>1069</v>
      </c>
      <c r="C658" s="12" t="s">
        <v>1070</v>
      </c>
      <c r="D658" s="13" t="s">
        <v>1071</v>
      </c>
      <c r="E658" s="19" t="s">
        <v>14</v>
      </c>
      <c r="F658" s="19">
        <v>20</v>
      </c>
      <c r="G658" s="20">
        <v>0.52</v>
      </c>
      <c r="H658" s="20">
        <f t="shared" si="10"/>
        <v>10.4</v>
      </c>
      <c r="I658" s="12" t="s">
        <v>1011</v>
      </c>
      <c r="J658" s="22" t="s">
        <v>16</v>
      </c>
      <c r="K658" s="22" t="s">
        <v>17</v>
      </c>
    </row>
    <row r="659" spans="1:11" s="7" customFormat="1" ht="25.5" x14ac:dyDescent="0.25">
      <c r="A659" s="18">
        <v>658</v>
      </c>
      <c r="B659" s="12" t="s">
        <v>1072</v>
      </c>
      <c r="C659" s="12" t="s">
        <v>1073</v>
      </c>
      <c r="D659" s="13" t="s">
        <v>1074</v>
      </c>
      <c r="E659" s="19" t="s">
        <v>191</v>
      </c>
      <c r="F659" s="19">
        <v>14</v>
      </c>
      <c r="G659" s="20">
        <v>29.91</v>
      </c>
      <c r="H659" s="20">
        <f t="shared" si="10"/>
        <v>418.74</v>
      </c>
      <c r="I659" s="12" t="s">
        <v>1011</v>
      </c>
      <c r="J659" s="22" t="s">
        <v>16</v>
      </c>
      <c r="K659" s="22" t="s">
        <v>17</v>
      </c>
    </row>
    <row r="660" spans="1:11" s="7" customFormat="1" ht="25.5" x14ac:dyDescent="0.25">
      <c r="A660" s="18">
        <v>659</v>
      </c>
      <c r="B660" s="12" t="s">
        <v>1075</v>
      </c>
      <c r="C660" s="12" t="s">
        <v>1073</v>
      </c>
      <c r="D660" s="13" t="s">
        <v>1076</v>
      </c>
      <c r="E660" s="19" t="s">
        <v>14</v>
      </c>
      <c r="F660" s="19">
        <v>7</v>
      </c>
      <c r="G660" s="20">
        <v>18.22</v>
      </c>
      <c r="H660" s="20">
        <f t="shared" si="10"/>
        <v>127.53999999999999</v>
      </c>
      <c r="I660" s="12" t="s">
        <v>1011</v>
      </c>
      <c r="J660" s="22" t="s">
        <v>16</v>
      </c>
      <c r="K660" s="22" t="s">
        <v>17</v>
      </c>
    </row>
    <row r="661" spans="1:11" s="7" customFormat="1" ht="25.5" x14ac:dyDescent="0.25">
      <c r="A661" s="18">
        <v>660</v>
      </c>
      <c r="B661" s="12" t="s">
        <v>1077</v>
      </c>
      <c r="C661" s="12" t="s">
        <v>1073</v>
      </c>
      <c r="D661" s="13" t="s">
        <v>1078</v>
      </c>
      <c r="E661" s="19" t="s">
        <v>14</v>
      </c>
      <c r="F661" s="19">
        <v>4</v>
      </c>
      <c r="G661" s="20">
        <v>15.26</v>
      </c>
      <c r="H661" s="20">
        <f t="shared" si="10"/>
        <v>61.04</v>
      </c>
      <c r="I661" s="12" t="s">
        <v>1011</v>
      </c>
      <c r="J661" s="22" t="s">
        <v>16</v>
      </c>
      <c r="K661" s="22" t="s">
        <v>17</v>
      </c>
    </row>
    <row r="662" spans="1:11" s="7" customFormat="1" ht="25.5" x14ac:dyDescent="0.25">
      <c r="A662" s="18">
        <v>661</v>
      </c>
      <c r="B662" s="12" t="s">
        <v>1079</v>
      </c>
      <c r="C662" s="12" t="s">
        <v>212</v>
      </c>
      <c r="D662" s="13" t="s">
        <v>1080</v>
      </c>
      <c r="E662" s="19" t="s">
        <v>24</v>
      </c>
      <c r="F662" s="19">
        <v>1</v>
      </c>
      <c r="G662" s="20">
        <v>29.42</v>
      </c>
      <c r="H662" s="20">
        <f t="shared" si="10"/>
        <v>29.42</v>
      </c>
      <c r="I662" s="12" t="s">
        <v>1011</v>
      </c>
      <c r="J662" s="22" t="s">
        <v>16</v>
      </c>
      <c r="K662" s="22" t="s">
        <v>17</v>
      </c>
    </row>
    <row r="663" spans="1:11" s="7" customFormat="1" ht="25.5" x14ac:dyDescent="0.25">
      <c r="A663" s="18">
        <v>662</v>
      </c>
      <c r="B663" s="12" t="s">
        <v>1081</v>
      </c>
      <c r="C663" s="12" t="s">
        <v>212</v>
      </c>
      <c r="D663" s="13" t="s">
        <v>1082</v>
      </c>
      <c r="E663" s="19" t="s">
        <v>24</v>
      </c>
      <c r="F663" s="19">
        <v>3</v>
      </c>
      <c r="G663" s="20">
        <v>34.549999999999997</v>
      </c>
      <c r="H663" s="20">
        <f t="shared" si="10"/>
        <v>103.64999999999999</v>
      </c>
      <c r="I663" s="12" t="s">
        <v>1011</v>
      </c>
      <c r="J663" s="22" t="s">
        <v>16</v>
      </c>
      <c r="K663" s="22" t="s">
        <v>17</v>
      </c>
    </row>
    <row r="664" spans="1:11" s="7" customFormat="1" x14ac:dyDescent="0.25">
      <c r="A664" s="18">
        <v>663</v>
      </c>
      <c r="B664" s="12" t="s">
        <v>1083</v>
      </c>
      <c r="C664" s="12" t="s">
        <v>290</v>
      </c>
      <c r="D664" s="13" t="s">
        <v>1084</v>
      </c>
      <c r="E664" s="19" t="s">
        <v>24</v>
      </c>
      <c r="F664" s="19">
        <v>1</v>
      </c>
      <c r="G664" s="20">
        <v>21.42</v>
      </c>
      <c r="H664" s="20">
        <f t="shared" si="10"/>
        <v>21.42</v>
      </c>
      <c r="I664" s="12" t="s">
        <v>1011</v>
      </c>
      <c r="J664" s="22" t="s">
        <v>16</v>
      </c>
      <c r="K664" s="22" t="s">
        <v>17</v>
      </c>
    </row>
    <row r="665" spans="1:11" s="7" customFormat="1" x14ac:dyDescent="0.25">
      <c r="A665" s="18">
        <v>664</v>
      </c>
      <c r="B665" s="12" t="s">
        <v>1085</v>
      </c>
      <c r="C665" s="12" t="s">
        <v>1070</v>
      </c>
      <c r="D665" s="13" t="s">
        <v>1086</v>
      </c>
      <c r="E665" s="19" t="s">
        <v>14</v>
      </c>
      <c r="F665" s="19">
        <v>10</v>
      </c>
      <c r="G665" s="20">
        <v>1.01</v>
      </c>
      <c r="H665" s="20">
        <f t="shared" si="10"/>
        <v>10.1</v>
      </c>
      <c r="I665" s="12" t="s">
        <v>1011</v>
      </c>
      <c r="J665" s="22" t="s">
        <v>16</v>
      </c>
      <c r="K665" s="22" t="s">
        <v>17</v>
      </c>
    </row>
    <row r="666" spans="1:11" s="7" customFormat="1" x14ac:dyDescent="0.25">
      <c r="A666" s="18">
        <v>665</v>
      </c>
      <c r="B666" s="12" t="s">
        <v>1087</v>
      </c>
      <c r="C666" s="12" t="s">
        <v>31</v>
      </c>
      <c r="D666" s="13" t="s">
        <v>1088</v>
      </c>
      <c r="E666" s="19" t="s">
        <v>14</v>
      </c>
      <c r="F666" s="19">
        <v>60</v>
      </c>
      <c r="G666" s="20">
        <v>1.22</v>
      </c>
      <c r="H666" s="20">
        <f t="shared" si="10"/>
        <v>73.2</v>
      </c>
      <c r="I666" s="12" t="s">
        <v>1011</v>
      </c>
      <c r="J666" s="22" t="s">
        <v>16</v>
      </c>
      <c r="K666" s="22" t="s">
        <v>17</v>
      </c>
    </row>
    <row r="667" spans="1:11" s="7" customFormat="1" x14ac:dyDescent="0.25">
      <c r="A667" s="18">
        <v>666</v>
      </c>
      <c r="B667" s="12" t="s">
        <v>30</v>
      </c>
      <c r="C667" s="12" t="s">
        <v>31</v>
      </c>
      <c r="D667" s="12" t="s">
        <v>32</v>
      </c>
      <c r="E667" s="19" t="s">
        <v>14</v>
      </c>
      <c r="F667" s="22">
        <v>60</v>
      </c>
      <c r="G667" s="20">
        <v>1.37</v>
      </c>
      <c r="H667" s="20">
        <f t="shared" si="10"/>
        <v>82.2</v>
      </c>
      <c r="I667" s="12" t="s">
        <v>1011</v>
      </c>
      <c r="J667" s="22" t="s">
        <v>16</v>
      </c>
      <c r="K667" s="22" t="s">
        <v>17</v>
      </c>
    </row>
    <row r="668" spans="1:11" s="7" customFormat="1" x14ac:dyDescent="0.25">
      <c r="A668" s="18">
        <v>667</v>
      </c>
      <c r="B668" s="12" t="s">
        <v>1089</v>
      </c>
      <c r="C668" s="12" t="s">
        <v>31</v>
      </c>
      <c r="D668" s="12" t="s">
        <v>1090</v>
      </c>
      <c r="E668" s="19" t="s">
        <v>14</v>
      </c>
      <c r="F668" s="22">
        <v>60</v>
      </c>
      <c r="G668" s="20">
        <v>4.9000000000000004</v>
      </c>
      <c r="H668" s="20">
        <f t="shared" si="10"/>
        <v>294</v>
      </c>
      <c r="I668" s="12" t="s">
        <v>1011</v>
      </c>
      <c r="J668" s="22" t="s">
        <v>16</v>
      </c>
      <c r="K668" s="22" t="s">
        <v>17</v>
      </c>
    </row>
    <row r="669" spans="1:11" s="7" customFormat="1" x14ac:dyDescent="0.25">
      <c r="A669" s="18">
        <v>668</v>
      </c>
      <c r="B669" s="12" t="s">
        <v>1091</v>
      </c>
      <c r="C669" s="12" t="s">
        <v>290</v>
      </c>
      <c r="D669" s="13" t="s">
        <v>1092</v>
      </c>
      <c r="E669" s="19" t="s">
        <v>24</v>
      </c>
      <c r="F669" s="19">
        <v>1</v>
      </c>
      <c r="G669" s="20">
        <v>32.42</v>
      </c>
      <c r="H669" s="20">
        <f t="shared" si="10"/>
        <v>32.42</v>
      </c>
      <c r="I669" s="12" t="s">
        <v>1011</v>
      </c>
      <c r="J669" s="22" t="s">
        <v>16</v>
      </c>
      <c r="K669" s="22" t="s">
        <v>17</v>
      </c>
    </row>
    <row r="670" spans="1:11" s="7" customFormat="1" ht="25.5" x14ac:dyDescent="0.25">
      <c r="A670" s="18">
        <v>669</v>
      </c>
      <c r="B670" s="12" t="s">
        <v>1093</v>
      </c>
      <c r="C670" s="12" t="s">
        <v>1094</v>
      </c>
      <c r="D670" s="13" t="s">
        <v>1095</v>
      </c>
      <c r="E670" s="19" t="s">
        <v>191</v>
      </c>
      <c r="F670" s="19">
        <v>4</v>
      </c>
      <c r="G670" s="20">
        <v>74.510000000000005</v>
      </c>
      <c r="H670" s="20">
        <f t="shared" si="10"/>
        <v>298.04000000000002</v>
      </c>
      <c r="I670" s="12" t="s">
        <v>1011</v>
      </c>
      <c r="J670" s="22" t="s">
        <v>16</v>
      </c>
      <c r="K670" s="22" t="s">
        <v>17</v>
      </c>
    </row>
    <row r="671" spans="1:11" s="7" customFormat="1" x14ac:dyDescent="0.25">
      <c r="A671" s="18">
        <v>670</v>
      </c>
      <c r="B671" s="12" t="s">
        <v>1096</v>
      </c>
      <c r="C671" s="12" t="s">
        <v>317</v>
      </c>
      <c r="D671" s="13" t="s">
        <v>1097</v>
      </c>
      <c r="E671" s="19" t="s">
        <v>14</v>
      </c>
      <c r="F671" s="19">
        <v>3</v>
      </c>
      <c r="G671" s="20">
        <v>2.68</v>
      </c>
      <c r="H671" s="20">
        <f t="shared" si="10"/>
        <v>8.0400000000000009</v>
      </c>
      <c r="I671" s="12" t="s">
        <v>1011</v>
      </c>
      <c r="J671" s="22" t="s">
        <v>16</v>
      </c>
      <c r="K671" s="22" t="s">
        <v>17</v>
      </c>
    </row>
    <row r="672" spans="1:11" s="7" customFormat="1" x14ac:dyDescent="0.25">
      <c r="A672" s="18">
        <v>671</v>
      </c>
      <c r="B672" s="12" t="s">
        <v>1098</v>
      </c>
      <c r="C672" s="12" t="s">
        <v>317</v>
      </c>
      <c r="D672" s="13" t="s">
        <v>1099</v>
      </c>
      <c r="E672" s="19" t="s">
        <v>14</v>
      </c>
      <c r="F672" s="19">
        <v>1</v>
      </c>
      <c r="G672" s="20">
        <v>4.57</v>
      </c>
      <c r="H672" s="20">
        <f t="shared" si="10"/>
        <v>4.57</v>
      </c>
      <c r="I672" s="12" t="s">
        <v>1011</v>
      </c>
      <c r="J672" s="22" t="s">
        <v>16</v>
      </c>
      <c r="K672" s="22" t="s">
        <v>17</v>
      </c>
    </row>
    <row r="673" spans="1:11" s="7" customFormat="1" x14ac:dyDescent="0.25">
      <c r="A673" s="18">
        <v>672</v>
      </c>
      <c r="B673" s="12" t="s">
        <v>1100</v>
      </c>
      <c r="C673" s="12" t="s">
        <v>28</v>
      </c>
      <c r="D673" s="13" t="s">
        <v>1101</v>
      </c>
      <c r="E673" s="19" t="s">
        <v>14</v>
      </c>
      <c r="F673" s="19">
        <v>25</v>
      </c>
      <c r="G673" s="20">
        <v>3.15</v>
      </c>
      <c r="H673" s="20">
        <f t="shared" si="10"/>
        <v>78.75</v>
      </c>
      <c r="I673" s="12" t="s">
        <v>1011</v>
      </c>
      <c r="J673" s="22" t="s">
        <v>16</v>
      </c>
      <c r="K673" s="22" t="s">
        <v>17</v>
      </c>
    </row>
    <row r="674" spans="1:11" s="7" customFormat="1" x14ac:dyDescent="0.25">
      <c r="A674" s="18">
        <v>673</v>
      </c>
      <c r="B674" s="12" t="s">
        <v>1102</v>
      </c>
      <c r="C674" s="12" t="s">
        <v>28</v>
      </c>
      <c r="D674" s="13" t="s">
        <v>1103</v>
      </c>
      <c r="E674" s="19" t="s">
        <v>24</v>
      </c>
      <c r="F674" s="19">
        <v>2</v>
      </c>
      <c r="G674" s="20">
        <v>32.17</v>
      </c>
      <c r="H674" s="20">
        <f t="shared" si="10"/>
        <v>64.34</v>
      </c>
      <c r="I674" s="12" t="s">
        <v>1011</v>
      </c>
      <c r="J674" s="22" t="s">
        <v>16</v>
      </c>
      <c r="K674" s="22" t="s">
        <v>17</v>
      </c>
    </row>
    <row r="675" spans="1:11" s="7" customFormat="1" x14ac:dyDescent="0.25">
      <c r="A675" s="18">
        <v>674</v>
      </c>
      <c r="B675" s="12" t="s">
        <v>1104</v>
      </c>
      <c r="C675" s="12" t="s">
        <v>1105</v>
      </c>
      <c r="D675" s="13" t="s">
        <v>1106</v>
      </c>
      <c r="E675" s="19" t="s">
        <v>191</v>
      </c>
      <c r="F675" s="19">
        <v>4</v>
      </c>
      <c r="G675" s="20">
        <v>29.87</v>
      </c>
      <c r="H675" s="20">
        <f t="shared" si="10"/>
        <v>119.48</v>
      </c>
      <c r="I675" s="12" t="s">
        <v>1011</v>
      </c>
      <c r="J675" s="22" t="s">
        <v>16</v>
      </c>
      <c r="K675" s="22" t="s">
        <v>17</v>
      </c>
    </row>
    <row r="676" spans="1:11" s="7" customFormat="1" ht="25.5" x14ac:dyDescent="0.25">
      <c r="A676" s="18">
        <v>675</v>
      </c>
      <c r="B676" s="12" t="s">
        <v>1107</v>
      </c>
      <c r="C676" s="12" t="s">
        <v>1108</v>
      </c>
      <c r="D676" s="13" t="s">
        <v>1109</v>
      </c>
      <c r="E676" s="19" t="s">
        <v>14</v>
      </c>
      <c r="F676" s="19">
        <v>21</v>
      </c>
      <c r="G676" s="20">
        <v>21.52</v>
      </c>
      <c r="H676" s="20">
        <f t="shared" si="10"/>
        <v>451.92</v>
      </c>
      <c r="I676" s="12" t="s">
        <v>1011</v>
      </c>
      <c r="J676" s="22" t="s">
        <v>16</v>
      </c>
      <c r="K676" s="22" t="s">
        <v>17</v>
      </c>
    </row>
    <row r="677" spans="1:11" s="7" customFormat="1" x14ac:dyDescent="0.25">
      <c r="A677" s="18">
        <v>676</v>
      </c>
      <c r="B677" s="12" t="s">
        <v>1110</v>
      </c>
      <c r="C677" s="12" t="s">
        <v>1111</v>
      </c>
      <c r="D677" s="13" t="s">
        <v>1112</v>
      </c>
      <c r="E677" s="19" t="s">
        <v>14</v>
      </c>
      <c r="F677" s="19">
        <v>93</v>
      </c>
      <c r="G677" s="20">
        <v>0.46</v>
      </c>
      <c r="H677" s="20">
        <f t="shared" si="10"/>
        <v>42.78</v>
      </c>
      <c r="I677" s="12" t="s">
        <v>1011</v>
      </c>
      <c r="J677" s="22" t="s">
        <v>16</v>
      </c>
      <c r="K677" s="22" t="s">
        <v>17</v>
      </c>
    </row>
    <row r="678" spans="1:11" s="7" customFormat="1" ht="25.5" x14ac:dyDescent="0.25">
      <c r="A678" s="18">
        <v>677</v>
      </c>
      <c r="B678" s="12" t="s">
        <v>1113</v>
      </c>
      <c r="C678" s="12" t="s">
        <v>39</v>
      </c>
      <c r="D678" s="13" t="s">
        <v>1114</v>
      </c>
      <c r="E678" s="19" t="s">
        <v>14</v>
      </c>
      <c r="F678" s="19">
        <v>1</v>
      </c>
      <c r="G678" s="20">
        <v>345.13</v>
      </c>
      <c r="H678" s="20">
        <f t="shared" si="10"/>
        <v>345.13</v>
      </c>
      <c r="I678" s="12" t="s">
        <v>1011</v>
      </c>
      <c r="J678" s="22" t="s">
        <v>16</v>
      </c>
      <c r="K678" s="22" t="s">
        <v>17</v>
      </c>
    </row>
    <row r="679" spans="1:11" s="7" customFormat="1" ht="25.5" x14ac:dyDescent="0.25">
      <c r="A679" s="18">
        <v>678</v>
      </c>
      <c r="B679" s="12" t="s">
        <v>902</v>
      </c>
      <c r="C679" s="12" t="s">
        <v>39</v>
      </c>
      <c r="D679" s="13" t="s">
        <v>903</v>
      </c>
      <c r="E679" s="19" t="s">
        <v>14</v>
      </c>
      <c r="F679" s="19">
        <v>39</v>
      </c>
      <c r="G679" s="20">
        <v>165</v>
      </c>
      <c r="H679" s="20">
        <f t="shared" si="10"/>
        <v>6435</v>
      </c>
      <c r="I679" s="12" t="s">
        <v>1011</v>
      </c>
      <c r="J679" s="22" t="s">
        <v>16</v>
      </c>
      <c r="K679" s="22" t="s">
        <v>17</v>
      </c>
    </row>
    <row r="680" spans="1:11" s="7" customFormat="1" x14ac:dyDescent="0.25">
      <c r="A680" s="18">
        <v>679</v>
      </c>
      <c r="B680" s="12" t="s">
        <v>1115</v>
      </c>
      <c r="C680" s="12" t="s">
        <v>39</v>
      </c>
      <c r="D680" s="13" t="s">
        <v>1116</v>
      </c>
      <c r="E680" s="19" t="s">
        <v>14</v>
      </c>
      <c r="F680" s="19">
        <v>1</v>
      </c>
      <c r="G680" s="20">
        <v>136.24</v>
      </c>
      <c r="H680" s="20">
        <f t="shared" si="10"/>
        <v>136.24</v>
      </c>
      <c r="I680" s="12" t="s">
        <v>1011</v>
      </c>
      <c r="J680" s="22" t="s">
        <v>16</v>
      </c>
      <c r="K680" s="22" t="s">
        <v>17</v>
      </c>
    </row>
    <row r="681" spans="1:11" s="7" customFormat="1" x14ac:dyDescent="0.25">
      <c r="A681" s="18">
        <v>680</v>
      </c>
      <c r="B681" s="12" t="s">
        <v>1117</v>
      </c>
      <c r="C681" s="12" t="s">
        <v>39</v>
      </c>
      <c r="D681" s="13" t="s">
        <v>1118</v>
      </c>
      <c r="E681" s="19" t="s">
        <v>14</v>
      </c>
      <c r="F681" s="19">
        <v>16</v>
      </c>
      <c r="G681" s="20">
        <v>308.95</v>
      </c>
      <c r="H681" s="20">
        <f t="shared" si="10"/>
        <v>4943.2</v>
      </c>
      <c r="I681" s="12" t="s">
        <v>1011</v>
      </c>
      <c r="J681" s="22" t="s">
        <v>16</v>
      </c>
      <c r="K681" s="22" t="s">
        <v>17</v>
      </c>
    </row>
    <row r="682" spans="1:11" s="7" customFormat="1" x14ac:dyDescent="0.25">
      <c r="A682" s="18">
        <v>681</v>
      </c>
      <c r="B682" s="12" t="s">
        <v>1119</v>
      </c>
      <c r="C682" s="12" t="s">
        <v>39</v>
      </c>
      <c r="D682" s="13" t="s">
        <v>1120</v>
      </c>
      <c r="E682" s="19" t="s">
        <v>14</v>
      </c>
      <c r="F682" s="19">
        <v>4</v>
      </c>
      <c r="G682" s="20">
        <v>310.5</v>
      </c>
      <c r="H682" s="20">
        <f t="shared" si="10"/>
        <v>1242</v>
      </c>
      <c r="I682" s="12" t="s">
        <v>1011</v>
      </c>
      <c r="J682" s="22" t="s">
        <v>16</v>
      </c>
      <c r="K682" s="22" t="s">
        <v>17</v>
      </c>
    </row>
    <row r="683" spans="1:11" s="7" customFormat="1" x14ac:dyDescent="0.25">
      <c r="A683" s="18">
        <v>682</v>
      </c>
      <c r="B683" s="12" t="s">
        <v>1121</v>
      </c>
      <c r="C683" s="12" t="s">
        <v>39</v>
      </c>
      <c r="D683" s="13" t="s">
        <v>1122</v>
      </c>
      <c r="E683" s="19" t="s">
        <v>14</v>
      </c>
      <c r="F683" s="19">
        <v>3</v>
      </c>
      <c r="G683" s="20">
        <v>228.22</v>
      </c>
      <c r="H683" s="20">
        <f t="shared" si="10"/>
        <v>684.66</v>
      </c>
      <c r="I683" s="12" t="s">
        <v>1011</v>
      </c>
      <c r="J683" s="22" t="s">
        <v>16</v>
      </c>
      <c r="K683" s="22" t="s">
        <v>17</v>
      </c>
    </row>
    <row r="684" spans="1:11" s="7" customFormat="1" ht="25.5" x14ac:dyDescent="0.25">
      <c r="A684" s="18">
        <v>683</v>
      </c>
      <c r="B684" s="12" t="s">
        <v>1123</v>
      </c>
      <c r="C684" s="12" t="s">
        <v>39</v>
      </c>
      <c r="D684" s="13" t="s">
        <v>1124</v>
      </c>
      <c r="E684" s="19" t="s">
        <v>14</v>
      </c>
      <c r="F684" s="19">
        <v>11</v>
      </c>
      <c r="G684" s="20">
        <v>42.83</v>
      </c>
      <c r="H684" s="20">
        <f t="shared" si="10"/>
        <v>471.13</v>
      </c>
      <c r="I684" s="12" t="s">
        <v>1011</v>
      </c>
      <c r="J684" s="22" t="s">
        <v>16</v>
      </c>
      <c r="K684" s="22" t="s">
        <v>17</v>
      </c>
    </row>
    <row r="685" spans="1:11" s="7" customFormat="1" x14ac:dyDescent="0.25">
      <c r="A685" s="18">
        <v>684</v>
      </c>
      <c r="B685" s="12" t="s">
        <v>1125</v>
      </c>
      <c r="C685" s="12" t="s">
        <v>39</v>
      </c>
      <c r="D685" s="13" t="s">
        <v>1126</v>
      </c>
      <c r="E685" s="19" t="s">
        <v>14</v>
      </c>
      <c r="F685" s="19">
        <v>11</v>
      </c>
      <c r="G685" s="20">
        <v>108.21</v>
      </c>
      <c r="H685" s="20">
        <f t="shared" si="10"/>
        <v>1190.31</v>
      </c>
      <c r="I685" s="12" t="s">
        <v>1011</v>
      </c>
      <c r="J685" s="22" t="s">
        <v>16</v>
      </c>
      <c r="K685" s="22" t="s">
        <v>17</v>
      </c>
    </row>
    <row r="686" spans="1:11" s="7" customFormat="1" x14ac:dyDescent="0.25">
      <c r="A686" s="18">
        <v>685</v>
      </c>
      <c r="B686" s="12" t="s">
        <v>1127</v>
      </c>
      <c r="C686" s="12" t="s">
        <v>39</v>
      </c>
      <c r="D686" s="13" t="s">
        <v>1128</v>
      </c>
      <c r="E686" s="19" t="s">
        <v>14</v>
      </c>
      <c r="F686" s="19">
        <v>3</v>
      </c>
      <c r="G686" s="20">
        <v>93.300000000000011</v>
      </c>
      <c r="H686" s="20">
        <f t="shared" si="10"/>
        <v>279.90000000000003</v>
      </c>
      <c r="I686" s="12" t="s">
        <v>1011</v>
      </c>
      <c r="J686" s="22" t="s">
        <v>16</v>
      </c>
      <c r="K686" s="22" t="s">
        <v>17</v>
      </c>
    </row>
    <row r="687" spans="1:11" s="7" customFormat="1" ht="25.5" x14ac:dyDescent="0.25">
      <c r="A687" s="18">
        <v>686</v>
      </c>
      <c r="B687" s="12" t="s">
        <v>1129</v>
      </c>
      <c r="C687" s="12" t="s">
        <v>1130</v>
      </c>
      <c r="D687" s="13" t="s">
        <v>1131</v>
      </c>
      <c r="E687" s="19" t="s">
        <v>14</v>
      </c>
      <c r="F687" s="19">
        <v>2</v>
      </c>
      <c r="G687" s="20">
        <v>12.94</v>
      </c>
      <c r="H687" s="20">
        <f t="shared" si="10"/>
        <v>25.88</v>
      </c>
      <c r="I687" s="12" t="s">
        <v>1011</v>
      </c>
      <c r="J687" s="22" t="s">
        <v>16</v>
      </c>
      <c r="K687" s="22" t="s">
        <v>17</v>
      </c>
    </row>
    <row r="688" spans="1:11" s="7" customFormat="1" ht="25.5" x14ac:dyDescent="0.25">
      <c r="A688" s="18">
        <v>687</v>
      </c>
      <c r="B688" s="12" t="s">
        <v>1132</v>
      </c>
      <c r="C688" s="12" t="s">
        <v>1130</v>
      </c>
      <c r="D688" s="13" t="s">
        <v>1133</v>
      </c>
      <c r="E688" s="19" t="s">
        <v>14</v>
      </c>
      <c r="F688" s="19">
        <v>4</v>
      </c>
      <c r="G688" s="20">
        <v>12.94</v>
      </c>
      <c r="H688" s="20">
        <f t="shared" si="10"/>
        <v>51.76</v>
      </c>
      <c r="I688" s="12" t="s">
        <v>1011</v>
      </c>
      <c r="J688" s="22" t="s">
        <v>16</v>
      </c>
      <c r="K688" s="22" t="s">
        <v>17</v>
      </c>
    </row>
    <row r="689" spans="1:11" s="7" customFormat="1" ht="25.5" x14ac:dyDescent="0.25">
      <c r="A689" s="18">
        <v>688</v>
      </c>
      <c r="B689" s="12" t="s">
        <v>1134</v>
      </c>
      <c r="C689" s="12" t="s">
        <v>290</v>
      </c>
      <c r="D689" s="13" t="s">
        <v>1135</v>
      </c>
      <c r="E689" s="19" t="s">
        <v>14</v>
      </c>
      <c r="F689" s="19">
        <v>2</v>
      </c>
      <c r="G689" s="20">
        <v>21.52</v>
      </c>
      <c r="H689" s="20">
        <f t="shared" si="10"/>
        <v>43.04</v>
      </c>
      <c r="I689" s="12" t="s">
        <v>1011</v>
      </c>
      <c r="J689" s="22" t="s">
        <v>16</v>
      </c>
      <c r="K689" s="22" t="s">
        <v>17</v>
      </c>
    </row>
    <row r="690" spans="1:11" s="7" customFormat="1" ht="25.5" x14ac:dyDescent="0.25">
      <c r="A690" s="18">
        <v>689</v>
      </c>
      <c r="B690" s="12" t="s">
        <v>1136</v>
      </c>
      <c r="C690" s="12" t="s">
        <v>19</v>
      </c>
      <c r="D690" s="13" t="s">
        <v>1137</v>
      </c>
      <c r="E690" s="19" t="s">
        <v>24</v>
      </c>
      <c r="F690" s="19">
        <v>1</v>
      </c>
      <c r="G690" s="20">
        <v>17.57</v>
      </c>
      <c r="H690" s="20">
        <f t="shared" si="10"/>
        <v>17.57</v>
      </c>
      <c r="I690" s="12" t="s">
        <v>1011</v>
      </c>
      <c r="J690" s="22" t="s">
        <v>16</v>
      </c>
      <c r="K690" s="22" t="s">
        <v>17</v>
      </c>
    </row>
    <row r="691" spans="1:11" s="7" customFormat="1" ht="25.5" x14ac:dyDescent="0.25">
      <c r="A691" s="18">
        <v>690</v>
      </c>
      <c r="B691" s="12" t="s">
        <v>1138</v>
      </c>
      <c r="C691" s="12" t="s">
        <v>19</v>
      </c>
      <c r="D691" s="13" t="s">
        <v>1139</v>
      </c>
      <c r="E691" s="19" t="s">
        <v>24</v>
      </c>
      <c r="F691" s="19">
        <v>1</v>
      </c>
      <c r="G691" s="20">
        <v>32.67</v>
      </c>
      <c r="H691" s="20">
        <f t="shared" si="10"/>
        <v>32.67</v>
      </c>
      <c r="I691" s="12" t="s">
        <v>1011</v>
      </c>
      <c r="J691" s="22" t="s">
        <v>16</v>
      </c>
      <c r="K691" s="22" t="s">
        <v>17</v>
      </c>
    </row>
    <row r="692" spans="1:11" s="7" customFormat="1" x14ac:dyDescent="0.25">
      <c r="A692" s="18">
        <v>691</v>
      </c>
      <c r="B692" s="12" t="s">
        <v>1140</v>
      </c>
      <c r="C692" s="12" t="s">
        <v>19</v>
      </c>
      <c r="D692" s="13" t="s">
        <v>1141</v>
      </c>
      <c r="E692" s="19" t="s">
        <v>24</v>
      </c>
      <c r="F692" s="19">
        <v>1</v>
      </c>
      <c r="G692" s="20">
        <v>52.25</v>
      </c>
      <c r="H692" s="20">
        <f t="shared" si="10"/>
        <v>52.25</v>
      </c>
      <c r="I692" s="12" t="s">
        <v>1011</v>
      </c>
      <c r="J692" s="22" t="s">
        <v>16</v>
      </c>
      <c r="K692" s="22" t="s">
        <v>17</v>
      </c>
    </row>
    <row r="693" spans="1:11" s="7" customFormat="1" ht="25.5" x14ac:dyDescent="0.25">
      <c r="A693" s="18">
        <v>692</v>
      </c>
      <c r="B693" s="12" t="s">
        <v>1142</v>
      </c>
      <c r="C693" s="12" t="s">
        <v>1065</v>
      </c>
      <c r="D693" s="13" t="s">
        <v>1143</v>
      </c>
      <c r="E693" s="19" t="s">
        <v>14</v>
      </c>
      <c r="F693" s="19">
        <v>80</v>
      </c>
      <c r="G693" s="20">
        <v>1.1399999999999999</v>
      </c>
      <c r="H693" s="20">
        <f t="shared" si="10"/>
        <v>91.199999999999989</v>
      </c>
      <c r="I693" s="12" t="s">
        <v>1011</v>
      </c>
      <c r="J693" s="22" t="s">
        <v>16</v>
      </c>
      <c r="K693" s="22" t="s">
        <v>17</v>
      </c>
    </row>
    <row r="694" spans="1:11" s="7" customFormat="1" ht="25.5" x14ac:dyDescent="0.25">
      <c r="A694" s="18">
        <v>693</v>
      </c>
      <c r="B694" s="12" t="s">
        <v>1144</v>
      </c>
      <c r="C694" s="12" t="s">
        <v>1065</v>
      </c>
      <c r="D694" s="13" t="s">
        <v>1145</v>
      </c>
      <c r="E694" s="19" t="s">
        <v>14</v>
      </c>
      <c r="F694" s="19">
        <v>8</v>
      </c>
      <c r="G694" s="20">
        <v>0.95</v>
      </c>
      <c r="H694" s="20">
        <f t="shared" si="10"/>
        <v>7.6</v>
      </c>
      <c r="I694" s="12" t="s">
        <v>1011</v>
      </c>
      <c r="J694" s="22" t="s">
        <v>16</v>
      </c>
      <c r="K694" s="22" t="s">
        <v>17</v>
      </c>
    </row>
    <row r="695" spans="1:11" s="7" customFormat="1" ht="25.5" x14ac:dyDescent="0.25">
      <c r="A695" s="18">
        <v>694</v>
      </c>
      <c r="B695" s="12" t="s">
        <v>1146</v>
      </c>
      <c r="C695" s="12" t="s">
        <v>1065</v>
      </c>
      <c r="D695" s="13" t="s">
        <v>1147</v>
      </c>
      <c r="E695" s="19" t="s">
        <v>14</v>
      </c>
      <c r="F695" s="19">
        <v>35</v>
      </c>
      <c r="G695" s="20">
        <v>5.5</v>
      </c>
      <c r="H695" s="20">
        <f t="shared" si="10"/>
        <v>192.5</v>
      </c>
      <c r="I695" s="12" t="s">
        <v>1011</v>
      </c>
      <c r="J695" s="22" t="s">
        <v>16</v>
      </c>
      <c r="K695" s="22" t="s">
        <v>17</v>
      </c>
    </row>
    <row r="696" spans="1:11" s="7" customFormat="1" ht="25.5" x14ac:dyDescent="0.25">
      <c r="A696" s="18">
        <v>695</v>
      </c>
      <c r="B696" s="12" t="s">
        <v>1148</v>
      </c>
      <c r="C696" s="12" t="s">
        <v>1149</v>
      </c>
      <c r="D696" s="13" t="s">
        <v>1150</v>
      </c>
      <c r="E696" s="19" t="s">
        <v>14</v>
      </c>
      <c r="F696" s="19">
        <v>8</v>
      </c>
      <c r="G696" s="20">
        <v>22.03</v>
      </c>
      <c r="H696" s="20">
        <f t="shared" si="10"/>
        <v>176.24</v>
      </c>
      <c r="I696" s="12" t="s">
        <v>1011</v>
      </c>
      <c r="J696" s="22" t="s">
        <v>16</v>
      </c>
      <c r="K696" s="22" t="s">
        <v>17</v>
      </c>
    </row>
    <row r="697" spans="1:11" s="7" customFormat="1" x14ac:dyDescent="0.25">
      <c r="A697" s="18">
        <v>696</v>
      </c>
      <c r="B697" s="12" t="s">
        <v>1151</v>
      </c>
      <c r="C697" s="12" t="s">
        <v>19</v>
      </c>
      <c r="D697" s="13" t="s">
        <v>1152</v>
      </c>
      <c r="E697" s="19" t="s">
        <v>14</v>
      </c>
      <c r="F697" s="19">
        <v>10</v>
      </c>
      <c r="G697" s="20">
        <v>52.24</v>
      </c>
      <c r="H697" s="20">
        <f t="shared" si="10"/>
        <v>522.4</v>
      </c>
      <c r="I697" s="12" t="s">
        <v>1011</v>
      </c>
      <c r="J697" s="22" t="s">
        <v>16</v>
      </c>
      <c r="K697" s="22" t="s">
        <v>17</v>
      </c>
    </row>
    <row r="698" spans="1:11" s="7" customFormat="1" x14ac:dyDescent="0.25">
      <c r="A698" s="18">
        <v>697</v>
      </c>
      <c r="B698" s="12" t="s">
        <v>1153</v>
      </c>
      <c r="C698" s="12" t="s">
        <v>1065</v>
      </c>
      <c r="D698" s="13" t="s">
        <v>1154</v>
      </c>
      <c r="E698" s="19" t="s">
        <v>24</v>
      </c>
      <c r="F698" s="19">
        <v>18</v>
      </c>
      <c r="G698" s="20">
        <v>6.12</v>
      </c>
      <c r="H698" s="20">
        <f t="shared" si="10"/>
        <v>110.16</v>
      </c>
      <c r="I698" s="12" t="s">
        <v>1011</v>
      </c>
      <c r="J698" s="22" t="s">
        <v>16</v>
      </c>
      <c r="K698" s="22" t="s">
        <v>17</v>
      </c>
    </row>
    <row r="699" spans="1:11" s="7" customFormat="1" x14ac:dyDescent="0.25">
      <c r="A699" s="18">
        <v>698</v>
      </c>
      <c r="B699" s="12" t="s">
        <v>1155</v>
      </c>
      <c r="C699" s="12" t="s">
        <v>39</v>
      </c>
      <c r="D699" s="13" t="s">
        <v>1156</v>
      </c>
      <c r="E699" s="19" t="s">
        <v>14</v>
      </c>
      <c r="F699" s="19">
        <v>10</v>
      </c>
      <c r="G699" s="20">
        <v>4.47</v>
      </c>
      <c r="H699" s="20">
        <f t="shared" si="10"/>
        <v>44.699999999999996</v>
      </c>
      <c r="I699" s="12" t="s">
        <v>1011</v>
      </c>
      <c r="J699" s="22" t="s">
        <v>16</v>
      </c>
      <c r="K699" s="22" t="s">
        <v>17</v>
      </c>
    </row>
    <row r="700" spans="1:11" s="7" customFormat="1" ht="25.5" x14ac:dyDescent="0.25">
      <c r="A700" s="18">
        <v>699</v>
      </c>
      <c r="B700" s="12" t="s">
        <v>1157</v>
      </c>
      <c r="C700" s="12" t="s">
        <v>112</v>
      </c>
      <c r="D700" s="13" t="s">
        <v>1158</v>
      </c>
      <c r="E700" s="19" t="s">
        <v>24</v>
      </c>
      <c r="F700" s="19">
        <v>2</v>
      </c>
      <c r="G700" s="20">
        <v>5.21</v>
      </c>
      <c r="H700" s="20">
        <f t="shared" si="10"/>
        <v>10.42</v>
      </c>
      <c r="I700" s="12" t="s">
        <v>1011</v>
      </c>
      <c r="J700" s="22" t="s">
        <v>16</v>
      </c>
      <c r="K700" s="22" t="s">
        <v>17</v>
      </c>
    </row>
    <row r="701" spans="1:11" s="7" customFormat="1" ht="25.5" x14ac:dyDescent="0.25">
      <c r="A701" s="18">
        <v>700</v>
      </c>
      <c r="B701" s="12" t="s">
        <v>1159</v>
      </c>
      <c r="C701" s="12" t="s">
        <v>112</v>
      </c>
      <c r="D701" s="13" t="s">
        <v>1160</v>
      </c>
      <c r="E701" s="19" t="s">
        <v>24</v>
      </c>
      <c r="F701" s="19">
        <v>1</v>
      </c>
      <c r="G701" s="20">
        <v>23.13</v>
      </c>
      <c r="H701" s="20">
        <f t="shared" si="10"/>
        <v>23.13</v>
      </c>
      <c r="I701" s="12" t="s">
        <v>1011</v>
      </c>
      <c r="J701" s="22" t="s">
        <v>16</v>
      </c>
      <c r="K701" s="22" t="s">
        <v>17</v>
      </c>
    </row>
    <row r="702" spans="1:11" s="7" customFormat="1" x14ac:dyDescent="0.25">
      <c r="A702" s="18">
        <v>701</v>
      </c>
      <c r="B702" s="12" t="s">
        <v>1161</v>
      </c>
      <c r="C702" s="12" t="s">
        <v>782</v>
      </c>
      <c r="D702" s="13" t="s">
        <v>1162</v>
      </c>
      <c r="E702" s="19" t="s">
        <v>24</v>
      </c>
      <c r="F702" s="19">
        <v>1</v>
      </c>
      <c r="G702" s="20">
        <v>32.090000000000003</v>
      </c>
      <c r="H702" s="20">
        <f t="shared" si="10"/>
        <v>32.090000000000003</v>
      </c>
      <c r="I702" s="12" t="s">
        <v>1011</v>
      </c>
      <c r="J702" s="22" t="s">
        <v>16</v>
      </c>
      <c r="K702" s="22" t="s">
        <v>17</v>
      </c>
    </row>
    <row r="703" spans="1:11" s="7" customFormat="1" ht="25.5" x14ac:dyDescent="0.25">
      <c r="A703" s="18">
        <v>702</v>
      </c>
      <c r="B703" s="12" t="s">
        <v>1163</v>
      </c>
      <c r="C703" s="12" t="s">
        <v>266</v>
      </c>
      <c r="D703" s="13" t="s">
        <v>267</v>
      </c>
      <c r="E703" s="19" t="s">
        <v>191</v>
      </c>
      <c r="F703" s="19">
        <v>3</v>
      </c>
      <c r="G703" s="20">
        <v>8.48</v>
      </c>
      <c r="H703" s="20">
        <f t="shared" si="10"/>
        <v>25.44</v>
      </c>
      <c r="I703" s="12" t="s">
        <v>1011</v>
      </c>
      <c r="J703" s="22" t="s">
        <v>16</v>
      </c>
      <c r="K703" s="22" t="s">
        <v>17</v>
      </c>
    </row>
    <row r="704" spans="1:11" s="7" customFormat="1" x14ac:dyDescent="0.25">
      <c r="A704" s="18">
        <v>703</v>
      </c>
      <c r="B704" s="12" t="s">
        <v>1164</v>
      </c>
      <c r="C704" s="12" t="s">
        <v>266</v>
      </c>
      <c r="D704" s="13" t="s">
        <v>1165</v>
      </c>
      <c r="E704" s="19" t="s">
        <v>191</v>
      </c>
      <c r="F704" s="19">
        <v>3</v>
      </c>
      <c r="G704" s="20">
        <v>14.53</v>
      </c>
      <c r="H704" s="20">
        <f t="shared" si="10"/>
        <v>43.589999999999996</v>
      </c>
      <c r="I704" s="12" t="s">
        <v>1011</v>
      </c>
      <c r="J704" s="22" t="s">
        <v>16</v>
      </c>
      <c r="K704" s="22" t="s">
        <v>17</v>
      </c>
    </row>
    <row r="705" spans="1:11" s="7" customFormat="1" x14ac:dyDescent="0.25">
      <c r="A705" s="18">
        <v>704</v>
      </c>
      <c r="B705" s="12" t="s">
        <v>1166</v>
      </c>
      <c r="C705" s="12" t="s">
        <v>266</v>
      </c>
      <c r="D705" s="13" t="s">
        <v>1167</v>
      </c>
      <c r="E705" s="19" t="s">
        <v>191</v>
      </c>
      <c r="F705" s="19">
        <v>5</v>
      </c>
      <c r="G705" s="20">
        <v>13.53</v>
      </c>
      <c r="H705" s="20">
        <f t="shared" si="10"/>
        <v>67.649999999999991</v>
      </c>
      <c r="I705" s="12" t="s">
        <v>1011</v>
      </c>
      <c r="J705" s="22" t="s">
        <v>16</v>
      </c>
      <c r="K705" s="22" t="s">
        <v>17</v>
      </c>
    </row>
    <row r="706" spans="1:11" s="7" customFormat="1" x14ac:dyDescent="0.25">
      <c r="A706" s="18">
        <v>705</v>
      </c>
      <c r="B706" s="12" t="s">
        <v>1168</v>
      </c>
      <c r="C706" s="12" t="s">
        <v>1169</v>
      </c>
      <c r="D706" s="12" t="s">
        <v>1170</v>
      </c>
      <c r="E706" s="19" t="s">
        <v>14</v>
      </c>
      <c r="F706" s="19">
        <v>10</v>
      </c>
      <c r="G706" s="20">
        <v>0.54</v>
      </c>
      <c r="H706" s="20">
        <f t="shared" ref="H706:H769" si="11">F706*G706</f>
        <v>5.4</v>
      </c>
      <c r="I706" s="12" t="s">
        <v>1011</v>
      </c>
      <c r="J706" s="22" t="s">
        <v>16</v>
      </c>
      <c r="K706" s="22" t="s">
        <v>17</v>
      </c>
    </row>
    <row r="707" spans="1:11" s="7" customFormat="1" x14ac:dyDescent="0.25">
      <c r="A707" s="18">
        <v>706</v>
      </c>
      <c r="B707" s="12" t="s">
        <v>1171</v>
      </c>
      <c r="C707" s="12" t="s">
        <v>1172</v>
      </c>
      <c r="D707" s="13" t="s">
        <v>1173</v>
      </c>
      <c r="E707" s="19" t="s">
        <v>24</v>
      </c>
      <c r="F707" s="19">
        <v>6</v>
      </c>
      <c r="G707" s="20">
        <v>10.74</v>
      </c>
      <c r="H707" s="20">
        <f t="shared" si="11"/>
        <v>64.44</v>
      </c>
      <c r="I707" s="12" t="s">
        <v>1011</v>
      </c>
      <c r="J707" s="22" t="s">
        <v>16</v>
      </c>
      <c r="K707" s="22" t="s">
        <v>17</v>
      </c>
    </row>
    <row r="708" spans="1:11" s="7" customFormat="1" ht="25.5" x14ac:dyDescent="0.25">
      <c r="A708" s="18">
        <v>707</v>
      </c>
      <c r="B708" s="12" t="s">
        <v>1174</v>
      </c>
      <c r="C708" s="12" t="s">
        <v>1028</v>
      </c>
      <c r="D708" s="13" t="s">
        <v>1175</v>
      </c>
      <c r="E708" s="19" t="s">
        <v>14</v>
      </c>
      <c r="F708" s="19">
        <v>15</v>
      </c>
      <c r="G708" s="20">
        <v>44.18</v>
      </c>
      <c r="H708" s="20">
        <f t="shared" si="11"/>
        <v>662.7</v>
      </c>
      <c r="I708" s="12" t="s">
        <v>1011</v>
      </c>
      <c r="J708" s="22" t="s">
        <v>16</v>
      </c>
      <c r="K708" s="22" t="s">
        <v>17</v>
      </c>
    </row>
    <row r="709" spans="1:11" s="7" customFormat="1" x14ac:dyDescent="0.25">
      <c r="A709" s="18">
        <v>708</v>
      </c>
      <c r="B709" s="12" t="s">
        <v>1176</v>
      </c>
      <c r="C709" s="12" t="s">
        <v>290</v>
      </c>
      <c r="D709" s="13" t="s">
        <v>1177</v>
      </c>
      <c r="E709" s="19" t="s">
        <v>14</v>
      </c>
      <c r="F709" s="19">
        <v>4</v>
      </c>
      <c r="G709" s="20">
        <v>6.36</v>
      </c>
      <c r="H709" s="20">
        <f t="shared" si="11"/>
        <v>25.44</v>
      </c>
      <c r="I709" s="12" t="s">
        <v>1011</v>
      </c>
      <c r="J709" s="22" t="s">
        <v>16</v>
      </c>
      <c r="K709" s="22" t="s">
        <v>17</v>
      </c>
    </row>
    <row r="710" spans="1:11" s="7" customFormat="1" x14ac:dyDescent="0.25">
      <c r="A710" s="18">
        <v>709</v>
      </c>
      <c r="B710" s="12" t="s">
        <v>1178</v>
      </c>
      <c r="C710" s="12" t="s">
        <v>290</v>
      </c>
      <c r="D710" s="13" t="s">
        <v>1179</v>
      </c>
      <c r="E710" s="19" t="s">
        <v>24</v>
      </c>
      <c r="F710" s="19">
        <v>4</v>
      </c>
      <c r="G710" s="20">
        <v>5.43</v>
      </c>
      <c r="H710" s="20">
        <f t="shared" si="11"/>
        <v>21.72</v>
      </c>
      <c r="I710" s="12" t="s">
        <v>1011</v>
      </c>
      <c r="J710" s="22" t="s">
        <v>16</v>
      </c>
      <c r="K710" s="22" t="s">
        <v>17</v>
      </c>
    </row>
    <row r="711" spans="1:11" s="7" customFormat="1" x14ac:dyDescent="0.25">
      <c r="A711" s="18">
        <v>710</v>
      </c>
      <c r="B711" s="12" t="s">
        <v>1180</v>
      </c>
      <c r="C711" s="12" t="s">
        <v>22</v>
      </c>
      <c r="D711" s="13" t="s">
        <v>1181</v>
      </c>
      <c r="E711" s="19" t="s">
        <v>14</v>
      </c>
      <c r="F711" s="19">
        <v>20</v>
      </c>
      <c r="G711" s="20">
        <v>5.49</v>
      </c>
      <c r="H711" s="20">
        <f t="shared" si="11"/>
        <v>109.80000000000001</v>
      </c>
      <c r="I711" s="12" t="s">
        <v>1011</v>
      </c>
      <c r="J711" s="22" t="s">
        <v>16</v>
      </c>
      <c r="K711" s="22" t="s">
        <v>17</v>
      </c>
    </row>
    <row r="712" spans="1:11" s="7" customFormat="1" x14ac:dyDescent="0.25">
      <c r="A712" s="18">
        <v>711</v>
      </c>
      <c r="B712" s="12" t="s">
        <v>1182</v>
      </c>
      <c r="C712" s="12" t="s">
        <v>1183</v>
      </c>
      <c r="D712" s="12" t="s">
        <v>1184</v>
      </c>
      <c r="E712" s="19" t="s">
        <v>14</v>
      </c>
      <c r="F712" s="19">
        <v>10</v>
      </c>
      <c r="G712" s="20">
        <v>1.0900000000000001</v>
      </c>
      <c r="H712" s="20">
        <f t="shared" si="11"/>
        <v>10.9</v>
      </c>
      <c r="I712" s="12" t="s">
        <v>1011</v>
      </c>
      <c r="J712" s="22" t="s">
        <v>16</v>
      </c>
      <c r="K712" s="22" t="s">
        <v>17</v>
      </c>
    </row>
    <row r="713" spans="1:11" s="7" customFormat="1" x14ac:dyDescent="0.25">
      <c r="A713" s="18">
        <v>712</v>
      </c>
      <c r="B713" s="12" t="s">
        <v>1185</v>
      </c>
      <c r="C713" s="12" t="s">
        <v>290</v>
      </c>
      <c r="D713" s="12" t="s">
        <v>1186</v>
      </c>
      <c r="E713" s="19" t="s">
        <v>14</v>
      </c>
      <c r="F713" s="19">
        <v>20</v>
      </c>
      <c r="G713" s="20">
        <v>1.38</v>
      </c>
      <c r="H713" s="20">
        <f t="shared" si="11"/>
        <v>27.599999999999998</v>
      </c>
      <c r="I713" s="12" t="s">
        <v>1011</v>
      </c>
      <c r="J713" s="22" t="s">
        <v>16</v>
      </c>
      <c r="K713" s="22" t="s">
        <v>17</v>
      </c>
    </row>
    <row r="714" spans="1:11" s="7" customFormat="1" x14ac:dyDescent="0.25">
      <c r="A714" s="18">
        <v>713</v>
      </c>
      <c r="B714" s="12" t="s">
        <v>1187</v>
      </c>
      <c r="C714" s="12" t="s">
        <v>290</v>
      </c>
      <c r="D714" s="13" t="s">
        <v>1188</v>
      </c>
      <c r="E714" s="19" t="s">
        <v>14</v>
      </c>
      <c r="F714" s="19">
        <v>8</v>
      </c>
      <c r="G714" s="20">
        <v>4.1900000000000004</v>
      </c>
      <c r="H714" s="20">
        <f t="shared" si="11"/>
        <v>33.520000000000003</v>
      </c>
      <c r="I714" s="12" t="s">
        <v>1011</v>
      </c>
      <c r="J714" s="22" t="s">
        <v>16</v>
      </c>
      <c r="K714" s="22" t="s">
        <v>17</v>
      </c>
    </row>
    <row r="715" spans="1:11" s="7" customFormat="1" ht="25.5" x14ac:dyDescent="0.25">
      <c r="A715" s="18">
        <v>714</v>
      </c>
      <c r="B715" s="12" t="s">
        <v>1189</v>
      </c>
      <c r="C715" s="12" t="s">
        <v>1183</v>
      </c>
      <c r="D715" s="13" t="s">
        <v>1190</v>
      </c>
      <c r="E715" s="19" t="s">
        <v>24</v>
      </c>
      <c r="F715" s="19">
        <v>6</v>
      </c>
      <c r="G715" s="20">
        <v>27.47</v>
      </c>
      <c r="H715" s="20">
        <f t="shared" si="11"/>
        <v>164.82</v>
      </c>
      <c r="I715" s="12" t="s">
        <v>1011</v>
      </c>
      <c r="J715" s="22" t="s">
        <v>16</v>
      </c>
      <c r="K715" s="22" t="s">
        <v>17</v>
      </c>
    </row>
    <row r="716" spans="1:11" s="7" customFormat="1" x14ac:dyDescent="0.25">
      <c r="A716" s="18">
        <v>715</v>
      </c>
      <c r="B716" s="12" t="s">
        <v>1191</v>
      </c>
      <c r="C716" s="12" t="s">
        <v>425</v>
      </c>
      <c r="D716" s="13" t="s">
        <v>1192</v>
      </c>
      <c r="E716" s="19" t="s">
        <v>14</v>
      </c>
      <c r="F716" s="19">
        <v>2</v>
      </c>
      <c r="G716" s="20">
        <v>25.62</v>
      </c>
      <c r="H716" s="20">
        <f t="shared" si="11"/>
        <v>51.24</v>
      </c>
      <c r="I716" s="12" t="s">
        <v>1011</v>
      </c>
      <c r="J716" s="22" t="s">
        <v>16</v>
      </c>
      <c r="K716" s="22" t="s">
        <v>17</v>
      </c>
    </row>
    <row r="717" spans="1:11" s="7" customFormat="1" x14ac:dyDescent="0.25">
      <c r="A717" s="18">
        <v>716</v>
      </c>
      <c r="B717" s="12" t="s">
        <v>1193</v>
      </c>
      <c r="C717" s="12" t="s">
        <v>425</v>
      </c>
      <c r="D717" s="13" t="s">
        <v>1194</v>
      </c>
      <c r="E717" s="19" t="s">
        <v>14</v>
      </c>
      <c r="F717" s="19">
        <v>1</v>
      </c>
      <c r="G717" s="20">
        <v>8.59</v>
      </c>
      <c r="H717" s="20">
        <f t="shared" si="11"/>
        <v>8.59</v>
      </c>
      <c r="I717" s="12" t="s">
        <v>1011</v>
      </c>
      <c r="J717" s="22" t="s">
        <v>16</v>
      </c>
      <c r="K717" s="22" t="s">
        <v>17</v>
      </c>
    </row>
    <row r="718" spans="1:11" s="7" customFormat="1" x14ac:dyDescent="0.25">
      <c r="A718" s="18">
        <v>717</v>
      </c>
      <c r="B718" s="12" t="s">
        <v>1195</v>
      </c>
      <c r="C718" s="12" t="s">
        <v>425</v>
      </c>
      <c r="D718" s="13" t="s">
        <v>1196</v>
      </c>
      <c r="E718" s="19" t="s">
        <v>14</v>
      </c>
      <c r="F718" s="19">
        <v>13</v>
      </c>
      <c r="G718" s="20">
        <v>27.43</v>
      </c>
      <c r="H718" s="20">
        <f t="shared" si="11"/>
        <v>356.59</v>
      </c>
      <c r="I718" s="12" t="s">
        <v>1011</v>
      </c>
      <c r="J718" s="22" t="s">
        <v>16</v>
      </c>
      <c r="K718" s="22" t="s">
        <v>17</v>
      </c>
    </row>
    <row r="719" spans="1:11" s="7" customFormat="1" x14ac:dyDescent="0.25">
      <c r="A719" s="18">
        <v>718</v>
      </c>
      <c r="B719" s="12" t="s">
        <v>828</v>
      </c>
      <c r="C719" s="12" t="s">
        <v>425</v>
      </c>
      <c r="D719" s="13" t="s">
        <v>1197</v>
      </c>
      <c r="E719" s="19" t="s">
        <v>14</v>
      </c>
      <c r="F719" s="19">
        <v>9</v>
      </c>
      <c r="G719" s="20">
        <v>43.21</v>
      </c>
      <c r="H719" s="20">
        <f t="shared" si="11"/>
        <v>388.89</v>
      </c>
      <c r="I719" s="12" t="s">
        <v>1011</v>
      </c>
      <c r="J719" s="22" t="s">
        <v>16</v>
      </c>
      <c r="K719" s="22" t="s">
        <v>17</v>
      </c>
    </row>
    <row r="720" spans="1:11" s="7" customFormat="1" x14ac:dyDescent="0.25">
      <c r="A720" s="18">
        <v>719</v>
      </c>
      <c r="B720" s="12" t="s">
        <v>1198</v>
      </c>
      <c r="C720" s="12" t="s">
        <v>63</v>
      </c>
      <c r="D720" s="13" t="s">
        <v>1199</v>
      </c>
      <c r="E720" s="19" t="s">
        <v>191</v>
      </c>
      <c r="F720" s="19">
        <v>2</v>
      </c>
      <c r="G720" s="20">
        <v>7.94</v>
      </c>
      <c r="H720" s="20">
        <f t="shared" si="11"/>
        <v>15.88</v>
      </c>
      <c r="I720" s="12" t="s">
        <v>1011</v>
      </c>
      <c r="J720" s="22" t="s">
        <v>16</v>
      </c>
      <c r="K720" s="22" t="s">
        <v>17</v>
      </c>
    </row>
    <row r="721" spans="1:11" s="7" customFormat="1" x14ac:dyDescent="0.25">
      <c r="A721" s="18">
        <v>720</v>
      </c>
      <c r="B721" s="12" t="s">
        <v>1200</v>
      </c>
      <c r="C721" s="12" t="s">
        <v>63</v>
      </c>
      <c r="D721" s="13" t="s">
        <v>1201</v>
      </c>
      <c r="E721" s="19" t="s">
        <v>191</v>
      </c>
      <c r="F721" s="19">
        <v>2</v>
      </c>
      <c r="G721" s="20">
        <v>9.16</v>
      </c>
      <c r="H721" s="20">
        <f t="shared" si="11"/>
        <v>18.32</v>
      </c>
      <c r="I721" s="12" t="s">
        <v>1011</v>
      </c>
      <c r="J721" s="22" t="s">
        <v>16</v>
      </c>
      <c r="K721" s="22" t="s">
        <v>17</v>
      </c>
    </row>
    <row r="722" spans="1:11" s="7" customFormat="1" x14ac:dyDescent="0.25">
      <c r="A722" s="18">
        <v>721</v>
      </c>
      <c r="B722" s="12" t="s">
        <v>1202</v>
      </c>
      <c r="C722" s="12" t="s">
        <v>63</v>
      </c>
      <c r="D722" s="13" t="s">
        <v>1203</v>
      </c>
      <c r="E722" s="19" t="s">
        <v>191</v>
      </c>
      <c r="F722" s="19">
        <v>2</v>
      </c>
      <c r="G722" s="20">
        <v>12.18</v>
      </c>
      <c r="H722" s="20">
        <f t="shared" si="11"/>
        <v>24.36</v>
      </c>
      <c r="I722" s="12" t="s">
        <v>1011</v>
      </c>
      <c r="J722" s="22" t="s">
        <v>16</v>
      </c>
      <c r="K722" s="22" t="s">
        <v>17</v>
      </c>
    </row>
    <row r="723" spans="1:11" s="7" customFormat="1" x14ac:dyDescent="0.25">
      <c r="A723" s="18">
        <v>722</v>
      </c>
      <c r="B723" s="12" t="s">
        <v>1204</v>
      </c>
      <c r="C723" s="12" t="s">
        <v>1205</v>
      </c>
      <c r="D723" s="13" t="s">
        <v>1206</v>
      </c>
      <c r="E723" s="19" t="s">
        <v>68</v>
      </c>
      <c r="F723" s="19">
        <v>30</v>
      </c>
      <c r="G723" s="20">
        <v>24.62</v>
      </c>
      <c r="H723" s="20">
        <f t="shared" si="11"/>
        <v>738.6</v>
      </c>
      <c r="I723" s="12" t="s">
        <v>1011</v>
      </c>
      <c r="J723" s="22" t="s">
        <v>16</v>
      </c>
      <c r="K723" s="22" t="s">
        <v>17</v>
      </c>
    </row>
    <row r="724" spans="1:11" s="7" customFormat="1" x14ac:dyDescent="0.25">
      <c r="A724" s="18">
        <v>723</v>
      </c>
      <c r="B724" s="12" t="s">
        <v>1207</v>
      </c>
      <c r="C724" s="12" t="s">
        <v>1208</v>
      </c>
      <c r="D724" s="13" t="s">
        <v>1209</v>
      </c>
      <c r="E724" s="19" t="s">
        <v>14</v>
      </c>
      <c r="F724" s="19">
        <v>90</v>
      </c>
      <c r="G724" s="20">
        <v>3.29</v>
      </c>
      <c r="H724" s="20">
        <f t="shared" si="11"/>
        <v>296.10000000000002</v>
      </c>
      <c r="I724" s="12" t="s">
        <v>1011</v>
      </c>
      <c r="J724" s="22" t="s">
        <v>16</v>
      </c>
      <c r="K724" s="22" t="s">
        <v>17</v>
      </c>
    </row>
    <row r="725" spans="1:11" s="7" customFormat="1" ht="25.5" x14ac:dyDescent="0.25">
      <c r="A725" s="18">
        <v>724</v>
      </c>
      <c r="B725" s="12" t="s">
        <v>1210</v>
      </c>
      <c r="C725" s="12" t="s">
        <v>1211</v>
      </c>
      <c r="D725" s="13" t="s">
        <v>1212</v>
      </c>
      <c r="E725" s="19" t="s">
        <v>14</v>
      </c>
      <c r="F725" s="19">
        <v>14</v>
      </c>
      <c r="G725" s="20">
        <v>255.39</v>
      </c>
      <c r="H725" s="20">
        <f t="shared" si="11"/>
        <v>3575.46</v>
      </c>
      <c r="I725" s="12" t="s">
        <v>1011</v>
      </c>
      <c r="J725" s="22" t="s">
        <v>16</v>
      </c>
      <c r="K725" s="22" t="s">
        <v>17</v>
      </c>
    </row>
    <row r="726" spans="1:11" s="7" customFormat="1" x14ac:dyDescent="0.25">
      <c r="A726" s="18">
        <v>725</v>
      </c>
      <c r="B726" s="12" t="s">
        <v>1213</v>
      </c>
      <c r="C726" s="12" t="s">
        <v>143</v>
      </c>
      <c r="D726" s="13" t="s">
        <v>1214</v>
      </c>
      <c r="E726" s="19" t="s">
        <v>14</v>
      </c>
      <c r="F726" s="19">
        <v>1</v>
      </c>
      <c r="G726" s="20">
        <v>9.09</v>
      </c>
      <c r="H726" s="20">
        <f t="shared" si="11"/>
        <v>9.09</v>
      </c>
      <c r="I726" s="12" t="s">
        <v>1011</v>
      </c>
      <c r="J726" s="22" t="s">
        <v>16</v>
      </c>
      <c r="K726" s="22" t="s">
        <v>17</v>
      </c>
    </row>
    <row r="727" spans="1:11" s="7" customFormat="1" x14ac:dyDescent="0.25">
      <c r="A727" s="18">
        <v>726</v>
      </c>
      <c r="B727" s="12" t="s">
        <v>1215</v>
      </c>
      <c r="C727" s="12" t="s">
        <v>143</v>
      </c>
      <c r="D727" s="13" t="s">
        <v>1216</v>
      </c>
      <c r="E727" s="19" t="s">
        <v>14</v>
      </c>
      <c r="F727" s="19">
        <v>4</v>
      </c>
      <c r="G727" s="20">
        <v>24.87</v>
      </c>
      <c r="H727" s="20">
        <f t="shared" si="11"/>
        <v>99.48</v>
      </c>
      <c r="I727" s="12" t="s">
        <v>1011</v>
      </c>
      <c r="J727" s="22" t="s">
        <v>16</v>
      </c>
      <c r="K727" s="22" t="s">
        <v>17</v>
      </c>
    </row>
    <row r="728" spans="1:11" s="7" customFormat="1" x14ac:dyDescent="0.25">
      <c r="A728" s="18">
        <v>727</v>
      </c>
      <c r="B728" s="12" t="s">
        <v>817</v>
      </c>
      <c r="C728" s="12" t="s">
        <v>143</v>
      </c>
      <c r="D728" s="13" t="s">
        <v>818</v>
      </c>
      <c r="E728" s="19" t="s">
        <v>14</v>
      </c>
      <c r="F728" s="19">
        <v>1</v>
      </c>
      <c r="G728" s="20">
        <v>22.07</v>
      </c>
      <c r="H728" s="20">
        <f t="shared" si="11"/>
        <v>22.07</v>
      </c>
      <c r="I728" s="12" t="s">
        <v>1011</v>
      </c>
      <c r="J728" s="22" t="s">
        <v>16</v>
      </c>
      <c r="K728" s="22" t="s">
        <v>17</v>
      </c>
    </row>
    <row r="729" spans="1:11" s="7" customFormat="1" ht="25.5" x14ac:dyDescent="0.25">
      <c r="A729" s="18">
        <v>728</v>
      </c>
      <c r="B729" s="12" t="s">
        <v>1217</v>
      </c>
      <c r="C729" s="12" t="s">
        <v>143</v>
      </c>
      <c r="D729" s="13" t="s">
        <v>1218</v>
      </c>
      <c r="E729" s="19" t="s">
        <v>14</v>
      </c>
      <c r="F729" s="19">
        <v>3</v>
      </c>
      <c r="G729" s="20">
        <v>60.27</v>
      </c>
      <c r="H729" s="20">
        <f t="shared" si="11"/>
        <v>180.81</v>
      </c>
      <c r="I729" s="12" t="s">
        <v>1011</v>
      </c>
      <c r="J729" s="22" t="s">
        <v>16</v>
      </c>
      <c r="K729" s="22" t="s">
        <v>17</v>
      </c>
    </row>
    <row r="730" spans="1:11" s="7" customFormat="1" ht="25.5" x14ac:dyDescent="0.25">
      <c r="A730" s="18">
        <v>729</v>
      </c>
      <c r="B730" s="12" t="s">
        <v>1219</v>
      </c>
      <c r="C730" s="12" t="s">
        <v>143</v>
      </c>
      <c r="D730" s="13" t="s">
        <v>1220</v>
      </c>
      <c r="E730" s="19" t="s">
        <v>14</v>
      </c>
      <c r="F730" s="19">
        <v>2</v>
      </c>
      <c r="G730" s="20">
        <v>27.04</v>
      </c>
      <c r="H730" s="20">
        <f t="shared" si="11"/>
        <v>54.08</v>
      </c>
      <c r="I730" s="12" t="s">
        <v>1011</v>
      </c>
      <c r="J730" s="22" t="s">
        <v>16</v>
      </c>
      <c r="K730" s="22" t="s">
        <v>17</v>
      </c>
    </row>
    <row r="731" spans="1:11" s="7" customFormat="1" x14ac:dyDescent="0.25">
      <c r="A731" s="18">
        <v>730</v>
      </c>
      <c r="B731" s="12" t="s">
        <v>1221</v>
      </c>
      <c r="C731" s="12" t="s">
        <v>143</v>
      </c>
      <c r="D731" s="13" t="s">
        <v>1222</v>
      </c>
      <c r="E731" s="19" t="s">
        <v>14</v>
      </c>
      <c r="F731" s="19">
        <v>2</v>
      </c>
      <c r="G731" s="20">
        <v>31.8</v>
      </c>
      <c r="H731" s="20">
        <f t="shared" si="11"/>
        <v>63.6</v>
      </c>
      <c r="I731" s="12" t="s">
        <v>1011</v>
      </c>
      <c r="J731" s="22" t="s">
        <v>16</v>
      </c>
      <c r="K731" s="22" t="s">
        <v>17</v>
      </c>
    </row>
    <row r="732" spans="1:11" s="7" customFormat="1" x14ac:dyDescent="0.25">
      <c r="A732" s="18">
        <v>731</v>
      </c>
      <c r="B732" s="12" t="s">
        <v>1223</v>
      </c>
      <c r="C732" s="12" t="s">
        <v>1224</v>
      </c>
      <c r="D732" s="12" t="s">
        <v>1225</v>
      </c>
      <c r="E732" s="19" t="s">
        <v>24</v>
      </c>
      <c r="F732" s="19">
        <v>2</v>
      </c>
      <c r="G732" s="20">
        <v>13.06</v>
      </c>
      <c r="H732" s="20">
        <f t="shared" si="11"/>
        <v>26.12</v>
      </c>
      <c r="I732" s="12" t="s">
        <v>1011</v>
      </c>
      <c r="J732" s="22" t="s">
        <v>16</v>
      </c>
      <c r="K732" s="22" t="s">
        <v>17</v>
      </c>
    </row>
    <row r="733" spans="1:11" s="7" customFormat="1" x14ac:dyDescent="0.25">
      <c r="A733" s="18">
        <v>732</v>
      </c>
      <c r="B733" s="12" t="s">
        <v>1226</v>
      </c>
      <c r="C733" s="12" t="s">
        <v>1227</v>
      </c>
      <c r="D733" s="12" t="s">
        <v>1228</v>
      </c>
      <c r="E733" s="19" t="s">
        <v>14</v>
      </c>
      <c r="F733" s="19">
        <v>20</v>
      </c>
      <c r="G733" s="20">
        <v>0.2</v>
      </c>
      <c r="H733" s="20">
        <f t="shared" si="11"/>
        <v>4</v>
      </c>
      <c r="I733" s="12" t="s">
        <v>1011</v>
      </c>
      <c r="J733" s="22" t="s">
        <v>16</v>
      </c>
      <c r="K733" s="22" t="s">
        <v>17</v>
      </c>
    </row>
    <row r="734" spans="1:11" s="7" customFormat="1" x14ac:dyDescent="0.25">
      <c r="A734" s="18">
        <v>733</v>
      </c>
      <c r="B734" s="12" t="s">
        <v>1229</v>
      </c>
      <c r="C734" s="12" t="s">
        <v>290</v>
      </c>
      <c r="D734" s="13" t="s">
        <v>1230</v>
      </c>
      <c r="E734" s="19" t="s">
        <v>14</v>
      </c>
      <c r="F734" s="19">
        <v>40</v>
      </c>
      <c r="G734" s="20">
        <v>0.45</v>
      </c>
      <c r="H734" s="20">
        <f t="shared" si="11"/>
        <v>18</v>
      </c>
      <c r="I734" s="12" t="s">
        <v>1011</v>
      </c>
      <c r="J734" s="22" t="s">
        <v>16</v>
      </c>
      <c r="K734" s="22" t="s">
        <v>17</v>
      </c>
    </row>
    <row r="735" spans="1:11" s="7" customFormat="1" x14ac:dyDescent="0.25">
      <c r="A735" s="18">
        <v>734</v>
      </c>
      <c r="B735" s="12" t="s">
        <v>1231</v>
      </c>
      <c r="C735" s="12" t="s">
        <v>290</v>
      </c>
      <c r="D735" s="13" t="s">
        <v>1232</v>
      </c>
      <c r="E735" s="19" t="s">
        <v>14</v>
      </c>
      <c r="F735" s="19">
        <v>20</v>
      </c>
      <c r="G735" s="20">
        <v>1.31</v>
      </c>
      <c r="H735" s="20">
        <f t="shared" si="11"/>
        <v>26.200000000000003</v>
      </c>
      <c r="I735" s="12" t="s">
        <v>1011</v>
      </c>
      <c r="J735" s="22" t="s">
        <v>16</v>
      </c>
      <c r="K735" s="22" t="s">
        <v>17</v>
      </c>
    </row>
    <row r="736" spans="1:11" s="7" customFormat="1" x14ac:dyDescent="0.25">
      <c r="A736" s="18">
        <v>735</v>
      </c>
      <c r="B736" s="12" t="s">
        <v>1233</v>
      </c>
      <c r="C736" s="12" t="s">
        <v>290</v>
      </c>
      <c r="D736" s="13" t="s">
        <v>1234</v>
      </c>
      <c r="E736" s="19" t="s">
        <v>14</v>
      </c>
      <c r="F736" s="19">
        <v>4</v>
      </c>
      <c r="G736" s="20">
        <v>3.99</v>
      </c>
      <c r="H736" s="20">
        <f t="shared" si="11"/>
        <v>15.96</v>
      </c>
      <c r="I736" s="12" t="s">
        <v>1011</v>
      </c>
      <c r="J736" s="22" t="s">
        <v>16</v>
      </c>
      <c r="K736" s="22" t="s">
        <v>17</v>
      </c>
    </row>
    <row r="737" spans="1:11" s="7" customFormat="1" x14ac:dyDescent="0.25">
      <c r="A737" s="18">
        <v>736</v>
      </c>
      <c r="B737" s="12" t="s">
        <v>1235</v>
      </c>
      <c r="C737" s="12" t="s">
        <v>290</v>
      </c>
      <c r="D737" s="13" t="s">
        <v>1236</v>
      </c>
      <c r="E737" s="19" t="s">
        <v>14</v>
      </c>
      <c r="F737" s="19">
        <v>20</v>
      </c>
      <c r="G737" s="20">
        <v>2.75</v>
      </c>
      <c r="H737" s="20">
        <f t="shared" si="11"/>
        <v>55</v>
      </c>
      <c r="I737" s="12" t="s">
        <v>1011</v>
      </c>
      <c r="J737" s="22" t="s">
        <v>16</v>
      </c>
      <c r="K737" s="22" t="s">
        <v>17</v>
      </c>
    </row>
    <row r="738" spans="1:11" s="7" customFormat="1" x14ac:dyDescent="0.25">
      <c r="A738" s="18">
        <v>737</v>
      </c>
      <c r="B738" s="12" t="s">
        <v>1237</v>
      </c>
      <c r="C738" s="12" t="s">
        <v>290</v>
      </c>
      <c r="D738" s="13" t="s">
        <v>1238</v>
      </c>
      <c r="E738" s="19" t="s">
        <v>14</v>
      </c>
      <c r="F738" s="19">
        <v>8</v>
      </c>
      <c r="G738" s="20">
        <v>7.29</v>
      </c>
      <c r="H738" s="20">
        <f t="shared" si="11"/>
        <v>58.32</v>
      </c>
      <c r="I738" s="12" t="s">
        <v>1011</v>
      </c>
      <c r="J738" s="22" t="s">
        <v>16</v>
      </c>
      <c r="K738" s="22" t="s">
        <v>17</v>
      </c>
    </row>
    <row r="739" spans="1:11" s="7" customFormat="1" x14ac:dyDescent="0.25">
      <c r="A739" s="18">
        <v>738</v>
      </c>
      <c r="B739" s="12" t="s">
        <v>1567</v>
      </c>
      <c r="C739" s="12" t="s">
        <v>31</v>
      </c>
      <c r="D739" s="13" t="s">
        <v>1568</v>
      </c>
      <c r="E739" s="19" t="s">
        <v>14</v>
      </c>
      <c r="F739" s="19">
        <v>84</v>
      </c>
      <c r="G739" s="20">
        <v>7.8</v>
      </c>
      <c r="H739" s="20">
        <f t="shared" si="11"/>
        <v>655.19999999999993</v>
      </c>
      <c r="I739" s="12" t="s">
        <v>1011</v>
      </c>
      <c r="J739" s="19" t="s">
        <v>16</v>
      </c>
      <c r="K739" s="19" t="s">
        <v>17</v>
      </c>
    </row>
    <row r="740" spans="1:11" s="7" customFormat="1" ht="25.5" x14ac:dyDescent="0.25">
      <c r="A740" s="18">
        <v>739</v>
      </c>
      <c r="B740" s="12" t="s">
        <v>1239</v>
      </c>
      <c r="C740" s="12" t="s">
        <v>31</v>
      </c>
      <c r="D740" s="13" t="s">
        <v>1240</v>
      </c>
      <c r="E740" s="19" t="s">
        <v>14</v>
      </c>
      <c r="F740" s="19">
        <v>10</v>
      </c>
      <c r="G740" s="20">
        <v>4.72</v>
      </c>
      <c r="H740" s="20">
        <f t="shared" si="11"/>
        <v>47.199999999999996</v>
      </c>
      <c r="I740" s="12" t="s">
        <v>1011</v>
      </c>
      <c r="J740" s="22" t="s">
        <v>16</v>
      </c>
      <c r="K740" s="22" t="s">
        <v>17</v>
      </c>
    </row>
    <row r="741" spans="1:11" s="7" customFormat="1" ht="25.5" x14ac:dyDescent="0.25">
      <c r="A741" s="18">
        <v>740</v>
      </c>
      <c r="B741" s="12" t="s">
        <v>1239</v>
      </c>
      <c r="C741" s="12" t="s">
        <v>31</v>
      </c>
      <c r="D741" s="13" t="s">
        <v>1240</v>
      </c>
      <c r="E741" s="19" t="s">
        <v>14</v>
      </c>
      <c r="F741" s="19">
        <v>20</v>
      </c>
      <c r="G741" s="20">
        <v>4.72</v>
      </c>
      <c r="H741" s="20">
        <f t="shared" si="11"/>
        <v>94.399999999999991</v>
      </c>
      <c r="I741" s="12" t="s">
        <v>1011</v>
      </c>
      <c r="J741" s="22" t="s">
        <v>16</v>
      </c>
      <c r="K741" s="22" t="s">
        <v>17</v>
      </c>
    </row>
    <row r="742" spans="1:11" s="7" customFormat="1" ht="25.5" x14ac:dyDescent="0.25">
      <c r="A742" s="18">
        <v>741</v>
      </c>
      <c r="B742" s="12" t="s">
        <v>1241</v>
      </c>
      <c r="C742" s="12" t="s">
        <v>31</v>
      </c>
      <c r="D742" s="13" t="s">
        <v>1242</v>
      </c>
      <c r="E742" s="19" t="s">
        <v>14</v>
      </c>
      <c r="F742" s="19">
        <v>5</v>
      </c>
      <c r="G742" s="20">
        <v>35.31</v>
      </c>
      <c r="H742" s="20">
        <f t="shared" si="11"/>
        <v>176.55</v>
      </c>
      <c r="I742" s="12" t="s">
        <v>1011</v>
      </c>
      <c r="J742" s="22" t="s">
        <v>16</v>
      </c>
      <c r="K742" s="22" t="s">
        <v>17</v>
      </c>
    </row>
    <row r="743" spans="1:11" s="7" customFormat="1" ht="25.5" x14ac:dyDescent="0.25">
      <c r="A743" s="18">
        <v>742</v>
      </c>
      <c r="B743" s="12" t="s">
        <v>1243</v>
      </c>
      <c r="C743" s="12" t="s">
        <v>266</v>
      </c>
      <c r="D743" s="13" t="s">
        <v>1244</v>
      </c>
      <c r="E743" s="19" t="s">
        <v>191</v>
      </c>
      <c r="F743" s="19">
        <v>3</v>
      </c>
      <c r="G743" s="20">
        <v>28.95</v>
      </c>
      <c r="H743" s="20">
        <f t="shared" si="11"/>
        <v>86.85</v>
      </c>
      <c r="I743" s="12" t="s">
        <v>1011</v>
      </c>
      <c r="J743" s="22" t="s">
        <v>16</v>
      </c>
      <c r="K743" s="22" t="s">
        <v>17</v>
      </c>
    </row>
    <row r="744" spans="1:11" s="7" customFormat="1" ht="25.5" x14ac:dyDescent="0.25">
      <c r="A744" s="18">
        <v>743</v>
      </c>
      <c r="B744" s="12" t="s">
        <v>1245</v>
      </c>
      <c r="C744" s="12" t="s">
        <v>266</v>
      </c>
      <c r="D744" s="13" t="s">
        <v>1246</v>
      </c>
      <c r="E744" s="19" t="s">
        <v>191</v>
      </c>
      <c r="F744" s="19">
        <v>5</v>
      </c>
      <c r="G744" s="20">
        <v>20.079999999999998</v>
      </c>
      <c r="H744" s="20">
        <f t="shared" si="11"/>
        <v>100.39999999999999</v>
      </c>
      <c r="I744" s="12" t="s">
        <v>1011</v>
      </c>
      <c r="J744" s="22" t="s">
        <v>16</v>
      </c>
      <c r="K744" s="22" t="s">
        <v>17</v>
      </c>
    </row>
    <row r="745" spans="1:11" s="7" customFormat="1" ht="25.5" x14ac:dyDescent="0.25">
      <c r="A745" s="18">
        <v>744</v>
      </c>
      <c r="B745" s="12" t="s">
        <v>1247</v>
      </c>
      <c r="C745" s="12" t="s">
        <v>266</v>
      </c>
      <c r="D745" s="13" t="s">
        <v>1248</v>
      </c>
      <c r="E745" s="19" t="s">
        <v>24</v>
      </c>
      <c r="F745" s="19">
        <v>1</v>
      </c>
      <c r="G745" s="20">
        <v>21.58</v>
      </c>
      <c r="H745" s="20">
        <f t="shared" si="11"/>
        <v>21.58</v>
      </c>
      <c r="I745" s="12" t="s">
        <v>1011</v>
      </c>
      <c r="J745" s="22" t="s">
        <v>16</v>
      </c>
      <c r="K745" s="22" t="s">
        <v>17</v>
      </c>
    </row>
    <row r="746" spans="1:11" s="7" customFormat="1" x14ac:dyDescent="0.25">
      <c r="A746" s="18">
        <v>745</v>
      </c>
      <c r="B746" s="12" t="s">
        <v>1249</v>
      </c>
      <c r="C746" s="12" t="s">
        <v>1250</v>
      </c>
      <c r="D746" s="13" t="s">
        <v>1251</v>
      </c>
      <c r="E746" s="19" t="s">
        <v>14</v>
      </c>
      <c r="F746" s="19">
        <v>1</v>
      </c>
      <c r="G746" s="20">
        <v>256.31</v>
      </c>
      <c r="H746" s="20">
        <f t="shared" si="11"/>
        <v>256.31</v>
      </c>
      <c r="I746" s="12" t="s">
        <v>1011</v>
      </c>
      <c r="J746" s="22" t="s">
        <v>16</v>
      </c>
      <c r="K746" s="22" t="s">
        <v>17</v>
      </c>
    </row>
    <row r="747" spans="1:11" s="7" customFormat="1" x14ac:dyDescent="0.25">
      <c r="A747" s="18">
        <v>746</v>
      </c>
      <c r="B747" s="12" t="s">
        <v>1255</v>
      </c>
      <c r="C747" s="12" t="s">
        <v>290</v>
      </c>
      <c r="D747" s="13" t="s">
        <v>1256</v>
      </c>
      <c r="E747" s="19" t="s">
        <v>14</v>
      </c>
      <c r="F747" s="19">
        <v>2</v>
      </c>
      <c r="G747" s="20">
        <v>5.31</v>
      </c>
      <c r="H747" s="20">
        <f t="shared" si="11"/>
        <v>10.62</v>
      </c>
      <c r="I747" s="12" t="s">
        <v>1011</v>
      </c>
      <c r="J747" s="22" t="s">
        <v>16</v>
      </c>
      <c r="K747" s="22" t="s">
        <v>17</v>
      </c>
    </row>
    <row r="748" spans="1:11" s="7" customFormat="1" ht="25.5" x14ac:dyDescent="0.25">
      <c r="A748" s="18">
        <v>747</v>
      </c>
      <c r="B748" s="12" t="s">
        <v>1257</v>
      </c>
      <c r="C748" s="12" t="s">
        <v>19</v>
      </c>
      <c r="D748" s="13" t="s">
        <v>1258</v>
      </c>
      <c r="E748" s="19" t="s">
        <v>14</v>
      </c>
      <c r="F748" s="19">
        <v>2</v>
      </c>
      <c r="G748" s="20">
        <v>5.15</v>
      </c>
      <c r="H748" s="20">
        <f t="shared" si="11"/>
        <v>10.3</v>
      </c>
      <c r="I748" s="12" t="s">
        <v>1011</v>
      </c>
      <c r="J748" s="22" t="s">
        <v>16</v>
      </c>
      <c r="K748" s="22" t="s">
        <v>17</v>
      </c>
    </row>
    <row r="749" spans="1:11" s="7" customFormat="1" ht="25.5" x14ac:dyDescent="0.25">
      <c r="A749" s="18">
        <v>748</v>
      </c>
      <c r="B749" s="12" t="s">
        <v>1259</v>
      </c>
      <c r="C749" s="12" t="s">
        <v>39</v>
      </c>
      <c r="D749" s="13" t="s">
        <v>1260</v>
      </c>
      <c r="E749" s="19" t="s">
        <v>14</v>
      </c>
      <c r="F749" s="19">
        <v>1</v>
      </c>
      <c r="G749" s="20">
        <v>137.63999999999999</v>
      </c>
      <c r="H749" s="20">
        <f t="shared" si="11"/>
        <v>137.63999999999999</v>
      </c>
      <c r="I749" s="12" t="s">
        <v>1011</v>
      </c>
      <c r="J749" s="22" t="s">
        <v>16</v>
      </c>
      <c r="K749" s="22" t="s">
        <v>17</v>
      </c>
    </row>
    <row r="750" spans="1:11" s="7" customFormat="1" x14ac:dyDescent="0.25">
      <c r="A750" s="18">
        <v>749</v>
      </c>
      <c r="B750" s="12" t="s">
        <v>1261</v>
      </c>
      <c r="C750" s="12" t="s">
        <v>39</v>
      </c>
      <c r="D750" s="13" t="s">
        <v>1262</v>
      </c>
      <c r="E750" s="19" t="s">
        <v>24</v>
      </c>
      <c r="F750" s="19">
        <v>3</v>
      </c>
      <c r="G750" s="20">
        <v>26.9</v>
      </c>
      <c r="H750" s="20">
        <f t="shared" si="11"/>
        <v>80.699999999999989</v>
      </c>
      <c r="I750" s="12" t="s">
        <v>1011</v>
      </c>
      <c r="J750" s="22" t="s">
        <v>16</v>
      </c>
      <c r="K750" s="22" t="s">
        <v>17</v>
      </c>
    </row>
    <row r="751" spans="1:11" x14ac:dyDescent="0.25">
      <c r="A751" s="18">
        <v>750</v>
      </c>
      <c r="B751" s="12" t="s">
        <v>1263</v>
      </c>
      <c r="C751" s="12" t="s">
        <v>39</v>
      </c>
      <c r="D751" s="13" t="s">
        <v>1264</v>
      </c>
      <c r="E751" s="19" t="s">
        <v>14</v>
      </c>
      <c r="F751" s="19">
        <v>5</v>
      </c>
      <c r="G751" s="20">
        <v>275</v>
      </c>
      <c r="H751" s="20">
        <f t="shared" si="11"/>
        <v>1375</v>
      </c>
      <c r="I751" s="12" t="s">
        <v>1011</v>
      </c>
      <c r="J751" s="22" t="s">
        <v>16</v>
      </c>
      <c r="K751" s="22" t="s">
        <v>17</v>
      </c>
    </row>
    <row r="752" spans="1:11" ht="25.5" x14ac:dyDescent="0.25">
      <c r="A752" s="18">
        <v>751</v>
      </c>
      <c r="B752" s="12" t="s">
        <v>1265</v>
      </c>
      <c r="C752" s="12" t="s">
        <v>39</v>
      </c>
      <c r="D752" s="12" t="s">
        <v>1266</v>
      </c>
      <c r="E752" s="19" t="s">
        <v>14</v>
      </c>
      <c r="F752" s="19">
        <v>4</v>
      </c>
      <c r="G752" s="20">
        <v>463.34</v>
      </c>
      <c r="H752" s="20">
        <f t="shared" si="11"/>
        <v>1853.36</v>
      </c>
      <c r="I752" s="12" t="s">
        <v>1011</v>
      </c>
      <c r="J752" s="22" t="s">
        <v>16</v>
      </c>
      <c r="K752" s="22" t="s">
        <v>17</v>
      </c>
    </row>
    <row r="753" spans="1:11" ht="25.5" x14ac:dyDescent="0.25">
      <c r="A753" s="18">
        <v>752</v>
      </c>
      <c r="B753" s="12" t="s">
        <v>983</v>
      </c>
      <c r="C753" s="12" t="s">
        <v>39</v>
      </c>
      <c r="D753" s="13" t="s">
        <v>984</v>
      </c>
      <c r="E753" s="19" t="s">
        <v>14</v>
      </c>
      <c r="F753" s="19">
        <v>6</v>
      </c>
      <c r="G753" s="20">
        <v>1617.27</v>
      </c>
      <c r="H753" s="20">
        <f t="shared" si="11"/>
        <v>9703.619999999999</v>
      </c>
      <c r="I753" s="12" t="s">
        <v>1011</v>
      </c>
      <c r="J753" s="22" t="s">
        <v>16</v>
      </c>
      <c r="K753" s="22" t="s">
        <v>17</v>
      </c>
    </row>
    <row r="754" spans="1:11" x14ac:dyDescent="0.25">
      <c r="A754" s="18">
        <v>753</v>
      </c>
      <c r="B754" s="12" t="s">
        <v>1267</v>
      </c>
      <c r="C754" s="12" t="s">
        <v>1003</v>
      </c>
      <c r="D754" s="13" t="s">
        <v>1268</v>
      </c>
      <c r="E754" s="19" t="s">
        <v>14</v>
      </c>
      <c r="F754" s="19">
        <v>2</v>
      </c>
      <c r="G754" s="20">
        <v>16.11</v>
      </c>
      <c r="H754" s="20">
        <f t="shared" si="11"/>
        <v>32.22</v>
      </c>
      <c r="I754" s="12" t="s">
        <v>1011</v>
      </c>
      <c r="J754" s="22" t="s">
        <v>16</v>
      </c>
      <c r="K754" s="22" t="s">
        <v>17</v>
      </c>
    </row>
    <row r="755" spans="1:11" x14ac:dyDescent="0.25">
      <c r="A755" s="18">
        <v>754</v>
      </c>
      <c r="B755" s="12" t="s">
        <v>1269</v>
      </c>
      <c r="C755" s="12" t="s">
        <v>1003</v>
      </c>
      <c r="D755" s="13" t="s">
        <v>1270</v>
      </c>
      <c r="E755" s="19" t="s">
        <v>14</v>
      </c>
      <c r="F755" s="19">
        <v>11</v>
      </c>
      <c r="G755" s="20">
        <v>16.899999999999999</v>
      </c>
      <c r="H755" s="20">
        <f t="shared" si="11"/>
        <v>185.89999999999998</v>
      </c>
      <c r="I755" s="12" t="s">
        <v>1011</v>
      </c>
      <c r="J755" s="22" t="s">
        <v>16</v>
      </c>
      <c r="K755" s="22" t="s">
        <v>17</v>
      </c>
    </row>
    <row r="756" spans="1:11" x14ac:dyDescent="0.25">
      <c r="A756" s="18">
        <v>755</v>
      </c>
      <c r="B756" s="12" t="s">
        <v>1271</v>
      </c>
      <c r="C756" s="12" t="s">
        <v>659</v>
      </c>
      <c r="D756" s="13" t="s">
        <v>1272</v>
      </c>
      <c r="E756" s="19" t="s">
        <v>236</v>
      </c>
      <c r="F756" s="19">
        <v>1</v>
      </c>
      <c r="G756" s="20">
        <v>11.95</v>
      </c>
      <c r="H756" s="20">
        <f t="shared" si="11"/>
        <v>11.95</v>
      </c>
      <c r="I756" s="12" t="s">
        <v>1011</v>
      </c>
      <c r="J756" s="22" t="s">
        <v>16</v>
      </c>
      <c r="K756" s="22" t="s">
        <v>17</v>
      </c>
    </row>
    <row r="757" spans="1:11" x14ac:dyDescent="0.25">
      <c r="A757" s="18">
        <v>756</v>
      </c>
      <c r="B757" s="12" t="s">
        <v>1273</v>
      </c>
      <c r="C757" s="12" t="s">
        <v>659</v>
      </c>
      <c r="D757" s="13" t="s">
        <v>1274</v>
      </c>
      <c r="E757" s="19" t="s">
        <v>236</v>
      </c>
      <c r="F757" s="19">
        <v>1</v>
      </c>
      <c r="G757" s="20">
        <v>11.95</v>
      </c>
      <c r="H757" s="20">
        <f t="shared" si="11"/>
        <v>11.95</v>
      </c>
      <c r="I757" s="12" t="s">
        <v>1011</v>
      </c>
      <c r="J757" s="22" t="s">
        <v>16</v>
      </c>
      <c r="K757" s="22" t="s">
        <v>17</v>
      </c>
    </row>
    <row r="758" spans="1:11" x14ac:dyDescent="0.25">
      <c r="A758" s="18">
        <v>757</v>
      </c>
      <c r="B758" s="12" t="s">
        <v>1275</v>
      </c>
      <c r="C758" s="12" t="s">
        <v>659</v>
      </c>
      <c r="D758" s="13" t="s">
        <v>1276</v>
      </c>
      <c r="E758" s="19" t="s">
        <v>236</v>
      </c>
      <c r="F758" s="19">
        <v>1</v>
      </c>
      <c r="G758" s="20">
        <v>11.95</v>
      </c>
      <c r="H758" s="20">
        <f t="shared" si="11"/>
        <v>11.95</v>
      </c>
      <c r="I758" s="12" t="s">
        <v>1011</v>
      </c>
      <c r="J758" s="22" t="s">
        <v>16</v>
      </c>
      <c r="K758" s="22" t="s">
        <v>17</v>
      </c>
    </row>
    <row r="759" spans="1:11" x14ac:dyDescent="0.25">
      <c r="A759" s="18">
        <v>758</v>
      </c>
      <c r="B759" s="12" t="s">
        <v>1277</v>
      </c>
      <c r="C759" s="12" t="s">
        <v>31</v>
      </c>
      <c r="D759" s="13" t="s">
        <v>1278</v>
      </c>
      <c r="E759" s="19" t="s">
        <v>14</v>
      </c>
      <c r="F759" s="19">
        <v>60</v>
      </c>
      <c r="G759" s="20">
        <v>2.21</v>
      </c>
      <c r="H759" s="20">
        <f t="shared" si="11"/>
        <v>132.6</v>
      </c>
      <c r="I759" s="12" t="s">
        <v>1011</v>
      </c>
      <c r="J759" s="22" t="s">
        <v>16</v>
      </c>
      <c r="K759" s="22" t="s">
        <v>17</v>
      </c>
    </row>
    <row r="760" spans="1:11" x14ac:dyDescent="0.25">
      <c r="A760" s="18">
        <v>759</v>
      </c>
      <c r="B760" s="12" t="s">
        <v>1279</v>
      </c>
      <c r="C760" s="12" t="s">
        <v>31</v>
      </c>
      <c r="D760" s="13" t="s">
        <v>1280</v>
      </c>
      <c r="E760" s="19" t="s">
        <v>14</v>
      </c>
      <c r="F760" s="19">
        <v>60</v>
      </c>
      <c r="G760" s="20">
        <v>2.21</v>
      </c>
      <c r="H760" s="20">
        <f t="shared" si="11"/>
        <v>132.6</v>
      </c>
      <c r="I760" s="12" t="s">
        <v>1011</v>
      </c>
      <c r="J760" s="22" t="s">
        <v>16</v>
      </c>
      <c r="K760" s="22" t="s">
        <v>17</v>
      </c>
    </row>
    <row r="761" spans="1:11" x14ac:dyDescent="0.25">
      <c r="A761" s="18">
        <v>760</v>
      </c>
      <c r="B761" s="12" t="s">
        <v>1281</v>
      </c>
      <c r="C761" s="12" t="s">
        <v>31</v>
      </c>
      <c r="D761" s="13" t="s">
        <v>1282</v>
      </c>
      <c r="E761" s="19" t="s">
        <v>14</v>
      </c>
      <c r="F761" s="19">
        <v>60</v>
      </c>
      <c r="G761" s="20">
        <v>2.21</v>
      </c>
      <c r="H761" s="20">
        <f t="shared" si="11"/>
        <v>132.6</v>
      </c>
      <c r="I761" s="12" t="s">
        <v>1011</v>
      </c>
      <c r="J761" s="22" t="s">
        <v>16</v>
      </c>
      <c r="K761" s="22" t="s">
        <v>17</v>
      </c>
    </row>
    <row r="762" spans="1:11" x14ac:dyDescent="0.25">
      <c r="A762" s="18">
        <v>761</v>
      </c>
      <c r="B762" s="12" t="s">
        <v>1283</v>
      </c>
      <c r="C762" s="12" t="s">
        <v>1058</v>
      </c>
      <c r="D762" s="13" t="s">
        <v>1284</v>
      </c>
      <c r="E762" s="19" t="s">
        <v>14</v>
      </c>
      <c r="F762" s="19">
        <v>10</v>
      </c>
      <c r="G762" s="20">
        <v>7.77</v>
      </c>
      <c r="H762" s="20">
        <f t="shared" si="11"/>
        <v>77.699999999999989</v>
      </c>
      <c r="I762" s="12" t="s">
        <v>1011</v>
      </c>
      <c r="J762" s="22" t="s">
        <v>16</v>
      </c>
      <c r="K762" s="22" t="s">
        <v>17</v>
      </c>
    </row>
    <row r="763" spans="1:11" x14ac:dyDescent="0.25">
      <c r="A763" s="18">
        <v>762</v>
      </c>
      <c r="B763" s="12" t="s">
        <v>1285</v>
      </c>
      <c r="C763" s="12" t="s">
        <v>1286</v>
      </c>
      <c r="D763" s="13" t="s">
        <v>1287</v>
      </c>
      <c r="E763" s="19" t="s">
        <v>24</v>
      </c>
      <c r="F763" s="19">
        <v>4</v>
      </c>
      <c r="G763" s="20">
        <v>7.47</v>
      </c>
      <c r="H763" s="20">
        <f t="shared" si="11"/>
        <v>29.88</v>
      </c>
      <c r="I763" s="12" t="s">
        <v>1011</v>
      </c>
      <c r="J763" s="22" t="s">
        <v>16</v>
      </c>
      <c r="K763" s="22" t="s">
        <v>17</v>
      </c>
    </row>
    <row r="764" spans="1:11" ht="25.5" x14ac:dyDescent="0.25">
      <c r="A764" s="18">
        <v>763</v>
      </c>
      <c r="B764" s="12" t="s">
        <v>1288</v>
      </c>
      <c r="C764" s="12" t="s">
        <v>1289</v>
      </c>
      <c r="D764" s="13" t="s">
        <v>1290</v>
      </c>
      <c r="E764" s="19" t="s">
        <v>24</v>
      </c>
      <c r="F764" s="19">
        <v>10</v>
      </c>
      <c r="G764" s="20">
        <v>37.25</v>
      </c>
      <c r="H764" s="20">
        <f t="shared" si="11"/>
        <v>372.5</v>
      </c>
      <c r="I764" s="12" t="s">
        <v>1011</v>
      </c>
      <c r="J764" s="22" t="s">
        <v>16</v>
      </c>
      <c r="K764" s="22" t="s">
        <v>17</v>
      </c>
    </row>
    <row r="765" spans="1:11" x14ac:dyDescent="0.25">
      <c r="A765" s="18">
        <v>764</v>
      </c>
      <c r="B765" s="12" t="s">
        <v>1291</v>
      </c>
      <c r="C765" s="12" t="s">
        <v>290</v>
      </c>
      <c r="D765" s="13" t="s">
        <v>1292</v>
      </c>
      <c r="E765" s="19" t="s">
        <v>14</v>
      </c>
      <c r="F765" s="19">
        <v>8</v>
      </c>
      <c r="G765" s="20">
        <v>17.05</v>
      </c>
      <c r="H765" s="20">
        <f t="shared" si="11"/>
        <v>136.4</v>
      </c>
      <c r="I765" s="12" t="s">
        <v>1011</v>
      </c>
      <c r="J765" s="22" t="s">
        <v>16</v>
      </c>
      <c r="K765" s="22" t="s">
        <v>17</v>
      </c>
    </row>
    <row r="766" spans="1:11" x14ac:dyDescent="0.25">
      <c r="A766" s="18">
        <v>765</v>
      </c>
      <c r="B766" s="12" t="s">
        <v>1293</v>
      </c>
      <c r="C766" s="12" t="s">
        <v>977</v>
      </c>
      <c r="D766" s="13" t="s">
        <v>1294</v>
      </c>
      <c r="E766" s="19" t="s">
        <v>24</v>
      </c>
      <c r="F766" s="19">
        <v>1</v>
      </c>
      <c r="G766" s="20">
        <v>67.069999999999993</v>
      </c>
      <c r="H766" s="20">
        <f t="shared" si="11"/>
        <v>67.069999999999993</v>
      </c>
      <c r="I766" s="12" t="s">
        <v>1011</v>
      </c>
      <c r="J766" s="22" t="s">
        <v>16</v>
      </c>
      <c r="K766" s="22" t="s">
        <v>17</v>
      </c>
    </row>
    <row r="767" spans="1:11" ht="25.5" x14ac:dyDescent="0.25">
      <c r="A767" s="18">
        <v>766</v>
      </c>
      <c r="B767" s="12" t="s">
        <v>1295</v>
      </c>
      <c r="C767" s="12" t="s">
        <v>1296</v>
      </c>
      <c r="D767" s="12" t="s">
        <v>1297</v>
      </c>
      <c r="E767" s="19" t="s">
        <v>68</v>
      </c>
      <c r="F767" s="19">
        <v>6</v>
      </c>
      <c r="G767" s="20">
        <v>14.29</v>
      </c>
      <c r="H767" s="20">
        <f t="shared" si="11"/>
        <v>85.74</v>
      </c>
      <c r="I767" s="14" t="s">
        <v>1298</v>
      </c>
      <c r="J767" s="22" t="s">
        <v>16</v>
      </c>
      <c r="K767" s="22" t="s">
        <v>17</v>
      </c>
    </row>
    <row r="768" spans="1:11" ht="25.5" x14ac:dyDescent="0.25">
      <c r="A768" s="18">
        <v>767</v>
      </c>
      <c r="B768" s="12" t="s">
        <v>1299</v>
      </c>
      <c r="C768" s="12" t="s">
        <v>1296</v>
      </c>
      <c r="D768" s="12" t="s">
        <v>1300</v>
      </c>
      <c r="E768" s="19" t="s">
        <v>68</v>
      </c>
      <c r="F768" s="19">
        <v>110</v>
      </c>
      <c r="G768" s="20">
        <v>7.83</v>
      </c>
      <c r="H768" s="20">
        <f t="shared" si="11"/>
        <v>861.3</v>
      </c>
      <c r="I768" s="14" t="s">
        <v>1298</v>
      </c>
      <c r="J768" s="22" t="s">
        <v>16</v>
      </c>
      <c r="K768" s="22" t="s">
        <v>17</v>
      </c>
    </row>
    <row r="769" spans="1:11" x14ac:dyDescent="0.25">
      <c r="A769" s="18">
        <v>768</v>
      </c>
      <c r="B769" s="12" t="s">
        <v>1338</v>
      </c>
      <c r="C769" s="12" t="s">
        <v>1296</v>
      </c>
      <c r="D769" s="13" t="s">
        <v>1441</v>
      </c>
      <c r="E769" s="19" t="s">
        <v>68</v>
      </c>
      <c r="F769" s="19">
        <v>120</v>
      </c>
      <c r="G769" s="20">
        <v>4.2699999999999996</v>
      </c>
      <c r="H769" s="20">
        <f t="shared" si="11"/>
        <v>512.4</v>
      </c>
      <c r="I769" s="12" t="s">
        <v>1339</v>
      </c>
      <c r="J769" s="22" t="s">
        <v>16</v>
      </c>
      <c r="K769" s="22" t="s">
        <v>17</v>
      </c>
    </row>
    <row r="770" spans="1:11" x14ac:dyDescent="0.25">
      <c r="A770" s="18">
        <v>769</v>
      </c>
      <c r="B770" s="12" t="s">
        <v>1338</v>
      </c>
      <c r="C770" s="12" t="s">
        <v>1296</v>
      </c>
      <c r="D770" s="13" t="s">
        <v>1441</v>
      </c>
      <c r="E770" s="19" t="s">
        <v>68</v>
      </c>
      <c r="F770" s="19">
        <v>35</v>
      </c>
      <c r="G770" s="20">
        <v>4.2699999999999996</v>
      </c>
      <c r="H770" s="20">
        <f t="shared" ref="H770:H792" si="12">F770*G770</f>
        <v>149.44999999999999</v>
      </c>
      <c r="I770" s="12" t="s">
        <v>1339</v>
      </c>
      <c r="J770" s="22" t="s">
        <v>16</v>
      </c>
      <c r="K770" s="22" t="s">
        <v>17</v>
      </c>
    </row>
    <row r="771" spans="1:11" x14ac:dyDescent="0.25">
      <c r="A771" s="18">
        <v>770</v>
      </c>
      <c r="B771" s="12" t="s">
        <v>1439</v>
      </c>
      <c r="C771" s="12" t="s">
        <v>1296</v>
      </c>
      <c r="D771" s="13" t="s">
        <v>1440</v>
      </c>
      <c r="E771" s="19" t="s">
        <v>68</v>
      </c>
      <c r="F771" s="19">
        <v>25</v>
      </c>
      <c r="G771" s="20">
        <v>9.7999999999999989</v>
      </c>
      <c r="H771" s="20">
        <f t="shared" si="12"/>
        <v>244.99999999999997</v>
      </c>
      <c r="I771" s="12" t="s">
        <v>1339</v>
      </c>
      <c r="J771" s="22" t="s">
        <v>16</v>
      </c>
      <c r="K771" s="22" t="s">
        <v>17</v>
      </c>
    </row>
    <row r="772" spans="1:11" ht="25.5" x14ac:dyDescent="0.25">
      <c r="A772" s="18">
        <v>771</v>
      </c>
      <c r="B772" s="12" t="s">
        <v>1356</v>
      </c>
      <c r="C772" s="12" t="s">
        <v>1296</v>
      </c>
      <c r="D772" s="13" t="s">
        <v>1357</v>
      </c>
      <c r="E772" s="19" t="s">
        <v>68</v>
      </c>
      <c r="F772" s="19">
        <v>60</v>
      </c>
      <c r="G772" s="20">
        <v>9.6</v>
      </c>
      <c r="H772" s="20">
        <f t="shared" si="12"/>
        <v>576</v>
      </c>
      <c r="I772" s="12" t="s">
        <v>1339</v>
      </c>
      <c r="J772" s="22" t="s">
        <v>16</v>
      </c>
      <c r="K772" s="22" t="s">
        <v>17</v>
      </c>
    </row>
    <row r="773" spans="1:11" x14ac:dyDescent="0.25">
      <c r="A773" s="18">
        <v>772</v>
      </c>
      <c r="B773" s="12" t="s">
        <v>1429</v>
      </c>
      <c r="C773" s="12" t="s">
        <v>1296</v>
      </c>
      <c r="D773" s="13" t="s">
        <v>1430</v>
      </c>
      <c r="E773" s="19" t="s">
        <v>68</v>
      </c>
      <c r="F773" s="19">
        <v>25</v>
      </c>
      <c r="G773" s="20">
        <v>65.680000000000007</v>
      </c>
      <c r="H773" s="20">
        <f t="shared" si="12"/>
        <v>1642.0000000000002</v>
      </c>
      <c r="I773" s="12" t="s">
        <v>1339</v>
      </c>
      <c r="J773" s="22" t="s">
        <v>16</v>
      </c>
      <c r="K773" s="22" t="s">
        <v>17</v>
      </c>
    </row>
    <row r="774" spans="1:11" x14ac:dyDescent="0.25">
      <c r="A774" s="18">
        <v>773</v>
      </c>
      <c r="B774" s="12" t="s">
        <v>1433</v>
      </c>
      <c r="C774" s="12" t="s">
        <v>1296</v>
      </c>
      <c r="D774" s="13" t="s">
        <v>1434</v>
      </c>
      <c r="E774" s="19" t="s">
        <v>68</v>
      </c>
      <c r="F774" s="19">
        <v>75</v>
      </c>
      <c r="G774" s="20">
        <v>21.37</v>
      </c>
      <c r="H774" s="20">
        <f t="shared" si="12"/>
        <v>1602.75</v>
      </c>
      <c r="I774" s="12" t="s">
        <v>1339</v>
      </c>
      <c r="J774" s="22" t="s">
        <v>16</v>
      </c>
      <c r="K774" s="22" t="s">
        <v>17</v>
      </c>
    </row>
    <row r="775" spans="1:11" ht="25.5" x14ac:dyDescent="0.25">
      <c r="A775" s="18">
        <v>774</v>
      </c>
      <c r="B775" s="12" t="s">
        <v>1295</v>
      </c>
      <c r="C775" s="12" t="s">
        <v>1296</v>
      </c>
      <c r="D775" s="13" t="s">
        <v>1297</v>
      </c>
      <c r="E775" s="19" t="s">
        <v>68</v>
      </c>
      <c r="F775" s="19">
        <v>80</v>
      </c>
      <c r="G775" s="20">
        <v>14.29</v>
      </c>
      <c r="H775" s="20">
        <f t="shared" si="12"/>
        <v>1143.1999999999998</v>
      </c>
      <c r="I775" s="12" t="s">
        <v>1339</v>
      </c>
      <c r="J775" s="19" t="s">
        <v>16</v>
      </c>
      <c r="K775" s="19" t="s">
        <v>17</v>
      </c>
    </row>
    <row r="776" spans="1:11" x14ac:dyDescent="0.25">
      <c r="A776" s="18">
        <v>775</v>
      </c>
      <c r="B776" s="12" t="s">
        <v>1340</v>
      </c>
      <c r="C776" s="12" t="s">
        <v>1296</v>
      </c>
      <c r="D776" s="13" t="s">
        <v>1341</v>
      </c>
      <c r="E776" s="19" t="s">
        <v>68</v>
      </c>
      <c r="F776" s="19">
        <v>250</v>
      </c>
      <c r="G776" s="20">
        <v>3.58</v>
      </c>
      <c r="H776" s="20">
        <f t="shared" si="12"/>
        <v>895</v>
      </c>
      <c r="I776" s="12" t="s">
        <v>1339</v>
      </c>
      <c r="J776" s="22" t="s">
        <v>16</v>
      </c>
      <c r="K776" s="22" t="s">
        <v>17</v>
      </c>
    </row>
    <row r="777" spans="1:11" x14ac:dyDescent="0.25">
      <c r="A777" s="18">
        <v>776</v>
      </c>
      <c r="B777" s="12" t="s">
        <v>1433</v>
      </c>
      <c r="C777" s="12" t="s">
        <v>1296</v>
      </c>
      <c r="D777" s="13" t="s">
        <v>1434</v>
      </c>
      <c r="E777" s="19" t="s">
        <v>68</v>
      </c>
      <c r="F777" s="19">
        <v>50</v>
      </c>
      <c r="G777" s="20">
        <v>21.37</v>
      </c>
      <c r="H777" s="20">
        <f t="shared" si="12"/>
        <v>1068.5</v>
      </c>
      <c r="I777" s="12" t="s">
        <v>1603</v>
      </c>
      <c r="J777" s="22" t="s">
        <v>16</v>
      </c>
      <c r="K777" s="22" t="s">
        <v>17</v>
      </c>
    </row>
    <row r="778" spans="1:11" x14ac:dyDescent="0.25">
      <c r="A778" s="18">
        <v>777</v>
      </c>
      <c r="B778" s="12" t="s">
        <v>1442</v>
      </c>
      <c r="C778" s="12" t="s">
        <v>1296</v>
      </c>
      <c r="D778" s="13" t="s">
        <v>1443</v>
      </c>
      <c r="E778" s="19" t="s">
        <v>68</v>
      </c>
      <c r="F778" s="19">
        <v>37</v>
      </c>
      <c r="G778" s="20">
        <v>5.3</v>
      </c>
      <c r="H778" s="20">
        <f t="shared" si="12"/>
        <v>196.1</v>
      </c>
      <c r="I778" s="12" t="s">
        <v>1600</v>
      </c>
      <c r="J778" s="22" t="s">
        <v>16</v>
      </c>
      <c r="K778" s="22" t="s">
        <v>17</v>
      </c>
    </row>
    <row r="779" spans="1:11" x14ac:dyDescent="0.25">
      <c r="A779" s="18">
        <v>778</v>
      </c>
      <c r="B779" s="12" t="s">
        <v>1433</v>
      </c>
      <c r="C779" s="12" t="s">
        <v>1296</v>
      </c>
      <c r="D779" s="13" t="s">
        <v>1434</v>
      </c>
      <c r="E779" s="19" t="s">
        <v>68</v>
      </c>
      <c r="F779" s="19">
        <v>20</v>
      </c>
      <c r="G779" s="20">
        <v>21.37</v>
      </c>
      <c r="H779" s="20">
        <f t="shared" si="12"/>
        <v>427.40000000000003</v>
      </c>
      <c r="I779" s="12" t="s">
        <v>1601</v>
      </c>
      <c r="J779" s="22" t="s">
        <v>16</v>
      </c>
      <c r="K779" s="22" t="s">
        <v>17</v>
      </c>
    </row>
    <row r="780" spans="1:11" x14ac:dyDescent="0.25">
      <c r="A780" s="18">
        <v>779</v>
      </c>
      <c r="B780" s="12" t="s">
        <v>1446</v>
      </c>
      <c r="C780" s="12" t="s">
        <v>1296</v>
      </c>
      <c r="D780" s="13" t="s">
        <v>1447</v>
      </c>
      <c r="E780" s="19" t="s">
        <v>68</v>
      </c>
      <c r="F780" s="19">
        <v>90</v>
      </c>
      <c r="G780" s="20">
        <v>36.629999999999995</v>
      </c>
      <c r="H780" s="20">
        <f t="shared" si="12"/>
        <v>3296.7</v>
      </c>
      <c r="I780" s="12" t="s">
        <v>1601</v>
      </c>
      <c r="J780" s="22" t="s">
        <v>16</v>
      </c>
      <c r="K780" s="22" t="s">
        <v>17</v>
      </c>
    </row>
    <row r="781" spans="1:11" x14ac:dyDescent="0.25">
      <c r="A781" s="18">
        <v>780</v>
      </c>
      <c r="B781" s="12" t="s">
        <v>1437</v>
      </c>
      <c r="C781" s="12" t="s">
        <v>1296</v>
      </c>
      <c r="D781" s="13" t="s">
        <v>1438</v>
      </c>
      <c r="E781" s="19" t="s">
        <v>68</v>
      </c>
      <c r="F781" s="19">
        <v>90</v>
      </c>
      <c r="G781" s="20">
        <v>6.09</v>
      </c>
      <c r="H781" s="20">
        <f t="shared" si="12"/>
        <v>548.1</v>
      </c>
      <c r="I781" s="12" t="s">
        <v>1599</v>
      </c>
      <c r="J781" s="22" t="s">
        <v>16</v>
      </c>
      <c r="K781" s="22" t="s">
        <v>17</v>
      </c>
    </row>
    <row r="782" spans="1:11" x14ac:dyDescent="0.25">
      <c r="A782" s="18">
        <v>781</v>
      </c>
      <c r="B782" s="12" t="s">
        <v>1439</v>
      </c>
      <c r="C782" s="12" t="s">
        <v>1296</v>
      </c>
      <c r="D782" s="13" t="s">
        <v>1440</v>
      </c>
      <c r="E782" s="19" t="s">
        <v>68</v>
      </c>
      <c r="F782" s="19">
        <v>6</v>
      </c>
      <c r="G782" s="20">
        <v>9.8000000000000007</v>
      </c>
      <c r="H782" s="20">
        <f t="shared" si="12"/>
        <v>58.800000000000004</v>
      </c>
      <c r="I782" s="12" t="s">
        <v>1599</v>
      </c>
      <c r="J782" s="22" t="s">
        <v>16</v>
      </c>
      <c r="K782" s="22" t="s">
        <v>17</v>
      </c>
    </row>
    <row r="783" spans="1:11" x14ac:dyDescent="0.25">
      <c r="A783" s="18">
        <v>782</v>
      </c>
      <c r="B783" s="12" t="s">
        <v>1304</v>
      </c>
      <c r="C783" s="12" t="s">
        <v>1305</v>
      </c>
      <c r="D783" s="13" t="s">
        <v>1306</v>
      </c>
      <c r="E783" s="19" t="s">
        <v>14</v>
      </c>
      <c r="F783" s="19">
        <v>1</v>
      </c>
      <c r="G783" s="20">
        <v>4675</v>
      </c>
      <c r="H783" s="20">
        <f t="shared" si="12"/>
        <v>4675</v>
      </c>
      <c r="I783" s="12" t="s">
        <v>1307</v>
      </c>
      <c r="J783" s="21" t="s">
        <v>307</v>
      </c>
      <c r="K783" s="22" t="s">
        <v>1308</v>
      </c>
    </row>
    <row r="784" spans="1:11" x14ac:dyDescent="0.25">
      <c r="A784" s="18">
        <v>783</v>
      </c>
      <c r="B784" s="12" t="s">
        <v>1304</v>
      </c>
      <c r="C784" s="12" t="s">
        <v>1305</v>
      </c>
      <c r="D784" s="13" t="s">
        <v>1309</v>
      </c>
      <c r="E784" s="19" t="s">
        <v>14</v>
      </c>
      <c r="F784" s="19">
        <v>1</v>
      </c>
      <c r="G784" s="20">
        <v>4675</v>
      </c>
      <c r="H784" s="20">
        <f t="shared" si="12"/>
        <v>4675</v>
      </c>
      <c r="I784" s="12" t="s">
        <v>1307</v>
      </c>
      <c r="J784" s="22" t="s">
        <v>307</v>
      </c>
      <c r="K784" s="22" t="s">
        <v>1308</v>
      </c>
    </row>
    <row r="785" spans="1:11" x14ac:dyDescent="0.25">
      <c r="A785" s="18">
        <v>784</v>
      </c>
      <c r="B785" s="12" t="s">
        <v>1304</v>
      </c>
      <c r="C785" s="12" t="s">
        <v>1305</v>
      </c>
      <c r="D785" s="13" t="s">
        <v>1310</v>
      </c>
      <c r="E785" s="19" t="s">
        <v>14</v>
      </c>
      <c r="F785" s="19">
        <v>1</v>
      </c>
      <c r="G785" s="20">
        <v>4675</v>
      </c>
      <c r="H785" s="20">
        <f t="shared" si="12"/>
        <v>4675</v>
      </c>
      <c r="I785" s="12" t="s">
        <v>1307</v>
      </c>
      <c r="J785" s="22" t="s">
        <v>307</v>
      </c>
      <c r="K785" s="22" t="s">
        <v>1308</v>
      </c>
    </row>
    <row r="786" spans="1:11" x14ac:dyDescent="0.25">
      <c r="A786" s="18">
        <v>785</v>
      </c>
      <c r="B786" s="12" t="s">
        <v>1304</v>
      </c>
      <c r="C786" s="12" t="s">
        <v>1305</v>
      </c>
      <c r="D786" s="13" t="s">
        <v>1311</v>
      </c>
      <c r="E786" s="19" t="s">
        <v>14</v>
      </c>
      <c r="F786" s="19">
        <v>1</v>
      </c>
      <c r="G786" s="20">
        <v>4675</v>
      </c>
      <c r="H786" s="20">
        <f t="shared" si="12"/>
        <v>4675</v>
      </c>
      <c r="I786" s="12" t="s">
        <v>1307</v>
      </c>
      <c r="J786" s="22" t="s">
        <v>307</v>
      </c>
      <c r="K786" s="22" t="s">
        <v>1308</v>
      </c>
    </row>
    <row r="787" spans="1:11" x14ac:dyDescent="0.25">
      <c r="A787" s="18">
        <v>786</v>
      </c>
      <c r="B787" s="12" t="s">
        <v>1304</v>
      </c>
      <c r="C787" s="12" t="s">
        <v>1305</v>
      </c>
      <c r="D787" s="13" t="s">
        <v>1312</v>
      </c>
      <c r="E787" s="19" t="s">
        <v>14</v>
      </c>
      <c r="F787" s="19">
        <v>1</v>
      </c>
      <c r="G787" s="20">
        <v>4675</v>
      </c>
      <c r="H787" s="20">
        <f t="shared" si="12"/>
        <v>4675</v>
      </c>
      <c r="I787" s="12" t="s">
        <v>1307</v>
      </c>
      <c r="J787" s="22" t="s">
        <v>307</v>
      </c>
      <c r="K787" s="22" t="s">
        <v>1308</v>
      </c>
    </row>
    <row r="788" spans="1:11" x14ac:dyDescent="0.25">
      <c r="A788" s="18">
        <v>787</v>
      </c>
      <c r="B788" s="12" t="s">
        <v>1321</v>
      </c>
      <c r="C788" s="12" t="s">
        <v>1322</v>
      </c>
      <c r="D788" s="12" t="s">
        <v>1320</v>
      </c>
      <c r="E788" s="19" t="s">
        <v>191</v>
      </c>
      <c r="F788" s="19">
        <v>1</v>
      </c>
      <c r="G788" s="20">
        <v>1555.9</v>
      </c>
      <c r="H788" s="20">
        <f t="shared" si="12"/>
        <v>1555.9</v>
      </c>
      <c r="I788" s="14" t="s">
        <v>1597</v>
      </c>
      <c r="J788" s="22" t="s">
        <v>307</v>
      </c>
      <c r="K788" s="22" t="s">
        <v>308</v>
      </c>
    </row>
    <row r="789" spans="1:11" x14ac:dyDescent="0.25">
      <c r="A789" s="18">
        <v>788</v>
      </c>
      <c r="B789" s="12" t="s">
        <v>1327</v>
      </c>
      <c r="C789" s="12" t="s">
        <v>550</v>
      </c>
      <c r="D789" s="13" t="s">
        <v>1328</v>
      </c>
      <c r="E789" s="19" t="s">
        <v>14</v>
      </c>
      <c r="F789" s="19">
        <v>1</v>
      </c>
      <c r="G789" s="20">
        <v>421.92</v>
      </c>
      <c r="H789" s="20">
        <f t="shared" si="12"/>
        <v>421.92</v>
      </c>
      <c r="I789" s="14" t="s">
        <v>1597</v>
      </c>
      <c r="J789" s="22" t="s">
        <v>307</v>
      </c>
      <c r="K789" s="22" t="s">
        <v>308</v>
      </c>
    </row>
    <row r="790" spans="1:11" ht="25.5" x14ac:dyDescent="0.25">
      <c r="A790" s="18">
        <v>789</v>
      </c>
      <c r="B790" s="12" t="s">
        <v>1301</v>
      </c>
      <c r="C790" s="12" t="s">
        <v>539</v>
      </c>
      <c r="D790" s="13" t="s">
        <v>1302</v>
      </c>
      <c r="E790" s="19" t="s">
        <v>14</v>
      </c>
      <c r="F790" s="19">
        <v>1</v>
      </c>
      <c r="G790" s="20">
        <v>828.11</v>
      </c>
      <c r="H790" s="20">
        <f t="shared" si="12"/>
        <v>828.11</v>
      </c>
      <c r="I790" s="12" t="s">
        <v>1303</v>
      </c>
      <c r="J790" s="22" t="s">
        <v>307</v>
      </c>
      <c r="K790" s="22" t="s">
        <v>308</v>
      </c>
    </row>
    <row r="791" spans="1:11" x14ac:dyDescent="0.25">
      <c r="A791" s="18">
        <v>790</v>
      </c>
      <c r="B791" s="12" t="s">
        <v>1323</v>
      </c>
      <c r="C791" s="12" t="s">
        <v>550</v>
      </c>
      <c r="D791" s="13" t="s">
        <v>1324</v>
      </c>
      <c r="E791" s="19" t="s">
        <v>14</v>
      </c>
      <c r="F791" s="19">
        <v>1</v>
      </c>
      <c r="G791" s="20">
        <v>211.48</v>
      </c>
      <c r="H791" s="20">
        <f t="shared" si="12"/>
        <v>211.48</v>
      </c>
      <c r="I791" s="14" t="s">
        <v>1303</v>
      </c>
      <c r="J791" s="22" t="s">
        <v>307</v>
      </c>
      <c r="K791" s="22" t="s">
        <v>308</v>
      </c>
    </row>
    <row r="792" spans="1:11" x14ac:dyDescent="0.25">
      <c r="A792" s="18">
        <v>791</v>
      </c>
      <c r="B792" s="12" t="s">
        <v>1325</v>
      </c>
      <c r="C792" s="12" t="s">
        <v>550</v>
      </c>
      <c r="D792" s="13" t="s">
        <v>1326</v>
      </c>
      <c r="E792" s="19" t="s">
        <v>14</v>
      </c>
      <c r="F792" s="19">
        <v>1</v>
      </c>
      <c r="G792" s="20">
        <v>352.55</v>
      </c>
      <c r="H792" s="20">
        <f t="shared" si="12"/>
        <v>352.55</v>
      </c>
      <c r="I792" s="14" t="s">
        <v>1303</v>
      </c>
      <c r="J792" s="22" t="s">
        <v>307</v>
      </c>
      <c r="K792" s="22" t="s">
        <v>308</v>
      </c>
    </row>
    <row r="793" spans="1:11" ht="12.75" customHeight="1" x14ac:dyDescent="0.25">
      <c r="A793" s="2"/>
    </row>
    <row r="794" spans="1:11" ht="12.75" customHeight="1" x14ac:dyDescent="0.25">
      <c r="C794" s="24"/>
      <c r="D794" s="24"/>
      <c r="E794"/>
    </row>
    <row r="795" spans="1:11" ht="12.75" customHeight="1" x14ac:dyDescent="0.25">
      <c r="C795" s="24"/>
      <c r="D795" s="24"/>
      <c r="E795"/>
      <c r="H795" s="25">
        <f>SUBTOTAL(9,H2:H792)</f>
        <v>1764229.9300000002</v>
      </c>
    </row>
    <row r="796" spans="1:11" ht="12.75" customHeight="1" x14ac:dyDescent="0.25">
      <c r="D796" s="3"/>
      <c r="E796"/>
    </row>
    <row r="797" spans="1:11" ht="15" x14ac:dyDescent="0.25">
      <c r="C797" s="16"/>
      <c r="D797" s="28"/>
      <c r="E797" s="7"/>
      <c r="G797" s="8"/>
      <c r="H797" s="8"/>
      <c r="I797" s="1"/>
      <c r="J797"/>
      <c r="K797" s="8"/>
    </row>
    <row r="798" spans="1:11" ht="15" x14ac:dyDescent="0.25">
      <c r="C798" s="16"/>
      <c r="D798" s="28"/>
      <c r="E798" s="7"/>
      <c r="G798" s="8"/>
      <c r="H798" s="8"/>
      <c r="I798" s="1"/>
      <c r="J798"/>
      <c r="K798" s="8"/>
    </row>
    <row r="799" spans="1:11" s="8" customFormat="1" ht="15" x14ac:dyDescent="0.25">
      <c r="A799" s="1"/>
      <c r="B799" s="3"/>
      <c r="C799" s="16"/>
      <c r="D799" s="28"/>
      <c r="E799" s="7"/>
      <c r="F799" s="1"/>
      <c r="I799" s="1"/>
      <c r="J799"/>
    </row>
    <row r="800" spans="1:11" s="8" customFormat="1" x14ac:dyDescent="0.25">
      <c r="A800" s="1"/>
      <c r="B800" s="3"/>
      <c r="C800" s="16"/>
      <c r="D800" s="30"/>
      <c r="E800" s="1"/>
      <c r="G800" s="1"/>
      <c r="H800" s="1"/>
      <c r="J800" s="9"/>
    </row>
    <row r="801" spans="1:10" s="8" customFormat="1" x14ac:dyDescent="0.25">
      <c r="A801" s="1"/>
      <c r="B801" s="3"/>
      <c r="C801" s="16"/>
      <c r="D801" s="30"/>
      <c r="E801" s="1"/>
      <c r="G801" s="1"/>
      <c r="H801" s="1"/>
      <c r="J801" s="9"/>
    </row>
    <row r="802" spans="1:10" s="8" customFormat="1" x14ac:dyDescent="0.25">
      <c r="A802" s="1"/>
      <c r="B802" s="3"/>
      <c r="C802" s="16"/>
      <c r="D802" s="30"/>
      <c r="E802" s="1"/>
      <c r="G802" s="1"/>
      <c r="H802" s="1"/>
      <c r="J802" s="9"/>
    </row>
    <row r="803" spans="1:10" s="8" customFormat="1" x14ac:dyDescent="0.25">
      <c r="A803" s="1"/>
      <c r="B803" s="3"/>
      <c r="C803" s="16"/>
      <c r="D803" s="30"/>
      <c r="E803" s="1"/>
      <c r="G803" s="1"/>
      <c r="H803" s="1"/>
      <c r="J803" s="9"/>
    </row>
    <row r="804" spans="1:10" s="8" customFormat="1" x14ac:dyDescent="0.25">
      <c r="A804" s="1"/>
      <c r="B804" s="3"/>
      <c r="C804" s="16"/>
      <c r="D804" s="30"/>
      <c r="E804" s="1"/>
      <c r="G804" s="1"/>
      <c r="H804" s="1"/>
      <c r="J804" s="9"/>
    </row>
    <row r="805" spans="1:10" s="8" customFormat="1" x14ac:dyDescent="0.25">
      <c r="A805" s="1"/>
      <c r="B805" s="3"/>
      <c r="C805" s="16"/>
      <c r="D805" s="30"/>
      <c r="E805" s="1"/>
      <c r="G805" s="1"/>
      <c r="H805" s="1"/>
      <c r="J805" s="9"/>
    </row>
    <row r="806" spans="1:10" s="8" customFormat="1" x14ac:dyDescent="0.25">
      <c r="A806" s="1"/>
      <c r="B806" s="3"/>
      <c r="C806" s="16"/>
      <c r="D806" s="30"/>
      <c r="E806" s="1"/>
      <c r="G806" s="1"/>
      <c r="H806" s="1"/>
      <c r="J806" s="9"/>
    </row>
    <row r="807" spans="1:10" s="8" customFormat="1" x14ac:dyDescent="0.25">
      <c r="A807" s="1"/>
      <c r="B807" s="3"/>
      <c r="C807" s="16"/>
      <c r="D807" s="30"/>
      <c r="E807" s="1"/>
      <c r="G807" s="1"/>
      <c r="H807" s="1"/>
      <c r="J807" s="9"/>
    </row>
    <row r="808" spans="1:10" s="8" customFormat="1" x14ac:dyDescent="0.25">
      <c r="A808" s="1"/>
      <c r="B808" s="3"/>
      <c r="C808" s="16"/>
      <c r="D808" s="30"/>
      <c r="E808" s="1"/>
      <c r="G808" s="1"/>
      <c r="H808" s="1"/>
      <c r="J808" s="9"/>
    </row>
    <row r="809" spans="1:10" s="8" customFormat="1" x14ac:dyDescent="0.25">
      <c r="A809" s="1"/>
      <c r="B809" s="3"/>
      <c r="C809" s="16"/>
      <c r="D809" s="30"/>
      <c r="E809" s="1"/>
      <c r="G809" s="1"/>
      <c r="H809" s="1"/>
      <c r="J809" s="9"/>
    </row>
    <row r="810" spans="1:10" s="8" customFormat="1" x14ac:dyDescent="0.25">
      <c r="A810" s="1"/>
      <c r="B810" s="3"/>
      <c r="C810" s="16"/>
      <c r="D810" s="30"/>
      <c r="E810" s="1"/>
      <c r="G810" s="1"/>
      <c r="H810" s="1"/>
      <c r="J810" s="9"/>
    </row>
    <row r="811" spans="1:10" s="8" customFormat="1" x14ac:dyDescent="0.25">
      <c r="A811" s="1"/>
      <c r="B811" s="3"/>
      <c r="C811" s="16"/>
      <c r="D811" s="30"/>
      <c r="E811" s="1"/>
      <c r="G811" s="1"/>
      <c r="H811" s="1"/>
      <c r="J811" s="9"/>
    </row>
    <row r="812" spans="1:10" s="8" customFormat="1" x14ac:dyDescent="0.25">
      <c r="A812" s="1"/>
      <c r="B812" s="3"/>
      <c r="C812" s="16"/>
      <c r="D812" s="30"/>
      <c r="E812" s="1"/>
      <c r="G812" s="1"/>
      <c r="H812" s="1"/>
      <c r="J812" s="9"/>
    </row>
    <row r="813" spans="1:10" s="8" customFormat="1" x14ac:dyDescent="0.25">
      <c r="A813" s="1"/>
      <c r="B813" s="3"/>
      <c r="C813" s="16"/>
      <c r="D813" s="30"/>
      <c r="E813" s="1"/>
      <c r="G813" s="1"/>
      <c r="H813" s="1"/>
      <c r="J813" s="9"/>
    </row>
    <row r="814" spans="1:10" s="8" customFormat="1" x14ac:dyDescent="0.25">
      <c r="A814" s="1"/>
      <c r="B814" s="3"/>
      <c r="C814" s="16"/>
      <c r="D814" s="30"/>
      <c r="E814" s="1"/>
      <c r="G814" s="1"/>
      <c r="H814" s="1"/>
      <c r="J814" s="9"/>
    </row>
    <row r="815" spans="1:10" s="8" customFormat="1" x14ac:dyDescent="0.25">
      <c r="A815" s="1"/>
      <c r="B815" s="3"/>
      <c r="C815" s="16"/>
      <c r="D815" s="30"/>
      <c r="E815" s="1"/>
      <c r="G815" s="1"/>
      <c r="H815" s="1"/>
      <c r="J815" s="9"/>
    </row>
    <row r="816" spans="1:10" s="8" customFormat="1" x14ac:dyDescent="0.25">
      <c r="A816" s="1"/>
      <c r="B816" s="3"/>
      <c r="C816" s="16"/>
      <c r="D816" s="30"/>
      <c r="E816" s="1"/>
      <c r="G816" s="1"/>
      <c r="H816" s="1"/>
      <c r="J816" s="9"/>
    </row>
    <row r="817" spans="1:10" s="8" customFormat="1" x14ac:dyDescent="0.25">
      <c r="A817" s="1"/>
      <c r="B817" s="3"/>
      <c r="C817" s="16"/>
      <c r="D817" s="30"/>
      <c r="E817" s="1"/>
      <c r="G817" s="1"/>
      <c r="H817" s="1"/>
      <c r="J817" s="9"/>
    </row>
    <row r="818" spans="1:10" s="8" customFormat="1" x14ac:dyDescent="0.25">
      <c r="A818" s="1"/>
      <c r="B818" s="3"/>
      <c r="C818" s="16"/>
      <c r="D818" s="30"/>
      <c r="E818" s="1"/>
      <c r="G818" s="1"/>
      <c r="H818" s="1"/>
      <c r="J818" s="9"/>
    </row>
    <row r="819" spans="1:10" s="8" customFormat="1" x14ac:dyDescent="0.25">
      <c r="A819" s="1"/>
      <c r="B819" s="3"/>
      <c r="C819" s="16"/>
      <c r="D819" s="30"/>
      <c r="E819" s="1"/>
      <c r="G819" s="1"/>
      <c r="H819" s="1"/>
      <c r="J819" s="9"/>
    </row>
    <row r="820" spans="1:10" s="8" customFormat="1" x14ac:dyDescent="0.25">
      <c r="A820" s="1"/>
      <c r="B820" s="3"/>
      <c r="C820" s="16"/>
      <c r="D820" s="30"/>
      <c r="E820" s="1"/>
      <c r="G820" s="1"/>
      <c r="H820" s="1"/>
      <c r="J820" s="9"/>
    </row>
    <row r="821" spans="1:10" s="8" customFormat="1" x14ac:dyDescent="0.25">
      <c r="A821" s="1"/>
      <c r="B821" s="3"/>
      <c r="C821" s="16"/>
      <c r="D821" s="30"/>
      <c r="E821" s="1"/>
      <c r="G821" s="1"/>
      <c r="H821" s="1"/>
      <c r="J821" s="9"/>
    </row>
    <row r="822" spans="1:10" s="8" customFormat="1" x14ac:dyDescent="0.25">
      <c r="A822" s="1"/>
      <c r="B822" s="3"/>
      <c r="C822" s="16"/>
      <c r="D822" s="30"/>
      <c r="E822" s="1"/>
      <c r="G822" s="1"/>
      <c r="H822" s="1"/>
      <c r="J822" s="9"/>
    </row>
    <row r="823" spans="1:10" s="8" customFormat="1" x14ac:dyDescent="0.25">
      <c r="A823" s="1"/>
      <c r="B823" s="3"/>
      <c r="C823" s="16"/>
      <c r="D823" s="30"/>
      <c r="E823" s="1"/>
      <c r="G823" s="1"/>
      <c r="H823" s="1"/>
      <c r="J823" s="9"/>
    </row>
    <row r="824" spans="1:10" s="8" customFormat="1" x14ac:dyDescent="0.25">
      <c r="A824" s="1"/>
      <c r="B824" s="3"/>
      <c r="C824" s="16"/>
      <c r="D824" s="30"/>
      <c r="E824" s="1"/>
      <c r="G824" s="1"/>
      <c r="H824" s="1"/>
      <c r="J824" s="9"/>
    </row>
    <row r="825" spans="1:10" s="8" customFormat="1" x14ac:dyDescent="0.25">
      <c r="A825" s="1"/>
      <c r="B825" s="3"/>
      <c r="C825" s="16"/>
      <c r="D825" s="30"/>
      <c r="E825" s="1"/>
      <c r="G825" s="1"/>
      <c r="H825" s="1"/>
      <c r="J825" s="9"/>
    </row>
    <row r="826" spans="1:10" s="8" customFormat="1" x14ac:dyDescent="0.25">
      <c r="A826" s="1"/>
      <c r="B826" s="3"/>
      <c r="C826" s="16"/>
      <c r="D826" s="30"/>
      <c r="E826" s="1"/>
      <c r="G826" s="1"/>
      <c r="H826" s="1"/>
      <c r="J826" s="9"/>
    </row>
    <row r="827" spans="1:10" s="8" customFormat="1" x14ac:dyDescent="0.25">
      <c r="A827" s="1"/>
      <c r="B827" s="3"/>
      <c r="C827" s="16"/>
      <c r="D827" s="30"/>
      <c r="E827" s="1"/>
      <c r="G827" s="1"/>
      <c r="H827" s="1"/>
      <c r="J827" s="9"/>
    </row>
    <row r="828" spans="1:10" s="8" customFormat="1" x14ac:dyDescent="0.25">
      <c r="A828" s="1"/>
      <c r="B828" s="3"/>
      <c r="C828" s="16"/>
      <c r="D828" s="30"/>
      <c r="E828" s="1"/>
      <c r="G828" s="1"/>
      <c r="H828" s="1"/>
      <c r="J828" s="9"/>
    </row>
    <row r="829" spans="1:10" s="8" customFormat="1" x14ac:dyDescent="0.25">
      <c r="A829" s="1"/>
      <c r="B829" s="3"/>
      <c r="C829" s="16"/>
      <c r="D829" s="30"/>
      <c r="E829" s="1"/>
      <c r="G829" s="1"/>
      <c r="H829" s="1"/>
      <c r="J829" s="9"/>
    </row>
    <row r="830" spans="1:10" s="8" customFormat="1" x14ac:dyDescent="0.25">
      <c r="A830" s="1"/>
      <c r="B830" s="3"/>
      <c r="C830" s="16"/>
      <c r="D830" s="30"/>
      <c r="E830" s="1"/>
      <c r="G830" s="1"/>
      <c r="H830" s="1"/>
      <c r="J830" s="9"/>
    </row>
    <row r="831" spans="1:10" s="8" customFormat="1" x14ac:dyDescent="0.25">
      <c r="A831" s="1"/>
      <c r="B831" s="3"/>
      <c r="C831" s="16"/>
      <c r="D831" s="30"/>
      <c r="E831" s="1"/>
      <c r="G831" s="1"/>
      <c r="H831" s="1"/>
      <c r="J831" s="9"/>
    </row>
    <row r="832" spans="1:10" s="8" customFormat="1" x14ac:dyDescent="0.25">
      <c r="A832" s="1"/>
      <c r="B832" s="3"/>
      <c r="C832" s="16"/>
      <c r="D832" s="30"/>
      <c r="E832" s="1"/>
      <c r="G832" s="1"/>
      <c r="H832" s="1"/>
      <c r="J832" s="9"/>
    </row>
    <row r="833" spans="1:11" s="8" customFormat="1" x14ac:dyDescent="0.25">
      <c r="A833" s="1"/>
      <c r="B833" s="3"/>
      <c r="C833" s="16"/>
      <c r="D833" s="30"/>
      <c r="E833" s="1"/>
      <c r="G833" s="1"/>
      <c r="H833" s="1"/>
      <c r="J833" s="9"/>
    </row>
    <row r="834" spans="1:11" s="8" customFormat="1" x14ac:dyDescent="0.25">
      <c r="A834" s="1"/>
      <c r="B834" s="3"/>
      <c r="C834" s="16"/>
      <c r="D834" s="30"/>
      <c r="E834" s="1"/>
      <c r="G834" s="1"/>
      <c r="H834" s="1"/>
      <c r="J834" s="9"/>
    </row>
    <row r="835" spans="1:11" s="8" customFormat="1" x14ac:dyDescent="0.25">
      <c r="A835" s="1"/>
      <c r="B835" s="3"/>
      <c r="C835" s="16"/>
      <c r="D835" s="30"/>
      <c r="E835" s="1"/>
      <c r="G835" s="1"/>
      <c r="H835" s="1"/>
      <c r="J835" s="9"/>
    </row>
    <row r="836" spans="1:11" s="8" customFormat="1" x14ac:dyDescent="0.25">
      <c r="A836" s="1"/>
      <c r="B836" s="3"/>
      <c r="C836" s="16"/>
      <c r="D836" s="30"/>
      <c r="E836" s="1"/>
      <c r="G836" s="1"/>
      <c r="H836" s="1"/>
      <c r="J836" s="9"/>
    </row>
    <row r="837" spans="1:11" s="8" customFormat="1" x14ac:dyDescent="0.25">
      <c r="A837" s="1"/>
      <c r="B837" s="3"/>
      <c r="C837" s="16"/>
      <c r="D837" s="30"/>
      <c r="E837" s="1"/>
      <c r="G837" s="1"/>
      <c r="H837" s="1"/>
      <c r="J837" s="9"/>
    </row>
    <row r="838" spans="1:11" s="8" customFormat="1" x14ac:dyDescent="0.25">
      <c r="A838" s="1"/>
      <c r="B838" s="3"/>
      <c r="C838" s="10"/>
      <c r="D838" s="30"/>
      <c r="E838" s="1"/>
      <c r="G838" s="1"/>
      <c r="H838" s="1"/>
      <c r="J838" s="9"/>
    </row>
    <row r="839" spans="1:11" s="8" customFormat="1" x14ac:dyDescent="0.25">
      <c r="A839" s="1"/>
      <c r="B839" s="3"/>
      <c r="C839" s="10"/>
      <c r="D839" s="30"/>
      <c r="E839" s="1"/>
      <c r="G839" s="1"/>
      <c r="H839" s="1"/>
      <c r="J839" s="9"/>
    </row>
    <row r="840" spans="1:11" s="8" customFormat="1" x14ac:dyDescent="0.25">
      <c r="A840" s="1"/>
      <c r="B840" s="3"/>
      <c r="C840" s="10"/>
      <c r="D840" s="30"/>
      <c r="E840" s="1"/>
      <c r="G840" s="1"/>
      <c r="H840" s="1"/>
      <c r="J840" s="9"/>
    </row>
    <row r="841" spans="1:11" s="8" customFormat="1" x14ac:dyDescent="0.25">
      <c r="A841" s="1"/>
      <c r="B841" s="3"/>
      <c r="C841" s="10"/>
      <c r="D841" s="30"/>
      <c r="E841" s="1"/>
      <c r="G841" s="1"/>
      <c r="H841" s="1"/>
      <c r="J841" s="9"/>
    </row>
    <row r="842" spans="1:11" s="8" customFormat="1" x14ac:dyDescent="0.25">
      <c r="A842" s="1"/>
      <c r="B842" s="3"/>
      <c r="C842" s="10"/>
      <c r="D842" s="30"/>
      <c r="E842" s="1"/>
      <c r="G842" s="1"/>
      <c r="H842" s="1"/>
      <c r="J842" s="9"/>
    </row>
    <row r="843" spans="1:11" s="8" customFormat="1" x14ac:dyDescent="0.25">
      <c r="A843" s="1"/>
      <c r="B843" s="3"/>
      <c r="C843" s="10"/>
      <c r="D843" s="30"/>
      <c r="E843" s="1"/>
      <c r="G843" s="1"/>
      <c r="H843" s="1"/>
      <c r="J843" s="9"/>
    </row>
    <row r="844" spans="1:11" s="8" customFormat="1" x14ac:dyDescent="0.25">
      <c r="A844" s="1"/>
      <c r="B844" s="3"/>
      <c r="C844" s="10"/>
      <c r="D844" s="30"/>
      <c r="E844" s="1"/>
      <c r="G844" s="1"/>
      <c r="H844" s="1"/>
      <c r="J844" s="9"/>
    </row>
    <row r="845" spans="1:11" s="8" customFormat="1" x14ac:dyDescent="0.25">
      <c r="A845" s="1"/>
      <c r="B845" s="3"/>
      <c r="C845" s="10"/>
      <c r="D845" s="30"/>
      <c r="E845" s="1"/>
      <c r="G845" s="1"/>
      <c r="H845" s="1"/>
      <c r="J845" s="9"/>
    </row>
    <row r="846" spans="1:11" ht="12.75" customHeight="1" x14ac:dyDescent="0.25">
      <c r="C846" s="10"/>
      <c r="D846" s="30"/>
      <c r="F846" s="8"/>
      <c r="G846" s="1"/>
      <c r="H846" s="1"/>
      <c r="I846" s="8"/>
      <c r="J846" s="9"/>
      <c r="K846" s="8"/>
    </row>
    <row r="847" spans="1:11" ht="12.75" customHeight="1" x14ac:dyDescent="0.25">
      <c r="C847" s="10"/>
      <c r="D847" s="30"/>
      <c r="F847" s="8"/>
      <c r="G847" s="1"/>
      <c r="H847" s="1"/>
      <c r="I847" s="8"/>
      <c r="J847" s="9"/>
      <c r="K847" s="8"/>
    </row>
    <row r="848" spans="1:11" ht="12.75" customHeight="1" x14ac:dyDescent="0.25">
      <c r="C848" s="10"/>
      <c r="D848" s="30"/>
      <c r="F848" s="8"/>
      <c r="G848" s="1"/>
      <c r="H848" s="1"/>
      <c r="I848" s="8"/>
      <c r="J848" s="9"/>
      <c r="K848" s="8"/>
    </row>
    <row r="849" spans="5:11" ht="12.75" customHeight="1" x14ac:dyDescent="0.25">
      <c r="E849" s="5"/>
      <c r="F849" s="6"/>
      <c r="H849" s="7"/>
      <c r="I849" s="30"/>
      <c r="J849" s="8"/>
      <c r="K849" s="8"/>
    </row>
  </sheetData>
  <autoFilter ref="A1:K792" xr:uid="{D93AE9C1-EBDC-4D23-B847-8167C87AD5B6}">
    <sortState xmlns:xlrd2="http://schemas.microsoft.com/office/spreadsheetml/2017/richdata2" ref="A2:K792">
      <sortCondition ref="A1:A792"/>
    </sortState>
  </autoFilter>
  <phoneticPr fontId="8" type="noConversion"/>
  <conditionalFormatting sqref="D375 D321">
    <cfRule type="duplicateValues" dxfId="8" priority="8"/>
  </conditionalFormatting>
  <conditionalFormatting sqref="D375">
    <cfRule type="duplicateValues" dxfId="7" priority="9"/>
  </conditionalFormatting>
  <conditionalFormatting sqref="D765">
    <cfRule type="duplicateValues" dxfId="6" priority="2"/>
    <cfRule type="duplicateValues" dxfId="5" priority="3"/>
    <cfRule type="duplicateValues" dxfId="4" priority="4"/>
  </conditionalFormatting>
  <conditionalFormatting sqref="D849:D1048576 D793 D322:D366 D155:D320 D368:D374 D1:D153">
    <cfRule type="duplicateValues" dxfId="3" priority="1053"/>
  </conditionalFormatting>
  <conditionalFormatting sqref="D849:D1048576 D155:D366 D766:D793 D368:D764 D1:D153">
    <cfRule type="duplicateValues" dxfId="2" priority="1059"/>
  </conditionalFormatting>
  <conditionalFormatting sqref="J797:J799">
    <cfRule type="duplicateValues" dxfId="1" priority="1060"/>
  </conditionalFormatting>
  <conditionalFormatting sqref="K797:K799">
    <cfRule type="duplicateValues" dxfId="0" priority="1061"/>
  </conditionalFormatting>
  <printOptions horizontalCentered="1"/>
  <pageMargins left="0.45" right="0.45" top="0.5" bottom="0.5" header="0.3" footer="0.3"/>
  <pageSetup paperSize="9" orientation="landscape" horizontalDpi="360" verticalDpi="360" r:id="rId1"/>
  <headerFooter>
    <oddFooter>&amp;R&amp;"Arial,Regular"&amp;8&amp;P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TF SAFE EBOM - ALL</vt:lpstr>
      <vt:lpstr>'TF SAFE EBOM - ALL'!Print_Area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DeVera, Alexis [KWT - CON]</dc:creator>
  <cp:lastModifiedBy>DeVera, Alexis [KWT - CON]</cp:lastModifiedBy>
  <cp:lastPrinted>2025-07-22T15:48:38Z</cp:lastPrinted>
  <dcterms:created xsi:type="dcterms:W3CDTF">2025-07-17T16:04:13Z</dcterms:created>
  <dcterms:modified xsi:type="dcterms:W3CDTF">2025-12-20T05:19:14Z</dcterms:modified>
</cp:coreProperties>
</file>