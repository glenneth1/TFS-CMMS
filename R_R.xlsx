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hoen\Desktop\"/>
    </mc:Choice>
  </mc:AlternateContent>
  <xr:revisionPtr revIDLastSave="0" documentId="13_ncr:1_{C70A975B-EEFB-46C1-876D-3A835DADFDBD}" xr6:coauthVersionLast="47" xr6:coauthVersionMax="47" xr10:uidLastSave="{00000000-0000-0000-0000-000000000000}"/>
  <bookViews>
    <workbookView xWindow="57480" yWindow="-153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Sheet1!$A$3:$ABR$48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P8" i="1"/>
  <c r="P7" i="1"/>
  <c r="Q7" i="1" s="1"/>
  <c r="G7" i="1"/>
  <c r="G28" i="1"/>
  <c r="G14" i="1"/>
  <c r="G6" i="1"/>
  <c r="P15" i="1" l="1"/>
  <c r="D41" i="1"/>
  <c r="P28" i="1"/>
  <c r="P6" i="1"/>
  <c r="P13" i="1" l="1"/>
  <c r="P17" i="1"/>
  <c r="P26" i="1"/>
  <c r="P19" i="1"/>
  <c r="G19" i="1"/>
  <c r="G17" i="1"/>
  <c r="P4" i="1"/>
  <c r="P11" i="1"/>
  <c r="P9" i="1"/>
  <c r="P18" i="1"/>
  <c r="P31" i="1"/>
  <c r="G9" i="1"/>
  <c r="G15" i="1"/>
  <c r="ABR81" i="1"/>
  <c r="ABQ81" i="1"/>
  <c r="ABP81" i="1"/>
  <c r="ABO81" i="1"/>
  <c r="ABN81" i="1"/>
  <c r="ABM81" i="1"/>
  <c r="ABL81" i="1"/>
  <c r="ABK81" i="1"/>
  <c r="ABJ81" i="1"/>
  <c r="ABI81" i="1"/>
  <c r="ABH81" i="1"/>
  <c r="ABG81" i="1"/>
  <c r="ABF81" i="1"/>
  <c r="ABE81" i="1"/>
  <c r="ABD81" i="1"/>
  <c r="ABC81" i="1"/>
  <c r="ABB81" i="1"/>
  <c r="ABA81" i="1"/>
  <c r="AAZ81" i="1"/>
  <c r="AAY81" i="1"/>
  <c r="AAX81" i="1"/>
  <c r="AAW81" i="1"/>
  <c r="AAV81" i="1"/>
  <c r="AAU81" i="1"/>
  <c r="AAT81" i="1"/>
  <c r="AAS81" i="1"/>
  <c r="AAR81" i="1"/>
  <c r="AAQ81" i="1"/>
  <c r="AAP81" i="1"/>
  <c r="AAO81" i="1"/>
  <c r="AAN81" i="1"/>
  <c r="AAM81" i="1"/>
  <c r="AAL81" i="1"/>
  <c r="AAK81" i="1"/>
  <c r="AAJ81" i="1"/>
  <c r="AAI81" i="1"/>
  <c r="AAH81" i="1"/>
  <c r="AAG81" i="1"/>
  <c r="AAF81" i="1"/>
  <c r="AAE81" i="1"/>
  <c r="AAD81" i="1"/>
  <c r="AAC81" i="1"/>
  <c r="AAB81" i="1"/>
  <c r="AAA81" i="1"/>
  <c r="ZZ81" i="1"/>
  <c r="ZY81" i="1"/>
  <c r="ZX81" i="1"/>
  <c r="ZW81" i="1"/>
  <c r="ZV81" i="1"/>
  <c r="ZU81" i="1"/>
  <c r="ZT81" i="1"/>
  <c r="ZS81" i="1"/>
  <c r="ZR81" i="1"/>
  <c r="ZQ81" i="1"/>
  <c r="ZP81" i="1"/>
  <c r="ZO81" i="1"/>
  <c r="ZN81" i="1"/>
  <c r="ZM81" i="1"/>
  <c r="ZL81" i="1"/>
  <c r="ZK81" i="1"/>
  <c r="ZJ81" i="1"/>
  <c r="ZI81" i="1"/>
  <c r="ZH81" i="1"/>
  <c r="ZG81" i="1"/>
  <c r="ZF81" i="1"/>
  <c r="ZE81" i="1"/>
  <c r="ZD81" i="1"/>
  <c r="ZC81" i="1"/>
  <c r="ZB81" i="1"/>
  <c r="ZA81" i="1"/>
  <c r="YZ81" i="1"/>
  <c r="YY81" i="1"/>
  <c r="YX81" i="1"/>
  <c r="YW81" i="1"/>
  <c r="YV81" i="1"/>
  <c r="YU81" i="1"/>
  <c r="YT81" i="1"/>
  <c r="YS81" i="1"/>
  <c r="YR81" i="1"/>
  <c r="YQ81" i="1"/>
  <c r="YP81" i="1"/>
  <c r="YO81" i="1"/>
  <c r="YN81" i="1"/>
  <c r="YM81" i="1"/>
  <c r="YL81" i="1"/>
  <c r="YK81" i="1"/>
  <c r="YJ81" i="1"/>
  <c r="YI81" i="1"/>
  <c r="YH81" i="1"/>
  <c r="YG81" i="1"/>
  <c r="YF81" i="1"/>
  <c r="YE81" i="1"/>
  <c r="YD81" i="1"/>
  <c r="YC81" i="1"/>
  <c r="YB81" i="1"/>
  <c r="YA81" i="1"/>
  <c r="XZ81" i="1"/>
  <c r="XY81" i="1"/>
  <c r="XX81" i="1"/>
  <c r="XW81" i="1"/>
  <c r="XV81" i="1"/>
  <c r="XU81" i="1"/>
  <c r="XT81" i="1"/>
  <c r="XS81" i="1"/>
  <c r="XR81" i="1"/>
  <c r="XQ81" i="1"/>
  <c r="XP81" i="1"/>
  <c r="XO81" i="1"/>
  <c r="XN81" i="1"/>
  <c r="XM81" i="1"/>
  <c r="XL81" i="1"/>
  <c r="XK81" i="1"/>
  <c r="XJ81" i="1"/>
  <c r="XI81" i="1"/>
  <c r="XH81" i="1"/>
  <c r="XG81" i="1"/>
  <c r="XF81" i="1"/>
  <c r="XE81" i="1"/>
  <c r="XD81" i="1"/>
  <c r="XC81" i="1"/>
  <c r="XB81" i="1"/>
  <c r="XA81" i="1"/>
  <c r="WZ81" i="1"/>
  <c r="WY81" i="1"/>
  <c r="WX81" i="1"/>
  <c r="WW81" i="1"/>
  <c r="WV81" i="1"/>
  <c r="WU81" i="1"/>
  <c r="WT81" i="1"/>
  <c r="WS81" i="1"/>
  <c r="WR81" i="1"/>
  <c r="WQ81" i="1"/>
  <c r="WP81" i="1"/>
  <c r="WO81" i="1"/>
  <c r="WN81" i="1"/>
  <c r="WM81" i="1"/>
  <c r="WL81" i="1"/>
  <c r="WK81" i="1"/>
  <c r="WJ81" i="1"/>
  <c r="WI81" i="1"/>
  <c r="WH81" i="1"/>
  <c r="WG81" i="1"/>
  <c r="WF81" i="1"/>
  <c r="WE81" i="1"/>
  <c r="WD81" i="1"/>
  <c r="WC81" i="1"/>
  <c r="WB81" i="1"/>
  <c r="WA81" i="1"/>
  <c r="VZ81" i="1"/>
  <c r="VY81" i="1"/>
  <c r="VX81" i="1"/>
  <c r="VW81" i="1"/>
  <c r="VV81" i="1"/>
  <c r="VU81" i="1"/>
  <c r="VT81" i="1"/>
  <c r="VS81" i="1"/>
  <c r="VR81" i="1"/>
  <c r="VQ81" i="1"/>
  <c r="VP81" i="1"/>
  <c r="VO81" i="1"/>
  <c r="VN81" i="1"/>
  <c r="VM81" i="1"/>
  <c r="VL81" i="1"/>
  <c r="VK81" i="1"/>
  <c r="VJ81" i="1"/>
  <c r="VI81" i="1"/>
  <c r="VH81" i="1"/>
  <c r="VG81" i="1"/>
  <c r="VF81" i="1"/>
  <c r="VE81" i="1"/>
  <c r="VD81" i="1"/>
  <c r="VC81" i="1"/>
  <c r="VB81" i="1"/>
  <c r="VA81" i="1"/>
  <c r="UZ81" i="1"/>
  <c r="UY81" i="1"/>
  <c r="UX81" i="1"/>
  <c r="UW81" i="1"/>
  <c r="UV81" i="1"/>
  <c r="UU81" i="1"/>
  <c r="UT81" i="1"/>
  <c r="US81" i="1"/>
  <c r="UR81" i="1"/>
  <c r="UQ81" i="1"/>
  <c r="UP81" i="1"/>
  <c r="UO81" i="1"/>
  <c r="UN81" i="1"/>
  <c r="UM81" i="1"/>
  <c r="UL81" i="1"/>
  <c r="UK81" i="1"/>
  <c r="UJ81" i="1"/>
  <c r="UI81" i="1"/>
  <c r="UH81" i="1"/>
  <c r="UG81" i="1"/>
  <c r="UF81" i="1"/>
  <c r="UE81" i="1"/>
  <c r="UD81" i="1"/>
  <c r="UC81" i="1"/>
  <c r="UB81" i="1"/>
  <c r="UA81" i="1"/>
  <c r="TZ81" i="1"/>
  <c r="TY81" i="1"/>
  <c r="TX81" i="1"/>
  <c r="TW81" i="1"/>
  <c r="TV81" i="1"/>
  <c r="TU81" i="1"/>
  <c r="TT81" i="1"/>
  <c r="TS81" i="1"/>
  <c r="TR81" i="1"/>
  <c r="TQ81" i="1"/>
  <c r="TP81" i="1"/>
  <c r="TO81" i="1"/>
  <c r="TN81" i="1"/>
  <c r="TM81" i="1"/>
  <c r="TL81" i="1"/>
  <c r="TK81" i="1"/>
  <c r="TJ81" i="1"/>
  <c r="TI81" i="1"/>
  <c r="TH81" i="1"/>
  <c r="TG81" i="1"/>
  <c r="TF81" i="1"/>
  <c r="TE81" i="1"/>
  <c r="TD81" i="1"/>
  <c r="TC81" i="1"/>
  <c r="TB81" i="1"/>
  <c r="TA81" i="1"/>
  <c r="SZ81" i="1"/>
  <c r="SY81" i="1"/>
  <c r="SX81" i="1"/>
  <c r="SW81" i="1"/>
  <c r="SV81" i="1"/>
  <c r="SU81" i="1"/>
  <c r="ST81" i="1"/>
  <c r="SS81" i="1"/>
  <c r="SR81" i="1"/>
  <c r="SQ81" i="1"/>
  <c r="SP81" i="1"/>
  <c r="SO81" i="1"/>
  <c r="SN81" i="1"/>
  <c r="SM81" i="1"/>
  <c r="SL81" i="1"/>
  <c r="SK81" i="1"/>
  <c r="SJ81" i="1"/>
  <c r="SI81" i="1"/>
  <c r="SH81" i="1"/>
  <c r="SG81" i="1"/>
  <c r="SF81" i="1"/>
  <c r="SE81" i="1"/>
  <c r="SD81" i="1"/>
  <c r="SC81" i="1"/>
  <c r="SB81" i="1"/>
  <c r="SA81" i="1"/>
  <c r="RZ81" i="1"/>
  <c r="RY81" i="1"/>
  <c r="RX81" i="1"/>
  <c r="RW81" i="1"/>
  <c r="RV81" i="1"/>
  <c r="RU81" i="1"/>
  <c r="RT81" i="1"/>
  <c r="RS81" i="1"/>
  <c r="RR81" i="1"/>
  <c r="RQ81" i="1"/>
  <c r="RP81" i="1"/>
  <c r="RO81" i="1"/>
  <c r="RN81" i="1"/>
  <c r="RM81" i="1"/>
  <c r="RL81" i="1"/>
  <c r="RK81" i="1"/>
  <c r="RJ81" i="1"/>
  <c r="RI81" i="1"/>
  <c r="RH81" i="1"/>
  <c r="RG81" i="1"/>
  <c r="RF81" i="1"/>
  <c r="RE81" i="1"/>
  <c r="RD81" i="1"/>
  <c r="RC81" i="1"/>
  <c r="RB81" i="1"/>
  <c r="RA81" i="1"/>
  <c r="QZ81" i="1"/>
  <c r="QY81" i="1"/>
  <c r="QX81" i="1"/>
  <c r="QW81" i="1"/>
  <c r="QV81" i="1"/>
  <c r="QU81" i="1"/>
  <c r="QT81" i="1"/>
  <c r="QS81" i="1"/>
  <c r="QR81" i="1"/>
  <c r="QQ81" i="1"/>
  <c r="QP81" i="1"/>
  <c r="QO81" i="1"/>
  <c r="QN81" i="1"/>
  <c r="QM81" i="1"/>
  <c r="QL81" i="1"/>
  <c r="QK81" i="1"/>
  <c r="QJ81" i="1"/>
  <c r="QI81" i="1"/>
  <c r="QH81" i="1"/>
  <c r="QG81" i="1"/>
  <c r="QF81" i="1"/>
  <c r="QE81" i="1"/>
  <c r="QD81" i="1"/>
  <c r="QC81" i="1"/>
  <c r="QB81" i="1"/>
  <c r="QA81" i="1"/>
  <c r="PZ81" i="1"/>
  <c r="PY81" i="1"/>
  <c r="PX81" i="1"/>
  <c r="PW81" i="1"/>
  <c r="PV81" i="1"/>
  <c r="PU81" i="1"/>
  <c r="PT81" i="1"/>
  <c r="PS81" i="1"/>
  <c r="PR81" i="1"/>
  <c r="PQ81" i="1"/>
  <c r="PP81" i="1"/>
  <c r="PO81" i="1"/>
  <c r="PN81" i="1"/>
  <c r="PM81" i="1"/>
  <c r="PL81" i="1"/>
  <c r="PK81" i="1"/>
  <c r="PJ81" i="1"/>
  <c r="PI81" i="1"/>
  <c r="PH81" i="1"/>
  <c r="PG81" i="1"/>
  <c r="PF81" i="1"/>
  <c r="PE81" i="1"/>
  <c r="PD81" i="1"/>
  <c r="PC81" i="1"/>
  <c r="PB81" i="1"/>
  <c r="PA81" i="1"/>
  <c r="OZ81" i="1"/>
  <c r="OY81" i="1"/>
  <c r="OX81" i="1"/>
  <c r="OW81" i="1"/>
  <c r="OV81" i="1"/>
  <c r="OU81" i="1"/>
  <c r="OT81" i="1"/>
  <c r="OS81" i="1"/>
  <c r="OR81" i="1"/>
  <c r="OQ81" i="1"/>
  <c r="OP81" i="1"/>
  <c r="OO81" i="1"/>
  <c r="ON81" i="1"/>
  <c r="OM81" i="1"/>
  <c r="OL81" i="1"/>
  <c r="OK81" i="1"/>
  <c r="OJ81" i="1"/>
  <c r="OI81" i="1"/>
  <c r="OH81" i="1"/>
  <c r="OG81" i="1"/>
  <c r="OF81" i="1"/>
  <c r="OE81" i="1"/>
  <c r="OD81" i="1"/>
  <c r="OC81" i="1"/>
  <c r="OB81" i="1"/>
  <c r="OA81" i="1"/>
  <c r="NZ81" i="1"/>
  <c r="NY81" i="1"/>
  <c r="NX81" i="1"/>
  <c r="NW81" i="1"/>
  <c r="NV81" i="1"/>
  <c r="NU81" i="1"/>
  <c r="NT81" i="1"/>
  <c r="NS81" i="1"/>
  <c r="NR81" i="1"/>
  <c r="NQ81" i="1"/>
  <c r="NP81" i="1"/>
  <c r="NO81" i="1"/>
  <c r="NN81" i="1"/>
  <c r="NM81" i="1"/>
  <c r="NL81" i="1"/>
  <c r="NK81" i="1"/>
  <c r="NJ81" i="1"/>
  <c r="NI81" i="1"/>
  <c r="NH81" i="1"/>
  <c r="NG81" i="1"/>
  <c r="NF81" i="1"/>
  <c r="NE81" i="1"/>
  <c r="ND81" i="1"/>
  <c r="NC81" i="1"/>
  <c r="NB81" i="1"/>
  <c r="NA81" i="1"/>
  <c r="MZ81" i="1"/>
  <c r="MY81" i="1"/>
  <c r="MX81" i="1"/>
  <c r="MW81" i="1"/>
  <c r="MV81" i="1"/>
  <c r="MU81" i="1"/>
  <c r="MT81" i="1"/>
  <c r="MS81" i="1"/>
  <c r="MR81" i="1"/>
  <c r="MQ81" i="1"/>
  <c r="MP81" i="1"/>
  <c r="MO81" i="1"/>
  <c r="MN81" i="1"/>
  <c r="MM81" i="1"/>
  <c r="ML81" i="1"/>
  <c r="MK81" i="1"/>
  <c r="MJ81" i="1"/>
  <c r="MI81" i="1"/>
  <c r="MH81" i="1"/>
  <c r="MG81" i="1"/>
  <c r="MF81" i="1"/>
  <c r="ME81" i="1"/>
  <c r="MD81" i="1"/>
  <c r="MC81" i="1"/>
  <c r="MB81" i="1"/>
  <c r="MA81" i="1"/>
  <c r="LZ81" i="1"/>
  <c r="LY81" i="1"/>
  <c r="LX81" i="1"/>
  <c r="LW81" i="1"/>
  <c r="LV81" i="1"/>
  <c r="LU81" i="1"/>
  <c r="LT81" i="1"/>
  <c r="LS81" i="1"/>
  <c r="LR81" i="1"/>
  <c r="LQ81" i="1"/>
  <c r="LP81" i="1"/>
  <c r="LO81" i="1"/>
  <c r="LN81" i="1"/>
  <c r="LM81" i="1"/>
  <c r="LL81" i="1"/>
  <c r="LK81" i="1"/>
  <c r="LJ81" i="1"/>
  <c r="LI81" i="1"/>
  <c r="LH81" i="1"/>
  <c r="LG81" i="1"/>
  <c r="LF81" i="1"/>
  <c r="LE81" i="1"/>
  <c r="LD81" i="1"/>
  <c r="LC81" i="1"/>
  <c r="LB81" i="1"/>
  <c r="LA81" i="1"/>
  <c r="KZ81" i="1"/>
  <c r="KY81" i="1"/>
  <c r="KX81" i="1"/>
  <c r="KW81" i="1"/>
  <c r="KV81" i="1"/>
  <c r="KU81" i="1"/>
  <c r="KT81" i="1"/>
  <c r="KS81" i="1"/>
  <c r="KR81" i="1"/>
  <c r="KQ81" i="1"/>
  <c r="KP81" i="1"/>
  <c r="KO81" i="1"/>
  <c r="KN81" i="1"/>
  <c r="KM81" i="1"/>
  <c r="KL81" i="1"/>
  <c r="KK81" i="1"/>
  <c r="KJ81" i="1"/>
  <c r="KI81" i="1"/>
  <c r="KH81" i="1"/>
  <c r="KG81" i="1"/>
  <c r="KF81" i="1"/>
  <c r="KE81" i="1"/>
  <c r="KD81" i="1"/>
  <c r="KC81" i="1"/>
  <c r="KB81" i="1"/>
  <c r="KA81" i="1"/>
  <c r="JZ81" i="1"/>
  <c r="JY81" i="1"/>
  <c r="JX81" i="1"/>
  <c r="JW81" i="1"/>
  <c r="JV81" i="1"/>
  <c r="JU81" i="1"/>
  <c r="JT81" i="1"/>
  <c r="JS81" i="1"/>
  <c r="JR81" i="1"/>
  <c r="JQ81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EI81" i="1"/>
  <c r="EH81" i="1"/>
  <c r="EG81" i="1"/>
  <c r="EF81" i="1"/>
  <c r="EE81" i="1"/>
  <c r="ED81" i="1"/>
  <c r="EC81" i="1"/>
  <c r="EB81" i="1"/>
  <c r="EA81" i="1"/>
  <c r="DZ81" i="1"/>
  <c r="DY81" i="1"/>
  <c r="DX81" i="1"/>
  <c r="DW81" i="1"/>
  <c r="DV81" i="1"/>
  <c r="DU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ABR77" i="1"/>
  <c r="ABQ77" i="1"/>
  <c r="ABP77" i="1"/>
  <c r="ABO77" i="1"/>
  <c r="ABN77" i="1"/>
  <c r="ABM77" i="1"/>
  <c r="ABL77" i="1"/>
  <c r="ABK77" i="1"/>
  <c r="ABJ77" i="1"/>
  <c r="ABI77" i="1"/>
  <c r="ABH77" i="1"/>
  <c r="ABG77" i="1"/>
  <c r="ABF77" i="1"/>
  <c r="ABE77" i="1"/>
  <c r="ABD77" i="1"/>
  <c r="ABC77" i="1"/>
  <c r="ABB77" i="1"/>
  <c r="ABA77" i="1"/>
  <c r="AAZ77" i="1"/>
  <c r="AAY77" i="1"/>
  <c r="AAX77" i="1"/>
  <c r="AAW77" i="1"/>
  <c r="AAV77" i="1"/>
  <c r="AAU77" i="1"/>
  <c r="AAT77" i="1"/>
  <c r="AAS77" i="1"/>
  <c r="AAR77" i="1"/>
  <c r="AAQ77" i="1"/>
  <c r="AAP77" i="1"/>
  <c r="AAO77" i="1"/>
  <c r="AAN77" i="1"/>
  <c r="AAM77" i="1"/>
  <c r="AAL77" i="1"/>
  <c r="AAK77" i="1"/>
  <c r="AAJ77" i="1"/>
  <c r="AAI77" i="1"/>
  <c r="AAH77" i="1"/>
  <c r="AAG77" i="1"/>
  <c r="AAF77" i="1"/>
  <c r="AAE77" i="1"/>
  <c r="AAD77" i="1"/>
  <c r="AAC77" i="1"/>
  <c r="AAB77" i="1"/>
  <c r="AAA77" i="1"/>
  <c r="ZZ77" i="1"/>
  <c r="ZY77" i="1"/>
  <c r="ZX77" i="1"/>
  <c r="ZW77" i="1"/>
  <c r="ZV77" i="1"/>
  <c r="ZU77" i="1"/>
  <c r="ZT77" i="1"/>
  <c r="ZS77" i="1"/>
  <c r="ZR77" i="1"/>
  <c r="ZQ77" i="1"/>
  <c r="ZP77" i="1"/>
  <c r="ZO77" i="1"/>
  <c r="ZN77" i="1"/>
  <c r="ZM77" i="1"/>
  <c r="ZL77" i="1"/>
  <c r="ZK77" i="1"/>
  <c r="ZJ77" i="1"/>
  <c r="ZI77" i="1"/>
  <c r="ZH77" i="1"/>
  <c r="ZG77" i="1"/>
  <c r="ZF77" i="1"/>
  <c r="ZE77" i="1"/>
  <c r="ZD77" i="1"/>
  <c r="ZC77" i="1"/>
  <c r="ZB77" i="1"/>
  <c r="ZA77" i="1"/>
  <c r="YZ77" i="1"/>
  <c r="YY77" i="1"/>
  <c r="YX77" i="1"/>
  <c r="YW77" i="1"/>
  <c r="YV77" i="1"/>
  <c r="YU77" i="1"/>
  <c r="YT77" i="1"/>
  <c r="YS77" i="1"/>
  <c r="YR77" i="1"/>
  <c r="YQ77" i="1"/>
  <c r="YP77" i="1"/>
  <c r="YO77" i="1"/>
  <c r="YN77" i="1"/>
  <c r="YM77" i="1"/>
  <c r="YL77" i="1"/>
  <c r="YK77" i="1"/>
  <c r="YJ77" i="1"/>
  <c r="YI77" i="1"/>
  <c r="YH77" i="1"/>
  <c r="YG77" i="1"/>
  <c r="YF77" i="1"/>
  <c r="YE77" i="1"/>
  <c r="YD77" i="1"/>
  <c r="YC77" i="1"/>
  <c r="YB77" i="1"/>
  <c r="YA77" i="1"/>
  <c r="XZ77" i="1"/>
  <c r="XY77" i="1"/>
  <c r="XX77" i="1"/>
  <c r="XW77" i="1"/>
  <c r="XV77" i="1"/>
  <c r="XU77" i="1"/>
  <c r="XT77" i="1"/>
  <c r="XS77" i="1"/>
  <c r="XR77" i="1"/>
  <c r="XQ77" i="1"/>
  <c r="XP77" i="1"/>
  <c r="XO77" i="1"/>
  <c r="XN77" i="1"/>
  <c r="XM77" i="1"/>
  <c r="XL77" i="1"/>
  <c r="XK77" i="1"/>
  <c r="XJ77" i="1"/>
  <c r="XI77" i="1"/>
  <c r="XH77" i="1"/>
  <c r="XG77" i="1"/>
  <c r="XF77" i="1"/>
  <c r="XE77" i="1"/>
  <c r="XD77" i="1"/>
  <c r="XC77" i="1"/>
  <c r="XB77" i="1"/>
  <c r="XA77" i="1"/>
  <c r="WZ77" i="1"/>
  <c r="WY77" i="1"/>
  <c r="WX77" i="1"/>
  <c r="WW77" i="1"/>
  <c r="WV77" i="1"/>
  <c r="WU77" i="1"/>
  <c r="WT77" i="1"/>
  <c r="WS77" i="1"/>
  <c r="WR77" i="1"/>
  <c r="WQ77" i="1"/>
  <c r="WP77" i="1"/>
  <c r="WO77" i="1"/>
  <c r="WN77" i="1"/>
  <c r="WM77" i="1"/>
  <c r="WL77" i="1"/>
  <c r="WK77" i="1"/>
  <c r="WJ77" i="1"/>
  <c r="WI77" i="1"/>
  <c r="WH77" i="1"/>
  <c r="WG77" i="1"/>
  <c r="WF77" i="1"/>
  <c r="WE77" i="1"/>
  <c r="WD77" i="1"/>
  <c r="WC77" i="1"/>
  <c r="WB77" i="1"/>
  <c r="WA77" i="1"/>
  <c r="VZ77" i="1"/>
  <c r="VY77" i="1"/>
  <c r="VX77" i="1"/>
  <c r="VW77" i="1"/>
  <c r="VV77" i="1"/>
  <c r="VU77" i="1"/>
  <c r="VT77" i="1"/>
  <c r="VS77" i="1"/>
  <c r="VR77" i="1"/>
  <c r="VQ77" i="1"/>
  <c r="VP77" i="1"/>
  <c r="VO77" i="1"/>
  <c r="VN77" i="1"/>
  <c r="VM77" i="1"/>
  <c r="VL77" i="1"/>
  <c r="VK77" i="1"/>
  <c r="VJ77" i="1"/>
  <c r="VI77" i="1"/>
  <c r="VH77" i="1"/>
  <c r="VG77" i="1"/>
  <c r="VF77" i="1"/>
  <c r="VE77" i="1"/>
  <c r="VD77" i="1"/>
  <c r="VC77" i="1"/>
  <c r="VB77" i="1"/>
  <c r="VA77" i="1"/>
  <c r="UZ77" i="1"/>
  <c r="UY77" i="1"/>
  <c r="UX77" i="1"/>
  <c r="UW77" i="1"/>
  <c r="UV77" i="1"/>
  <c r="UU77" i="1"/>
  <c r="UT77" i="1"/>
  <c r="US77" i="1"/>
  <c r="UR77" i="1"/>
  <c r="UQ77" i="1"/>
  <c r="UP77" i="1"/>
  <c r="UO77" i="1"/>
  <c r="UN77" i="1"/>
  <c r="UM77" i="1"/>
  <c r="UL77" i="1"/>
  <c r="UK77" i="1"/>
  <c r="UJ77" i="1"/>
  <c r="UI77" i="1"/>
  <c r="UH77" i="1"/>
  <c r="UG77" i="1"/>
  <c r="UF77" i="1"/>
  <c r="UE77" i="1"/>
  <c r="UD77" i="1"/>
  <c r="UC77" i="1"/>
  <c r="UB77" i="1"/>
  <c r="UA77" i="1"/>
  <c r="TZ77" i="1"/>
  <c r="TY77" i="1"/>
  <c r="TX77" i="1"/>
  <c r="TW77" i="1"/>
  <c r="TV77" i="1"/>
  <c r="TU77" i="1"/>
  <c r="TT77" i="1"/>
  <c r="TS77" i="1"/>
  <c r="TR77" i="1"/>
  <c r="TQ77" i="1"/>
  <c r="TP77" i="1"/>
  <c r="TO77" i="1"/>
  <c r="TN77" i="1"/>
  <c r="TM77" i="1"/>
  <c r="TL77" i="1"/>
  <c r="TK77" i="1"/>
  <c r="TJ77" i="1"/>
  <c r="TI77" i="1"/>
  <c r="TH77" i="1"/>
  <c r="TG77" i="1"/>
  <c r="TF77" i="1"/>
  <c r="TE77" i="1"/>
  <c r="TD77" i="1"/>
  <c r="TC77" i="1"/>
  <c r="TB77" i="1"/>
  <c r="TA77" i="1"/>
  <c r="SZ77" i="1"/>
  <c r="SY77" i="1"/>
  <c r="SX77" i="1"/>
  <c r="SW77" i="1"/>
  <c r="SV77" i="1"/>
  <c r="SU77" i="1"/>
  <c r="ST77" i="1"/>
  <c r="SS77" i="1"/>
  <c r="SR77" i="1"/>
  <c r="SQ77" i="1"/>
  <c r="SP77" i="1"/>
  <c r="SO77" i="1"/>
  <c r="SN77" i="1"/>
  <c r="SM77" i="1"/>
  <c r="SL77" i="1"/>
  <c r="SK77" i="1"/>
  <c r="SJ77" i="1"/>
  <c r="SI77" i="1"/>
  <c r="SH77" i="1"/>
  <c r="SG77" i="1"/>
  <c r="SF77" i="1"/>
  <c r="SE77" i="1"/>
  <c r="SD77" i="1"/>
  <c r="SC77" i="1"/>
  <c r="SB77" i="1"/>
  <c r="SA77" i="1"/>
  <c r="RZ77" i="1"/>
  <c r="RY77" i="1"/>
  <c r="RX77" i="1"/>
  <c r="RW77" i="1"/>
  <c r="RV77" i="1"/>
  <c r="RU77" i="1"/>
  <c r="RT77" i="1"/>
  <c r="RS77" i="1"/>
  <c r="RR77" i="1"/>
  <c r="RQ77" i="1"/>
  <c r="RP77" i="1"/>
  <c r="RO77" i="1"/>
  <c r="RN77" i="1"/>
  <c r="RM77" i="1"/>
  <c r="RL77" i="1"/>
  <c r="RK77" i="1"/>
  <c r="RJ77" i="1"/>
  <c r="RI77" i="1"/>
  <c r="RH77" i="1"/>
  <c r="RG77" i="1"/>
  <c r="RF77" i="1"/>
  <c r="RE77" i="1"/>
  <c r="RD77" i="1"/>
  <c r="RC77" i="1"/>
  <c r="RB77" i="1"/>
  <c r="RA77" i="1"/>
  <c r="QZ77" i="1"/>
  <c r="QY77" i="1"/>
  <c r="QX77" i="1"/>
  <c r="QW77" i="1"/>
  <c r="QV77" i="1"/>
  <c r="QU77" i="1"/>
  <c r="QT77" i="1"/>
  <c r="QS77" i="1"/>
  <c r="QR77" i="1"/>
  <c r="QQ77" i="1"/>
  <c r="QP77" i="1"/>
  <c r="QO77" i="1"/>
  <c r="QN77" i="1"/>
  <c r="QM77" i="1"/>
  <c r="QL77" i="1"/>
  <c r="QK77" i="1"/>
  <c r="QJ77" i="1"/>
  <c r="QI77" i="1"/>
  <c r="QH77" i="1"/>
  <c r="QG77" i="1"/>
  <c r="QF77" i="1"/>
  <c r="QE77" i="1"/>
  <c r="QD77" i="1"/>
  <c r="QC77" i="1"/>
  <c r="QB77" i="1"/>
  <c r="QA77" i="1"/>
  <c r="PZ77" i="1"/>
  <c r="PY77" i="1"/>
  <c r="PX77" i="1"/>
  <c r="PW77" i="1"/>
  <c r="PV77" i="1"/>
  <c r="PU77" i="1"/>
  <c r="PT77" i="1"/>
  <c r="PS77" i="1"/>
  <c r="PR77" i="1"/>
  <c r="PQ77" i="1"/>
  <c r="PP77" i="1"/>
  <c r="PO77" i="1"/>
  <c r="PN77" i="1"/>
  <c r="PM77" i="1"/>
  <c r="PL77" i="1"/>
  <c r="PK77" i="1"/>
  <c r="PJ77" i="1"/>
  <c r="PI77" i="1"/>
  <c r="PH77" i="1"/>
  <c r="PG77" i="1"/>
  <c r="PF77" i="1"/>
  <c r="PE77" i="1"/>
  <c r="PD77" i="1"/>
  <c r="PC77" i="1"/>
  <c r="PB77" i="1"/>
  <c r="PA77" i="1"/>
  <c r="OZ77" i="1"/>
  <c r="OY77" i="1"/>
  <c r="OX77" i="1"/>
  <c r="OW77" i="1"/>
  <c r="OV77" i="1"/>
  <c r="OU77" i="1"/>
  <c r="OT77" i="1"/>
  <c r="OS77" i="1"/>
  <c r="OR77" i="1"/>
  <c r="OQ77" i="1"/>
  <c r="OP77" i="1"/>
  <c r="OO77" i="1"/>
  <c r="ON77" i="1"/>
  <c r="OM77" i="1"/>
  <c r="OL77" i="1"/>
  <c r="OK77" i="1"/>
  <c r="OJ77" i="1"/>
  <c r="OI77" i="1"/>
  <c r="OH77" i="1"/>
  <c r="OG77" i="1"/>
  <c r="OF77" i="1"/>
  <c r="OE77" i="1"/>
  <c r="OD77" i="1"/>
  <c r="OC77" i="1"/>
  <c r="OB77" i="1"/>
  <c r="OA77" i="1"/>
  <c r="NZ77" i="1"/>
  <c r="NY77" i="1"/>
  <c r="NX77" i="1"/>
  <c r="NW77" i="1"/>
  <c r="NV77" i="1"/>
  <c r="NU77" i="1"/>
  <c r="NT77" i="1"/>
  <c r="NS77" i="1"/>
  <c r="NR77" i="1"/>
  <c r="NQ77" i="1"/>
  <c r="NP77" i="1"/>
  <c r="NO77" i="1"/>
  <c r="NN77" i="1"/>
  <c r="NM77" i="1"/>
  <c r="NL77" i="1"/>
  <c r="NK77" i="1"/>
  <c r="NJ77" i="1"/>
  <c r="NI77" i="1"/>
  <c r="NH77" i="1"/>
  <c r="NG77" i="1"/>
  <c r="NF77" i="1"/>
  <c r="NE77" i="1"/>
  <c r="ND77" i="1"/>
  <c r="NC77" i="1"/>
  <c r="NB77" i="1"/>
  <c r="NA77" i="1"/>
  <c r="MZ77" i="1"/>
  <c r="MY77" i="1"/>
  <c r="MX77" i="1"/>
  <c r="MW77" i="1"/>
  <c r="MV77" i="1"/>
  <c r="MU77" i="1"/>
  <c r="MT77" i="1"/>
  <c r="MS77" i="1"/>
  <c r="MR77" i="1"/>
  <c r="MQ77" i="1"/>
  <c r="MP77" i="1"/>
  <c r="MO77" i="1"/>
  <c r="MN77" i="1"/>
  <c r="MM77" i="1"/>
  <c r="ML77" i="1"/>
  <c r="MK77" i="1"/>
  <c r="MJ77" i="1"/>
  <c r="MI77" i="1"/>
  <c r="MH77" i="1"/>
  <c r="MG77" i="1"/>
  <c r="MF77" i="1"/>
  <c r="ME77" i="1"/>
  <c r="MD77" i="1"/>
  <c r="MC77" i="1"/>
  <c r="MB77" i="1"/>
  <c r="MA77" i="1"/>
  <c r="LZ77" i="1"/>
  <c r="LY77" i="1"/>
  <c r="LX77" i="1"/>
  <c r="LW77" i="1"/>
  <c r="LV77" i="1"/>
  <c r="LU77" i="1"/>
  <c r="LT77" i="1"/>
  <c r="LS77" i="1"/>
  <c r="LR77" i="1"/>
  <c r="LQ77" i="1"/>
  <c r="LP77" i="1"/>
  <c r="LO77" i="1"/>
  <c r="LN77" i="1"/>
  <c r="LM77" i="1"/>
  <c r="LL77" i="1"/>
  <c r="LK77" i="1"/>
  <c r="LJ77" i="1"/>
  <c r="LI77" i="1"/>
  <c r="LH77" i="1"/>
  <c r="LG77" i="1"/>
  <c r="LF77" i="1"/>
  <c r="LE77" i="1"/>
  <c r="LD77" i="1"/>
  <c r="LC77" i="1"/>
  <c r="LB77" i="1"/>
  <c r="LA77" i="1"/>
  <c r="KZ77" i="1"/>
  <c r="KY77" i="1"/>
  <c r="KX77" i="1"/>
  <c r="KW77" i="1"/>
  <c r="KV77" i="1"/>
  <c r="KU77" i="1"/>
  <c r="KT77" i="1"/>
  <c r="KS77" i="1"/>
  <c r="KR77" i="1"/>
  <c r="KQ77" i="1"/>
  <c r="KP77" i="1"/>
  <c r="KO77" i="1"/>
  <c r="KN77" i="1"/>
  <c r="KM77" i="1"/>
  <c r="KL77" i="1"/>
  <c r="KK77" i="1"/>
  <c r="KJ77" i="1"/>
  <c r="KI77" i="1"/>
  <c r="KH77" i="1"/>
  <c r="KG77" i="1"/>
  <c r="KF77" i="1"/>
  <c r="KE77" i="1"/>
  <c r="KD77" i="1"/>
  <c r="KC77" i="1"/>
  <c r="KB77" i="1"/>
  <c r="KA77" i="1"/>
  <c r="JZ77" i="1"/>
  <c r="JY77" i="1"/>
  <c r="JX77" i="1"/>
  <c r="JW77" i="1"/>
  <c r="JV77" i="1"/>
  <c r="JU77" i="1"/>
  <c r="JT77" i="1"/>
  <c r="JS77" i="1"/>
  <c r="JR77" i="1"/>
  <c r="JQ77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EI77" i="1"/>
  <c r="EH77" i="1"/>
  <c r="EG77" i="1"/>
  <c r="EF77" i="1"/>
  <c r="EE77" i="1"/>
  <c r="ED77" i="1"/>
  <c r="EC77" i="1"/>
  <c r="EB77" i="1"/>
  <c r="EA77" i="1"/>
  <c r="DZ77" i="1"/>
  <c r="DY77" i="1"/>
  <c r="DX77" i="1"/>
  <c r="DW77" i="1"/>
  <c r="DV77" i="1"/>
  <c r="DU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5" i="1"/>
  <c r="G75" i="1"/>
  <c r="P74" i="1"/>
  <c r="G74" i="1"/>
  <c r="P73" i="1"/>
  <c r="G73" i="1"/>
  <c r="P72" i="1"/>
  <c r="G72" i="1"/>
  <c r="P70" i="1"/>
  <c r="G70" i="1"/>
  <c r="P69" i="1"/>
  <c r="G69" i="1"/>
  <c r="P68" i="1"/>
  <c r="G68" i="1"/>
  <c r="P67" i="1"/>
  <c r="G67" i="1"/>
  <c r="P66" i="1"/>
  <c r="G66" i="1"/>
  <c r="P65" i="1"/>
  <c r="G65" i="1"/>
  <c r="P64" i="1"/>
  <c r="G64" i="1"/>
  <c r="Q42" i="1"/>
  <c r="ABJ39" i="1"/>
  <c r="ABJ41" i="1" s="1"/>
  <c r="ABR37" i="1"/>
  <c r="ABQ37" i="1"/>
  <c r="ABP37" i="1"/>
  <c r="ABO37" i="1"/>
  <c r="ABN37" i="1"/>
  <c r="ABM37" i="1"/>
  <c r="ABL37" i="1"/>
  <c r="ABK37" i="1"/>
  <c r="ABJ37" i="1"/>
  <c r="ABI37" i="1"/>
  <c r="ABH37" i="1"/>
  <c r="ABG37" i="1"/>
  <c r="ABF37" i="1"/>
  <c r="ABE37" i="1"/>
  <c r="ABD37" i="1"/>
  <c r="ABC37" i="1"/>
  <c r="ABB37" i="1"/>
  <c r="ABA37" i="1"/>
  <c r="AAZ37" i="1"/>
  <c r="AAY37" i="1"/>
  <c r="AAX37" i="1"/>
  <c r="AAW37" i="1"/>
  <c r="AAV37" i="1"/>
  <c r="AAU37" i="1"/>
  <c r="AAT37" i="1"/>
  <c r="AAS37" i="1"/>
  <c r="AAR37" i="1"/>
  <c r="AAQ37" i="1"/>
  <c r="AAP37" i="1"/>
  <c r="AAO37" i="1"/>
  <c r="AAN37" i="1"/>
  <c r="AAM37" i="1"/>
  <c r="AAL37" i="1"/>
  <c r="AAK37" i="1"/>
  <c r="AAJ37" i="1"/>
  <c r="AAI37" i="1"/>
  <c r="AAH37" i="1"/>
  <c r="AAG37" i="1"/>
  <c r="AAF37" i="1"/>
  <c r="AAE37" i="1"/>
  <c r="AAD37" i="1"/>
  <c r="AAC37" i="1"/>
  <c r="AAB37" i="1"/>
  <c r="AAA37" i="1"/>
  <c r="ZZ37" i="1"/>
  <c r="ZY37" i="1"/>
  <c r="ZX37" i="1"/>
  <c r="ZW37" i="1"/>
  <c r="ZV37" i="1"/>
  <c r="ZU37" i="1"/>
  <c r="ZT37" i="1"/>
  <c r="ZS37" i="1"/>
  <c r="ZR37" i="1"/>
  <c r="ZQ37" i="1"/>
  <c r="ZP37" i="1"/>
  <c r="ZO37" i="1"/>
  <c r="ZN37" i="1"/>
  <c r="ZM37" i="1"/>
  <c r="ZL37" i="1"/>
  <c r="ZK37" i="1"/>
  <c r="ZJ37" i="1"/>
  <c r="ZI37" i="1"/>
  <c r="ZH37" i="1"/>
  <c r="ZG37" i="1"/>
  <c r="ZF37" i="1"/>
  <c r="ZE37" i="1"/>
  <c r="ZD37" i="1"/>
  <c r="ZC37" i="1"/>
  <c r="ZB37" i="1"/>
  <c r="ZA37" i="1"/>
  <c r="YZ37" i="1"/>
  <c r="YY37" i="1"/>
  <c r="YX37" i="1"/>
  <c r="YW37" i="1"/>
  <c r="YV37" i="1"/>
  <c r="YU37" i="1"/>
  <c r="YT37" i="1"/>
  <c r="YS37" i="1"/>
  <c r="YR37" i="1"/>
  <c r="YQ37" i="1"/>
  <c r="YP37" i="1"/>
  <c r="YO37" i="1"/>
  <c r="YN37" i="1"/>
  <c r="YM37" i="1"/>
  <c r="YL37" i="1"/>
  <c r="YK37" i="1"/>
  <c r="YJ37" i="1"/>
  <c r="YI37" i="1"/>
  <c r="YH37" i="1"/>
  <c r="YG37" i="1"/>
  <c r="YF37" i="1"/>
  <c r="YE37" i="1"/>
  <c r="YD37" i="1"/>
  <c r="YC37" i="1"/>
  <c r="YB37" i="1"/>
  <c r="YA37" i="1"/>
  <c r="XZ37" i="1"/>
  <c r="XY37" i="1"/>
  <c r="XX37" i="1"/>
  <c r="XW37" i="1"/>
  <c r="XV37" i="1"/>
  <c r="XU37" i="1"/>
  <c r="XT37" i="1"/>
  <c r="XS37" i="1"/>
  <c r="XR37" i="1"/>
  <c r="XQ37" i="1"/>
  <c r="XP37" i="1"/>
  <c r="XO37" i="1"/>
  <c r="XN37" i="1"/>
  <c r="XM37" i="1"/>
  <c r="XL37" i="1"/>
  <c r="XK37" i="1"/>
  <c r="XJ37" i="1"/>
  <c r="XI37" i="1"/>
  <c r="XH37" i="1"/>
  <c r="XG37" i="1"/>
  <c r="XF37" i="1"/>
  <c r="XE37" i="1"/>
  <c r="XD37" i="1"/>
  <c r="XC37" i="1"/>
  <c r="XB37" i="1"/>
  <c r="XA37" i="1"/>
  <c r="WZ37" i="1"/>
  <c r="WY37" i="1"/>
  <c r="WX37" i="1"/>
  <c r="WW37" i="1"/>
  <c r="WV37" i="1"/>
  <c r="WU37" i="1"/>
  <c r="WT37" i="1"/>
  <c r="WS37" i="1"/>
  <c r="WR37" i="1"/>
  <c r="WQ37" i="1"/>
  <c r="WP37" i="1"/>
  <c r="WO37" i="1"/>
  <c r="WN37" i="1"/>
  <c r="WM37" i="1"/>
  <c r="WL37" i="1"/>
  <c r="WK37" i="1"/>
  <c r="WJ37" i="1"/>
  <c r="WI37" i="1"/>
  <c r="WH37" i="1"/>
  <c r="WG37" i="1"/>
  <c r="WF37" i="1"/>
  <c r="WE37" i="1"/>
  <c r="WD37" i="1"/>
  <c r="WC37" i="1"/>
  <c r="WB37" i="1"/>
  <c r="WA37" i="1"/>
  <c r="VZ37" i="1"/>
  <c r="VY37" i="1"/>
  <c r="VX37" i="1"/>
  <c r="VW37" i="1"/>
  <c r="VV37" i="1"/>
  <c r="VU37" i="1"/>
  <c r="VT37" i="1"/>
  <c r="VS37" i="1"/>
  <c r="VR37" i="1"/>
  <c r="VQ37" i="1"/>
  <c r="VP37" i="1"/>
  <c r="VO37" i="1"/>
  <c r="VN37" i="1"/>
  <c r="VM37" i="1"/>
  <c r="VL37" i="1"/>
  <c r="VK37" i="1"/>
  <c r="VJ37" i="1"/>
  <c r="VI37" i="1"/>
  <c r="VH37" i="1"/>
  <c r="VG37" i="1"/>
  <c r="VF37" i="1"/>
  <c r="VE37" i="1"/>
  <c r="VD37" i="1"/>
  <c r="VC37" i="1"/>
  <c r="VB37" i="1"/>
  <c r="VA37" i="1"/>
  <c r="UZ37" i="1"/>
  <c r="UY37" i="1"/>
  <c r="UX37" i="1"/>
  <c r="UW37" i="1"/>
  <c r="UV37" i="1"/>
  <c r="UU37" i="1"/>
  <c r="UT37" i="1"/>
  <c r="US37" i="1"/>
  <c r="UR37" i="1"/>
  <c r="UQ37" i="1"/>
  <c r="UP37" i="1"/>
  <c r="UO37" i="1"/>
  <c r="UN37" i="1"/>
  <c r="UM37" i="1"/>
  <c r="UL37" i="1"/>
  <c r="UK37" i="1"/>
  <c r="UJ37" i="1"/>
  <c r="UI37" i="1"/>
  <c r="UH37" i="1"/>
  <c r="UG37" i="1"/>
  <c r="UF37" i="1"/>
  <c r="UE37" i="1"/>
  <c r="UD37" i="1"/>
  <c r="UC37" i="1"/>
  <c r="UB37" i="1"/>
  <c r="UA37" i="1"/>
  <c r="TZ37" i="1"/>
  <c r="TY37" i="1"/>
  <c r="TX37" i="1"/>
  <c r="TW37" i="1"/>
  <c r="TV37" i="1"/>
  <c r="TU37" i="1"/>
  <c r="TT37" i="1"/>
  <c r="TS37" i="1"/>
  <c r="TR37" i="1"/>
  <c r="TQ37" i="1"/>
  <c r="TP37" i="1"/>
  <c r="TO37" i="1"/>
  <c r="TN37" i="1"/>
  <c r="TM37" i="1"/>
  <c r="TL37" i="1"/>
  <c r="TK37" i="1"/>
  <c r="TJ37" i="1"/>
  <c r="TI37" i="1"/>
  <c r="TH37" i="1"/>
  <c r="TG37" i="1"/>
  <c r="TF37" i="1"/>
  <c r="TE37" i="1"/>
  <c r="TD37" i="1"/>
  <c r="TC37" i="1"/>
  <c r="TB37" i="1"/>
  <c r="TA37" i="1"/>
  <c r="SZ37" i="1"/>
  <c r="SY37" i="1"/>
  <c r="SX37" i="1"/>
  <c r="SW37" i="1"/>
  <c r="SV37" i="1"/>
  <c r="SU37" i="1"/>
  <c r="ST37" i="1"/>
  <c r="SS37" i="1"/>
  <c r="SR37" i="1"/>
  <c r="SQ37" i="1"/>
  <c r="SP37" i="1"/>
  <c r="SO37" i="1"/>
  <c r="SN37" i="1"/>
  <c r="SM37" i="1"/>
  <c r="SL37" i="1"/>
  <c r="SK37" i="1"/>
  <c r="SJ37" i="1"/>
  <c r="SI37" i="1"/>
  <c r="SH37" i="1"/>
  <c r="SG37" i="1"/>
  <c r="SF37" i="1"/>
  <c r="SE37" i="1"/>
  <c r="SD37" i="1"/>
  <c r="SC37" i="1"/>
  <c r="SB37" i="1"/>
  <c r="SA37" i="1"/>
  <c r="RZ37" i="1"/>
  <c r="RY37" i="1"/>
  <c r="RX37" i="1"/>
  <c r="RW37" i="1"/>
  <c r="RV37" i="1"/>
  <c r="RU37" i="1"/>
  <c r="RT37" i="1"/>
  <c r="RS37" i="1"/>
  <c r="RR37" i="1"/>
  <c r="RQ37" i="1"/>
  <c r="RP37" i="1"/>
  <c r="RO37" i="1"/>
  <c r="RN37" i="1"/>
  <c r="RM37" i="1"/>
  <c r="RL37" i="1"/>
  <c r="RK37" i="1"/>
  <c r="RJ37" i="1"/>
  <c r="RI37" i="1"/>
  <c r="RH37" i="1"/>
  <c r="RG37" i="1"/>
  <c r="RF37" i="1"/>
  <c r="RE37" i="1"/>
  <c r="RD37" i="1"/>
  <c r="RC37" i="1"/>
  <c r="RB37" i="1"/>
  <c r="RA37" i="1"/>
  <c r="QZ37" i="1"/>
  <c r="QY37" i="1"/>
  <c r="QX37" i="1"/>
  <c r="QW37" i="1"/>
  <c r="QV37" i="1"/>
  <c r="QU37" i="1"/>
  <c r="QT37" i="1"/>
  <c r="QS37" i="1"/>
  <c r="QR37" i="1"/>
  <c r="QQ37" i="1"/>
  <c r="QP37" i="1"/>
  <c r="QO37" i="1"/>
  <c r="QN37" i="1"/>
  <c r="QM37" i="1"/>
  <c r="QL37" i="1"/>
  <c r="QK37" i="1"/>
  <c r="QJ37" i="1"/>
  <c r="QI37" i="1"/>
  <c r="QH37" i="1"/>
  <c r="QG37" i="1"/>
  <c r="QF37" i="1"/>
  <c r="QE37" i="1"/>
  <c r="QD37" i="1"/>
  <c r="QC37" i="1"/>
  <c r="QB37" i="1"/>
  <c r="QA37" i="1"/>
  <c r="PZ37" i="1"/>
  <c r="PY37" i="1"/>
  <c r="PX37" i="1"/>
  <c r="PW37" i="1"/>
  <c r="PV37" i="1"/>
  <c r="PU37" i="1"/>
  <c r="PT37" i="1"/>
  <c r="PS37" i="1"/>
  <c r="PR37" i="1"/>
  <c r="PQ37" i="1"/>
  <c r="PP37" i="1"/>
  <c r="PO37" i="1"/>
  <c r="PN37" i="1"/>
  <c r="PM37" i="1"/>
  <c r="PL37" i="1"/>
  <c r="PK37" i="1"/>
  <c r="PJ37" i="1"/>
  <c r="PI37" i="1"/>
  <c r="PH37" i="1"/>
  <c r="PG37" i="1"/>
  <c r="PF37" i="1"/>
  <c r="PE37" i="1"/>
  <c r="PD37" i="1"/>
  <c r="PC37" i="1"/>
  <c r="PB37" i="1"/>
  <c r="PA37" i="1"/>
  <c r="OZ37" i="1"/>
  <c r="OY37" i="1"/>
  <c r="OX37" i="1"/>
  <c r="OW37" i="1"/>
  <c r="OV37" i="1"/>
  <c r="OU37" i="1"/>
  <c r="OT37" i="1"/>
  <c r="OS37" i="1"/>
  <c r="OR37" i="1"/>
  <c r="OQ37" i="1"/>
  <c r="OP37" i="1"/>
  <c r="OO37" i="1"/>
  <c r="ON37" i="1"/>
  <c r="OM37" i="1"/>
  <c r="OL37" i="1"/>
  <c r="OK37" i="1"/>
  <c r="OJ37" i="1"/>
  <c r="OI37" i="1"/>
  <c r="OH37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2" i="1"/>
  <c r="G32" i="1"/>
  <c r="P30" i="1"/>
  <c r="G30" i="1"/>
  <c r="P27" i="1"/>
  <c r="G27" i="1"/>
  <c r="G26" i="1"/>
  <c r="P25" i="1"/>
  <c r="G25" i="1"/>
  <c r="P24" i="1"/>
  <c r="G24" i="1"/>
  <c r="P23" i="1"/>
  <c r="G23" i="1"/>
  <c r="P22" i="1"/>
  <c r="G22" i="1"/>
  <c r="P21" i="1"/>
  <c r="G21" i="1"/>
  <c r="P20" i="1"/>
  <c r="G20" i="1"/>
  <c r="G18" i="1"/>
  <c r="G16" i="1"/>
  <c r="G13" i="1"/>
  <c r="P12" i="1"/>
  <c r="G12" i="1"/>
  <c r="G11" i="1"/>
  <c r="G10" i="1"/>
  <c r="G8" i="1"/>
  <c r="P5" i="1"/>
  <c r="G5" i="1"/>
  <c r="G4" i="1"/>
  <c r="L1" i="1"/>
  <c r="L7" i="1" s="1"/>
  <c r="M7" i="1" s="1"/>
  <c r="L28" i="1" l="1"/>
  <c r="M28" i="1" s="1"/>
  <c r="L14" i="1"/>
  <c r="M14" i="1" s="1"/>
  <c r="L75" i="1"/>
  <c r="M75" i="1" s="1"/>
  <c r="L6" i="1"/>
  <c r="M6" i="1" s="1"/>
  <c r="L17" i="1"/>
  <c r="M17" i="1" s="1"/>
  <c r="L19" i="1"/>
  <c r="M19" i="1" s="1"/>
  <c r="L31" i="1"/>
  <c r="M31" i="1" s="1"/>
  <c r="L15" i="1"/>
  <c r="M15" i="1" s="1"/>
  <c r="L9" i="1"/>
  <c r="NE39" i="1"/>
  <c r="NE41" i="1" s="1"/>
  <c r="GC39" i="1"/>
  <c r="GC41" i="1" s="1"/>
  <c r="WB39" i="1"/>
  <c r="WB41" i="1" s="1"/>
  <c r="DL39" i="1"/>
  <c r="DL41" i="1" s="1"/>
  <c r="JR39" i="1"/>
  <c r="JR41" i="1" s="1"/>
  <c r="RG39" i="1"/>
  <c r="RG41" i="1" s="1"/>
  <c r="XY39" i="1"/>
  <c r="XY41" i="1" s="1"/>
  <c r="AC39" i="1"/>
  <c r="AC41" i="1" s="1"/>
  <c r="FT39" i="1"/>
  <c r="FT41" i="1" s="1"/>
  <c r="HY39" i="1"/>
  <c r="HY41" i="1" s="1"/>
  <c r="LV39" i="1"/>
  <c r="LV41" i="1" s="1"/>
  <c r="PK39" i="1"/>
  <c r="PK41" i="1" s="1"/>
  <c r="VM39" i="1"/>
  <c r="VM41" i="1" s="1"/>
  <c r="XL39" i="1"/>
  <c r="XL41" i="1" s="1"/>
  <c r="YN39" i="1"/>
  <c r="YN41" i="1" s="1"/>
  <c r="AB39" i="1"/>
  <c r="AB41" i="1" s="1"/>
  <c r="AG39" i="1"/>
  <c r="AG41" i="1" s="1"/>
  <c r="DY39" i="1"/>
  <c r="DY41" i="1" s="1"/>
  <c r="FV39" i="1"/>
  <c r="FV41" i="1" s="1"/>
  <c r="HJ39" i="1"/>
  <c r="HJ41" i="1" s="1"/>
  <c r="JI39" i="1"/>
  <c r="JI41" i="1" s="1"/>
  <c r="LO39" i="1"/>
  <c r="LO41" i="1" s="1"/>
  <c r="LW39" i="1"/>
  <c r="LW41" i="1" s="1"/>
  <c r="NJ39" i="1"/>
  <c r="NJ41" i="1" s="1"/>
  <c r="PL39" i="1"/>
  <c r="PL41" i="1" s="1"/>
  <c r="VF39" i="1"/>
  <c r="VF41" i="1" s="1"/>
  <c r="VZ39" i="1"/>
  <c r="VZ41" i="1" s="1"/>
  <c r="WF39" i="1"/>
  <c r="WF41" i="1" s="1"/>
  <c r="XP39" i="1"/>
  <c r="XP41" i="1" s="1"/>
  <c r="YJ39" i="1"/>
  <c r="YJ41" i="1" s="1"/>
  <c r="ZT39" i="1"/>
  <c r="ZT41" i="1" s="1"/>
  <c r="L66" i="1"/>
  <c r="M66" i="1" s="1"/>
  <c r="BN39" i="1"/>
  <c r="BN41" i="1" s="1"/>
  <c r="NU39" i="1"/>
  <c r="NU41" i="1" s="1"/>
  <c r="ZV39" i="1"/>
  <c r="ZV41" i="1" s="1"/>
  <c r="BX39" i="1"/>
  <c r="BX41" i="1" s="1"/>
  <c r="NV39" i="1"/>
  <c r="NV41" i="1" s="1"/>
  <c r="AAE39" i="1"/>
  <c r="AAE41" i="1" s="1"/>
  <c r="BZ39" i="1"/>
  <c r="BZ41" i="1" s="1"/>
  <c r="OD39" i="1"/>
  <c r="OD41" i="1" s="1"/>
  <c r="AAF39" i="1"/>
  <c r="AAF41" i="1" s="1"/>
  <c r="EC39" i="1"/>
  <c r="EC41" i="1" s="1"/>
  <c r="PS39" i="1"/>
  <c r="PS41" i="1" s="1"/>
  <c r="FK39" i="1"/>
  <c r="FK41" i="1" s="1"/>
  <c r="PT39" i="1"/>
  <c r="PT41" i="1" s="1"/>
  <c r="L23" i="1"/>
  <c r="M23" i="1" s="1"/>
  <c r="FL39" i="1"/>
  <c r="FL41" i="1" s="1"/>
  <c r="RF39" i="1"/>
  <c r="RF41" i="1" s="1"/>
  <c r="HH39" i="1"/>
  <c r="HH41" i="1" s="1"/>
  <c r="PX39" i="1"/>
  <c r="PX41" i="1" s="1"/>
  <c r="AAG39" i="1"/>
  <c r="AAG41" i="1" s="1"/>
  <c r="HZ39" i="1"/>
  <c r="HZ41" i="1" s="1"/>
  <c r="RR39" i="1"/>
  <c r="RR41" i="1" s="1"/>
  <c r="IA39" i="1"/>
  <c r="IA41" i="1" s="1"/>
  <c r="RZ39" i="1"/>
  <c r="RZ41" i="1" s="1"/>
  <c r="JH39" i="1"/>
  <c r="JH41" i="1" s="1"/>
  <c r="SA39" i="1"/>
  <c r="SA41" i="1" s="1"/>
  <c r="L18" i="1"/>
  <c r="M18" i="1" s="1"/>
  <c r="L30" i="1"/>
  <c r="M30" i="1" s="1"/>
  <c r="BO39" i="1"/>
  <c r="BO41" i="1" s="1"/>
  <c r="JY39" i="1"/>
  <c r="JY41" i="1" s="1"/>
  <c r="TM39" i="1"/>
  <c r="TM41" i="1" s="1"/>
  <c r="L10" i="1"/>
  <c r="M10" i="1" s="1"/>
  <c r="BW39" i="1"/>
  <c r="BW41" i="1" s="1"/>
  <c r="JZ39" i="1"/>
  <c r="JZ41" i="1" s="1"/>
  <c r="TT39" i="1"/>
  <c r="TT41" i="1" s="1"/>
  <c r="DI39" i="1"/>
  <c r="DI41" i="1" s="1"/>
  <c r="LF39" i="1"/>
  <c r="LF41" i="1" s="1"/>
  <c r="TI39" i="1"/>
  <c r="TI41" i="1" s="1"/>
  <c r="ABR39" i="1"/>
  <c r="ABR41" i="1" s="1"/>
  <c r="L24" i="1"/>
  <c r="M24" i="1" s="1"/>
  <c r="TX39" i="1"/>
  <c r="TX41" i="1" s="1"/>
  <c r="ED39" i="1"/>
  <c r="ED41" i="1" s="1"/>
  <c r="LX39" i="1"/>
  <c r="LX41" i="1" s="1"/>
  <c r="TY39" i="1"/>
  <c r="TY41" i="1" s="1"/>
  <c r="BP39" i="1"/>
  <c r="BP41" i="1" s="1"/>
  <c r="DN39" i="1"/>
  <c r="DN41" i="1" s="1"/>
  <c r="FM39" i="1"/>
  <c r="FM41" i="1" s="1"/>
  <c r="HS39" i="1"/>
  <c r="HS41" i="1" s="1"/>
  <c r="JN39" i="1"/>
  <c r="JN41" i="1" s="1"/>
  <c r="LP39" i="1"/>
  <c r="LP41" i="1" s="1"/>
  <c r="NK39" i="1"/>
  <c r="NK41" i="1" s="1"/>
  <c r="PM39" i="1"/>
  <c r="PM41" i="1" s="1"/>
  <c r="RH39" i="1"/>
  <c r="RH41" i="1" s="1"/>
  <c r="TN39" i="1"/>
  <c r="TN41" i="1" s="1"/>
  <c r="VV39" i="1"/>
  <c r="VV41" i="1" s="1"/>
  <c r="XT39" i="1"/>
  <c r="XT41" i="1" s="1"/>
  <c r="ZX39" i="1"/>
  <c r="ZX41" i="1" s="1"/>
  <c r="L8" i="1"/>
  <c r="M8" i="1" s="1"/>
  <c r="R39" i="1"/>
  <c r="R41" i="1" s="1"/>
  <c r="BQ39" i="1"/>
  <c r="BQ41" i="1" s="1"/>
  <c r="DW39" i="1"/>
  <c r="DW41" i="1" s="1"/>
  <c r="FR39" i="1"/>
  <c r="FR41" i="1" s="1"/>
  <c r="HT39" i="1"/>
  <c r="HT41" i="1" s="1"/>
  <c r="JO39" i="1"/>
  <c r="JO41" i="1" s="1"/>
  <c r="LQ39" i="1"/>
  <c r="LQ41" i="1" s="1"/>
  <c r="NL39" i="1"/>
  <c r="NL41" i="1" s="1"/>
  <c r="PQ39" i="1"/>
  <c r="PQ41" i="1" s="1"/>
  <c r="RJ39" i="1"/>
  <c r="RJ41" i="1" s="1"/>
  <c r="TO39" i="1"/>
  <c r="TO41" i="1" s="1"/>
  <c r="VW39" i="1"/>
  <c r="VW41" i="1" s="1"/>
  <c r="XU39" i="1"/>
  <c r="XU41" i="1" s="1"/>
  <c r="AAB39" i="1"/>
  <c r="AAB41" i="1" s="1"/>
  <c r="AA39" i="1"/>
  <c r="AA41" i="1" s="1"/>
  <c r="BV39" i="1"/>
  <c r="BV41" i="1" s="1"/>
  <c r="DX39" i="1"/>
  <c r="DX41" i="1" s="1"/>
  <c r="FS39" i="1"/>
  <c r="FS41" i="1" s="1"/>
  <c r="HU39" i="1"/>
  <c r="HU41" i="1" s="1"/>
  <c r="JP39" i="1"/>
  <c r="JP41" i="1" s="1"/>
  <c r="LU39" i="1"/>
  <c r="LU41" i="1" s="1"/>
  <c r="NN39" i="1"/>
  <c r="NN41" i="1" s="1"/>
  <c r="PR39" i="1"/>
  <c r="PR41" i="1" s="1"/>
  <c r="RQ39" i="1"/>
  <c r="RQ41" i="1" s="1"/>
  <c r="TP39" i="1"/>
  <c r="TP41" i="1" s="1"/>
  <c r="VX39" i="1"/>
  <c r="VX41" i="1" s="1"/>
  <c r="XV39" i="1"/>
  <c r="XV41" i="1" s="1"/>
  <c r="AAC39" i="1"/>
  <c r="AAC41" i="1" s="1"/>
  <c r="AH39" i="1"/>
  <c r="AH41" i="1" s="1"/>
  <c r="CG39" i="1"/>
  <c r="CG41" i="1" s="1"/>
  <c r="EE39" i="1"/>
  <c r="EE41" i="1" s="1"/>
  <c r="GD39" i="1"/>
  <c r="GD41" i="1" s="1"/>
  <c r="IB39" i="1"/>
  <c r="IB41" i="1" s="1"/>
  <c r="KH39" i="1"/>
  <c r="KH41" i="1" s="1"/>
  <c r="MB39" i="1"/>
  <c r="MB41" i="1" s="1"/>
  <c r="OE39" i="1"/>
  <c r="OE41" i="1" s="1"/>
  <c r="QB39" i="1"/>
  <c r="QB41" i="1" s="1"/>
  <c r="SB39" i="1"/>
  <c r="SB41" i="1" s="1"/>
  <c r="TZ39" i="1"/>
  <c r="TZ41" i="1" s="1"/>
  <c r="WG39" i="1"/>
  <c r="WG41" i="1" s="1"/>
  <c r="YO39" i="1"/>
  <c r="YO41" i="1" s="1"/>
  <c r="AAK39" i="1"/>
  <c r="AAK41" i="1" s="1"/>
  <c r="CH39" i="1"/>
  <c r="CH41" i="1" s="1"/>
  <c r="UC39" i="1"/>
  <c r="UC41" i="1" s="1"/>
  <c r="L11" i="1"/>
  <c r="M11" i="1" s="1"/>
  <c r="AI39" i="1"/>
  <c r="AI41" i="1" s="1"/>
  <c r="QC39" i="1"/>
  <c r="QC41" i="1" s="1"/>
  <c r="MG39" i="1"/>
  <c r="MG41" i="1" s="1"/>
  <c r="AN39" i="1"/>
  <c r="AN41" i="1" s="1"/>
  <c r="YR39" i="1"/>
  <c r="YR41" i="1" s="1"/>
  <c r="GL39" i="1"/>
  <c r="GL41" i="1" s="1"/>
  <c r="WJ39" i="1"/>
  <c r="WJ41" i="1" s="1"/>
  <c r="L26" i="1"/>
  <c r="M26" i="1" s="1"/>
  <c r="WK39" i="1"/>
  <c r="WK41" i="1" s="1"/>
  <c r="AR39" i="1"/>
  <c r="AR41" i="1" s="1"/>
  <c r="AS39" i="1"/>
  <c r="AS41" i="1" s="1"/>
  <c r="CT39" i="1"/>
  <c r="CT41" i="1" s="1"/>
  <c r="EP39" i="1"/>
  <c r="EP41" i="1" s="1"/>
  <c r="GR39" i="1"/>
  <c r="GR41" i="1" s="1"/>
  <c r="IO39" i="1"/>
  <c r="IO41" i="1" s="1"/>
  <c r="KR39" i="1"/>
  <c r="KR41" i="1" s="1"/>
  <c r="MO39" i="1"/>
  <c r="MO41" i="1" s="1"/>
  <c r="OO39" i="1"/>
  <c r="OO41" i="1" s="1"/>
  <c r="QR39" i="1"/>
  <c r="QR41" i="1" s="1"/>
  <c r="SM39" i="1"/>
  <c r="SM41" i="1" s="1"/>
  <c r="UT39" i="1"/>
  <c r="UT41" i="1" s="1"/>
  <c r="L4" i="1"/>
  <c r="M4" i="1" s="1"/>
  <c r="L27" i="1"/>
  <c r="M27" i="1" s="1"/>
  <c r="AT39" i="1"/>
  <c r="AT41" i="1" s="1"/>
  <c r="CV39" i="1"/>
  <c r="CV41" i="1" s="1"/>
  <c r="ES39" i="1"/>
  <c r="ES41" i="1" s="1"/>
  <c r="GV39" i="1"/>
  <c r="GV41" i="1" s="1"/>
  <c r="IS39" i="1"/>
  <c r="IS41" i="1" s="1"/>
  <c r="KS39" i="1"/>
  <c r="KS41" i="1" s="1"/>
  <c r="MV39" i="1"/>
  <c r="MV41" i="1" s="1"/>
  <c r="OQ39" i="1"/>
  <c r="OQ41" i="1" s="1"/>
  <c r="QV39" i="1"/>
  <c r="QV41" i="1" s="1"/>
  <c r="SN39" i="1"/>
  <c r="SN41" i="1" s="1"/>
  <c r="UU39" i="1"/>
  <c r="UU41" i="1" s="1"/>
  <c r="XC39" i="1"/>
  <c r="XC41" i="1" s="1"/>
  <c r="YY39" i="1"/>
  <c r="YY41" i="1" s="1"/>
  <c r="ABF39" i="1"/>
  <c r="ABF41" i="1" s="1"/>
  <c r="L25" i="1"/>
  <c r="M25" i="1" s="1"/>
  <c r="EF39" i="1"/>
  <c r="EF41" i="1" s="1"/>
  <c r="SD39" i="1"/>
  <c r="SD41" i="1" s="1"/>
  <c r="IJ39" i="1"/>
  <c r="IJ41" i="1" s="1"/>
  <c r="YQ39" i="1"/>
  <c r="YQ41" i="1" s="1"/>
  <c r="GN39" i="1"/>
  <c r="GN41" i="1" s="1"/>
  <c r="QG39" i="1"/>
  <c r="QG41" i="1" s="1"/>
  <c r="KN39" i="1"/>
  <c r="KN41" i="1" s="1"/>
  <c r="YS39" i="1"/>
  <c r="YS41" i="1" s="1"/>
  <c r="WR39" i="1"/>
  <c r="WR41" i="1" s="1"/>
  <c r="AW39" i="1"/>
  <c r="AW41" i="1" s="1"/>
  <c r="CZ39" i="1"/>
  <c r="CZ41" i="1" s="1"/>
  <c r="EW39" i="1"/>
  <c r="EW41" i="1" s="1"/>
  <c r="GW39" i="1"/>
  <c r="GW41" i="1" s="1"/>
  <c r="IZ39" i="1"/>
  <c r="IZ41" i="1" s="1"/>
  <c r="KU39" i="1"/>
  <c r="KU41" i="1" s="1"/>
  <c r="MZ39" i="1"/>
  <c r="MZ41" i="1" s="1"/>
  <c r="OR39" i="1"/>
  <c r="OR41" i="1" s="1"/>
  <c r="QW39" i="1"/>
  <c r="QW41" i="1" s="1"/>
  <c r="SO39" i="1"/>
  <c r="SO41" i="1" s="1"/>
  <c r="UV39" i="1"/>
  <c r="UV41" i="1" s="1"/>
  <c r="XD39" i="1"/>
  <c r="XD41" i="1" s="1"/>
  <c r="YZ39" i="1"/>
  <c r="YZ41" i="1" s="1"/>
  <c r="ABG39" i="1"/>
  <c r="ABG41" i="1" s="1"/>
  <c r="OF39" i="1"/>
  <c r="OF41" i="1" s="1"/>
  <c r="KJ39" i="1"/>
  <c r="KJ41" i="1" s="1"/>
  <c r="EN39" i="1"/>
  <c r="EN41" i="1" s="1"/>
  <c r="OJ39" i="1"/>
  <c r="OJ41" i="1" s="1"/>
  <c r="AAZ39" i="1"/>
  <c r="AAZ41" i="1" s="1"/>
  <c r="L20" i="1"/>
  <c r="M20" i="1" s="1"/>
  <c r="IL39" i="1"/>
  <c r="IL41" i="1" s="1"/>
  <c r="WO39" i="1"/>
  <c r="WO41" i="1" s="1"/>
  <c r="YX39" i="1"/>
  <c r="YX41" i="1" s="1"/>
  <c r="L21" i="1"/>
  <c r="M21" i="1" s="1"/>
  <c r="L13" i="1"/>
  <c r="M13" i="1" s="1"/>
  <c r="BA39" i="1"/>
  <c r="BA41" i="1" s="1"/>
  <c r="DA39" i="1"/>
  <c r="DA41" i="1" s="1"/>
  <c r="FD39" i="1"/>
  <c r="FD41" i="1" s="1"/>
  <c r="GY39" i="1"/>
  <c r="GY41" i="1" s="1"/>
  <c r="JD39" i="1"/>
  <c r="JD41" i="1" s="1"/>
  <c r="KV39" i="1"/>
  <c r="KV41" i="1" s="1"/>
  <c r="NA39" i="1"/>
  <c r="NA41" i="1" s="1"/>
  <c r="OS39" i="1"/>
  <c r="OS41" i="1" s="1"/>
  <c r="QX39" i="1"/>
  <c r="QX41" i="1" s="1"/>
  <c r="SS39" i="1"/>
  <c r="SS41" i="1" s="1"/>
  <c r="UW39" i="1"/>
  <c r="UW41" i="1" s="1"/>
  <c r="XE39" i="1"/>
  <c r="XE41" i="1" s="1"/>
  <c r="ZB39" i="1"/>
  <c r="ZB41" i="1" s="1"/>
  <c r="ABH39" i="1"/>
  <c r="ABH41" i="1" s="1"/>
  <c r="KI39" i="1"/>
  <c r="KI41" i="1" s="1"/>
  <c r="YP39" i="1"/>
  <c r="YP41" i="1" s="1"/>
  <c r="AJ39" i="1"/>
  <c r="AJ41" i="1" s="1"/>
  <c r="GM39" i="1"/>
  <c r="GM41" i="1" s="1"/>
  <c r="OH39" i="1"/>
  <c r="OH41" i="1" s="1"/>
  <c r="UN39" i="1"/>
  <c r="UN41" i="1" s="1"/>
  <c r="L32" i="1"/>
  <c r="M32" i="1" s="1"/>
  <c r="CQ39" i="1"/>
  <c r="CQ41" i="1" s="1"/>
  <c r="KL39" i="1"/>
  <c r="KL41" i="1" s="1"/>
  <c r="UR39" i="1"/>
  <c r="UR41" i="1" s="1"/>
  <c r="GP39" i="1"/>
  <c r="GP41" i="1" s="1"/>
  <c r="MK39" i="1"/>
  <c r="MK41" i="1" s="1"/>
  <c r="SK39" i="1"/>
  <c r="SK41" i="1" s="1"/>
  <c r="ABA39" i="1"/>
  <c r="ABA41" i="1" s="1"/>
  <c r="L72" i="1"/>
  <c r="M72" i="1" s="1"/>
  <c r="ABE39" i="1"/>
  <c r="ABE41" i="1" s="1"/>
  <c r="L5" i="1"/>
  <c r="M5" i="1" s="1"/>
  <c r="BH39" i="1"/>
  <c r="BH41" i="1" s="1"/>
  <c r="DC39" i="1"/>
  <c r="DC41" i="1" s="1"/>
  <c r="FH39" i="1"/>
  <c r="FH41" i="1" s="1"/>
  <c r="GZ39" i="1"/>
  <c r="GZ41" i="1" s="1"/>
  <c r="JE39" i="1"/>
  <c r="JE41" i="1" s="1"/>
  <c r="KW39" i="1"/>
  <c r="KW41" i="1" s="1"/>
  <c r="NB39" i="1"/>
  <c r="NB41" i="1" s="1"/>
  <c r="OW39" i="1"/>
  <c r="OW41" i="1" s="1"/>
  <c r="QY39" i="1"/>
  <c r="QY41" i="1" s="1"/>
  <c r="SV39" i="1"/>
  <c r="SV41" i="1" s="1"/>
  <c r="VB39" i="1"/>
  <c r="VB41" i="1" s="1"/>
  <c r="XI39" i="1"/>
  <c r="XI41" i="1" s="1"/>
  <c r="ZI39" i="1"/>
  <c r="ZI41" i="1" s="1"/>
  <c r="ABL39" i="1"/>
  <c r="ABL41" i="1" s="1"/>
  <c r="L65" i="1"/>
  <c r="M65" i="1" s="1"/>
  <c r="IF39" i="1"/>
  <c r="IF41" i="1" s="1"/>
  <c r="WI39" i="1"/>
  <c r="WI41" i="1" s="1"/>
  <c r="L70" i="1"/>
  <c r="M70" i="1" s="1"/>
  <c r="CP39" i="1"/>
  <c r="CP41" i="1" s="1"/>
  <c r="QD39" i="1"/>
  <c r="QD41" i="1" s="1"/>
  <c r="AAY39" i="1"/>
  <c r="AAY41" i="1" s="1"/>
  <c r="IK39" i="1"/>
  <c r="IK41" i="1" s="1"/>
  <c r="SJ39" i="1"/>
  <c r="SJ41" i="1" s="1"/>
  <c r="CR39" i="1"/>
  <c r="CR41" i="1" s="1"/>
  <c r="QK39" i="1"/>
  <c r="QK41" i="1" s="1"/>
  <c r="L22" i="1"/>
  <c r="M22" i="1" s="1"/>
  <c r="BL39" i="1"/>
  <c r="BL41" i="1" s="1"/>
  <c r="DD39" i="1"/>
  <c r="DD41" i="1" s="1"/>
  <c r="FI39" i="1"/>
  <c r="FI41" i="1" s="1"/>
  <c r="HA39" i="1"/>
  <c r="HA41" i="1" s="1"/>
  <c r="JF39" i="1"/>
  <c r="JF41" i="1" s="1"/>
  <c r="LA39" i="1"/>
  <c r="LA41" i="1" s="1"/>
  <c r="NC39" i="1"/>
  <c r="NC41" i="1" s="1"/>
  <c r="OZ39" i="1"/>
  <c r="OZ41" i="1" s="1"/>
  <c r="QZ39" i="1"/>
  <c r="QZ41" i="1" s="1"/>
  <c r="TG39" i="1"/>
  <c r="TG41" i="1" s="1"/>
  <c r="VC39" i="1"/>
  <c r="VC41" i="1" s="1"/>
  <c r="XJ39" i="1"/>
  <c r="XJ41" i="1" s="1"/>
  <c r="ZR39" i="1"/>
  <c r="ZR41" i="1" s="1"/>
  <c r="ABP39" i="1"/>
  <c r="ABP41" i="1" s="1"/>
  <c r="MF39" i="1"/>
  <c r="MF41" i="1" s="1"/>
  <c r="AAN39" i="1"/>
  <c r="AAN41" i="1" s="1"/>
  <c r="EJ39" i="1"/>
  <c r="EJ41" i="1" s="1"/>
  <c r="SF39" i="1"/>
  <c r="SF41" i="1" s="1"/>
  <c r="MH39" i="1"/>
  <c r="MH41" i="1" s="1"/>
  <c r="L12" i="1"/>
  <c r="M12" i="1" s="1"/>
  <c r="EO39" i="1"/>
  <c r="EO41" i="1" s="1"/>
  <c r="ON39" i="1"/>
  <c r="ON41" i="1" s="1"/>
  <c r="US39" i="1"/>
  <c r="US41" i="1" s="1"/>
  <c r="L16" i="1"/>
  <c r="M16" i="1" s="1"/>
  <c r="BM39" i="1"/>
  <c r="BM41" i="1" s="1"/>
  <c r="DE39" i="1"/>
  <c r="DE41" i="1" s="1"/>
  <c r="FJ39" i="1"/>
  <c r="FJ41" i="1" s="1"/>
  <c r="HE39" i="1"/>
  <c r="HE41" i="1" s="1"/>
  <c r="JG39" i="1"/>
  <c r="JG41" i="1" s="1"/>
  <c r="LD39" i="1"/>
  <c r="LD41" i="1" s="1"/>
  <c r="ND39" i="1"/>
  <c r="ND41" i="1" s="1"/>
  <c r="PB39" i="1"/>
  <c r="PB41" i="1" s="1"/>
  <c r="RA39" i="1"/>
  <c r="RA41" i="1" s="1"/>
  <c r="TH39" i="1"/>
  <c r="TH41" i="1" s="1"/>
  <c r="VD39" i="1"/>
  <c r="VD41" i="1" s="1"/>
  <c r="XK39" i="1"/>
  <c r="XK41" i="1" s="1"/>
  <c r="ZS39" i="1"/>
  <c r="ZS41" i="1" s="1"/>
  <c r="ABQ39" i="1"/>
  <c r="ABQ41" i="1" s="1"/>
  <c r="AL39" i="1"/>
  <c r="AL41" i="1" s="1"/>
  <c r="BU39" i="1"/>
  <c r="BU41" i="1" s="1"/>
  <c r="DB39" i="1"/>
  <c r="DB41" i="1" s="1"/>
  <c r="EH39" i="1"/>
  <c r="EH41" i="1" s="1"/>
  <c r="FQ39" i="1"/>
  <c r="FQ41" i="1" s="1"/>
  <c r="GX39" i="1"/>
  <c r="GX41" i="1" s="1"/>
  <c r="ID39" i="1"/>
  <c r="ID41" i="1" s="1"/>
  <c r="JM39" i="1"/>
  <c r="JM41" i="1" s="1"/>
  <c r="KT39" i="1"/>
  <c r="KT41" i="1" s="1"/>
  <c r="LZ39" i="1"/>
  <c r="LZ41" i="1" s="1"/>
  <c r="NI39" i="1"/>
  <c r="NI41" i="1" s="1"/>
  <c r="OP39" i="1"/>
  <c r="OP41" i="1" s="1"/>
  <c r="PV39" i="1"/>
  <c r="PV41" i="1" s="1"/>
  <c r="RE39" i="1"/>
  <c r="RE41" i="1" s="1"/>
  <c r="SL39" i="1"/>
  <c r="SL41" i="1" s="1"/>
  <c r="TR39" i="1"/>
  <c r="TR41" i="1" s="1"/>
  <c r="VA39" i="1"/>
  <c r="VA41" i="1" s="1"/>
  <c r="WH39" i="1"/>
  <c r="WH41" i="1" s="1"/>
  <c r="XN39" i="1"/>
  <c r="XN41" i="1" s="1"/>
  <c r="YW39" i="1"/>
  <c r="YW41" i="1" s="1"/>
  <c r="AAD39" i="1"/>
  <c r="AAD41" i="1" s="1"/>
  <c r="ABN39" i="1"/>
  <c r="ABN41" i="1" s="1"/>
  <c r="AAT39" i="1"/>
  <c r="AAT41" i="1" s="1"/>
  <c r="ZZ39" i="1"/>
  <c r="ZZ41" i="1" s="1"/>
  <c r="ZF39" i="1"/>
  <c r="ZF41" i="1" s="1"/>
  <c r="YL39" i="1"/>
  <c r="YL41" i="1" s="1"/>
  <c r="XR39" i="1"/>
  <c r="XR41" i="1" s="1"/>
  <c r="WX39" i="1"/>
  <c r="WX41" i="1" s="1"/>
  <c r="WD39" i="1"/>
  <c r="WD41" i="1" s="1"/>
  <c r="VJ39" i="1"/>
  <c r="VJ41" i="1" s="1"/>
  <c r="UP39" i="1"/>
  <c r="UP41" i="1" s="1"/>
  <c r="TV39" i="1"/>
  <c r="TV41" i="1" s="1"/>
  <c r="TB39" i="1"/>
  <c r="TB41" i="1" s="1"/>
  <c r="SH39" i="1"/>
  <c r="SH41" i="1" s="1"/>
  <c r="RN39" i="1"/>
  <c r="RN41" i="1" s="1"/>
  <c r="QT39" i="1"/>
  <c r="QT41" i="1" s="1"/>
  <c r="PZ39" i="1"/>
  <c r="PZ41" i="1" s="1"/>
  <c r="PF39" i="1"/>
  <c r="PF41" i="1" s="1"/>
  <c r="OL39" i="1"/>
  <c r="OL41" i="1" s="1"/>
  <c r="NR39" i="1"/>
  <c r="NR41" i="1" s="1"/>
  <c r="MX39" i="1"/>
  <c r="MX41" i="1" s="1"/>
  <c r="MD39" i="1"/>
  <c r="MD41" i="1" s="1"/>
  <c r="LJ39" i="1"/>
  <c r="LJ41" i="1" s="1"/>
  <c r="KP39" i="1"/>
  <c r="KP41" i="1" s="1"/>
  <c r="JV39" i="1"/>
  <c r="JV41" i="1" s="1"/>
  <c r="JB39" i="1"/>
  <c r="JB41" i="1" s="1"/>
  <c r="IH39" i="1"/>
  <c r="IH41" i="1" s="1"/>
  <c r="HN39" i="1"/>
  <c r="HN41" i="1" s="1"/>
  <c r="GT39" i="1"/>
  <c r="GT41" i="1" s="1"/>
  <c r="FZ39" i="1"/>
  <c r="FZ41" i="1" s="1"/>
  <c r="FF39" i="1"/>
  <c r="FF41" i="1" s="1"/>
  <c r="EL39" i="1"/>
  <c r="EL41" i="1" s="1"/>
  <c r="DR39" i="1"/>
  <c r="DR41" i="1" s="1"/>
  <c r="CX39" i="1"/>
  <c r="CX41" i="1" s="1"/>
  <c r="CD39" i="1"/>
  <c r="CD41" i="1" s="1"/>
  <c r="BJ39" i="1"/>
  <c r="BJ41" i="1" s="1"/>
  <c r="AP39" i="1"/>
  <c r="AP41" i="1" s="1"/>
  <c r="V39" i="1"/>
  <c r="V41" i="1" s="1"/>
  <c r="ABM39" i="1"/>
  <c r="ABM41" i="1" s="1"/>
  <c r="AAS39" i="1"/>
  <c r="AAS41" i="1" s="1"/>
  <c r="ZY39" i="1"/>
  <c r="ZY41" i="1" s="1"/>
  <c r="ZE39" i="1"/>
  <c r="ZE41" i="1" s="1"/>
  <c r="YK39" i="1"/>
  <c r="YK41" i="1" s="1"/>
  <c r="XQ39" i="1"/>
  <c r="XQ41" i="1" s="1"/>
  <c r="WW39" i="1"/>
  <c r="WW41" i="1" s="1"/>
  <c r="WC39" i="1"/>
  <c r="WC41" i="1" s="1"/>
  <c r="VI39" i="1"/>
  <c r="VI41" i="1" s="1"/>
  <c r="UO39" i="1"/>
  <c r="UO41" i="1" s="1"/>
  <c r="TU39" i="1"/>
  <c r="TU41" i="1" s="1"/>
  <c r="TA39" i="1"/>
  <c r="TA41" i="1" s="1"/>
  <c r="SG39" i="1"/>
  <c r="SG41" i="1" s="1"/>
  <c r="RM39" i="1"/>
  <c r="RM41" i="1" s="1"/>
  <c r="QS39" i="1"/>
  <c r="QS41" i="1" s="1"/>
  <c r="PY39" i="1"/>
  <c r="PY41" i="1" s="1"/>
  <c r="PE39" i="1"/>
  <c r="PE41" i="1" s="1"/>
  <c r="OK39" i="1"/>
  <c r="OK41" i="1" s="1"/>
  <c r="NQ39" i="1"/>
  <c r="NQ41" i="1" s="1"/>
  <c r="MW39" i="1"/>
  <c r="MW41" i="1" s="1"/>
  <c r="MC39" i="1"/>
  <c r="MC41" i="1" s="1"/>
  <c r="LI39" i="1"/>
  <c r="LI41" i="1" s="1"/>
  <c r="KO39" i="1"/>
  <c r="KO41" i="1" s="1"/>
  <c r="JU39" i="1"/>
  <c r="JU41" i="1" s="1"/>
  <c r="JA39" i="1"/>
  <c r="JA41" i="1" s="1"/>
  <c r="IG39" i="1"/>
  <c r="IG41" i="1" s="1"/>
  <c r="HM39" i="1"/>
  <c r="HM41" i="1" s="1"/>
  <c r="GS39" i="1"/>
  <c r="GS41" i="1" s="1"/>
  <c r="FY39" i="1"/>
  <c r="FY41" i="1" s="1"/>
  <c r="FE39" i="1"/>
  <c r="FE41" i="1" s="1"/>
  <c r="EK39" i="1"/>
  <c r="EK41" i="1" s="1"/>
  <c r="DQ39" i="1"/>
  <c r="DQ41" i="1" s="1"/>
  <c r="CW39" i="1"/>
  <c r="CW41" i="1" s="1"/>
  <c r="CC39" i="1"/>
  <c r="CC41" i="1" s="1"/>
  <c r="BI39" i="1"/>
  <c r="BI41" i="1" s="1"/>
  <c r="AO39" i="1"/>
  <c r="AO41" i="1" s="1"/>
  <c r="U39" i="1"/>
  <c r="U41" i="1" s="1"/>
  <c r="ABK39" i="1"/>
  <c r="ABK41" i="1" s="1"/>
  <c r="AAQ39" i="1"/>
  <c r="AAQ41" i="1" s="1"/>
  <c r="ZW39" i="1"/>
  <c r="ZW41" i="1" s="1"/>
  <c r="ZC39" i="1"/>
  <c r="ZC41" i="1" s="1"/>
  <c r="YI39" i="1"/>
  <c r="YI41" i="1" s="1"/>
  <c r="XO39" i="1"/>
  <c r="XO41" i="1" s="1"/>
  <c r="WU39" i="1"/>
  <c r="WU41" i="1" s="1"/>
  <c r="WA39" i="1"/>
  <c r="WA41" i="1" s="1"/>
  <c r="VG39" i="1"/>
  <c r="VG41" i="1" s="1"/>
  <c r="UM39" i="1"/>
  <c r="UM41" i="1" s="1"/>
  <c r="TS39" i="1"/>
  <c r="TS41" i="1" s="1"/>
  <c r="SY39" i="1"/>
  <c r="SY41" i="1" s="1"/>
  <c r="SE39" i="1"/>
  <c r="SE41" i="1" s="1"/>
  <c r="RK39" i="1"/>
  <c r="RK41" i="1" s="1"/>
  <c r="QQ39" i="1"/>
  <c r="QQ41" i="1" s="1"/>
  <c r="PW39" i="1"/>
  <c r="PW41" i="1" s="1"/>
  <c r="PC39" i="1"/>
  <c r="PC41" i="1" s="1"/>
  <c r="OI39" i="1"/>
  <c r="OI41" i="1" s="1"/>
  <c r="NO39" i="1"/>
  <c r="NO41" i="1" s="1"/>
  <c r="MU39" i="1"/>
  <c r="MU41" i="1" s="1"/>
  <c r="MA39" i="1"/>
  <c r="MA41" i="1" s="1"/>
  <c r="LG39" i="1"/>
  <c r="LG41" i="1" s="1"/>
  <c r="KM39" i="1"/>
  <c r="KM41" i="1" s="1"/>
  <c r="JS39" i="1"/>
  <c r="JS41" i="1" s="1"/>
  <c r="IY39" i="1"/>
  <c r="IY41" i="1" s="1"/>
  <c r="IE39" i="1"/>
  <c r="IE41" i="1" s="1"/>
  <c r="HK39" i="1"/>
  <c r="HK41" i="1" s="1"/>
  <c r="GQ39" i="1"/>
  <c r="GQ41" i="1" s="1"/>
  <c r="FW39" i="1"/>
  <c r="FW41" i="1" s="1"/>
  <c r="FC39" i="1"/>
  <c r="FC41" i="1" s="1"/>
  <c r="EI39" i="1"/>
  <c r="EI41" i="1" s="1"/>
  <c r="DO39" i="1"/>
  <c r="DO41" i="1" s="1"/>
  <c r="CU39" i="1"/>
  <c r="CU41" i="1" s="1"/>
  <c r="CA39" i="1"/>
  <c r="CA41" i="1" s="1"/>
  <c r="BG39" i="1"/>
  <c r="BG41" i="1" s="1"/>
  <c r="AM39" i="1"/>
  <c r="AM41" i="1" s="1"/>
  <c r="S39" i="1"/>
  <c r="S41" i="1" s="1"/>
  <c r="ABI39" i="1"/>
  <c r="ABI41" i="1" s="1"/>
  <c r="AAO39" i="1"/>
  <c r="AAO41" i="1" s="1"/>
  <c r="ZU39" i="1"/>
  <c r="ZU41" i="1" s="1"/>
  <c r="ZA39" i="1"/>
  <c r="ZA41" i="1" s="1"/>
  <c r="YG39" i="1"/>
  <c r="YG41" i="1" s="1"/>
  <c r="XM39" i="1"/>
  <c r="XM41" i="1" s="1"/>
  <c r="WS39" i="1"/>
  <c r="WS41" i="1" s="1"/>
  <c r="VY39" i="1"/>
  <c r="VY41" i="1" s="1"/>
  <c r="VE39" i="1"/>
  <c r="VE41" i="1" s="1"/>
  <c r="UK39" i="1"/>
  <c r="UK41" i="1" s="1"/>
  <c r="TQ39" i="1"/>
  <c r="TQ41" i="1" s="1"/>
  <c r="SW39" i="1"/>
  <c r="SW41" i="1" s="1"/>
  <c r="SC39" i="1"/>
  <c r="SC41" i="1" s="1"/>
  <c r="RI39" i="1"/>
  <c r="RI41" i="1" s="1"/>
  <c r="QO39" i="1"/>
  <c r="QO41" i="1" s="1"/>
  <c r="PU39" i="1"/>
  <c r="PU41" i="1" s="1"/>
  <c r="PA39" i="1"/>
  <c r="PA41" i="1" s="1"/>
  <c r="OG39" i="1"/>
  <c r="OG41" i="1" s="1"/>
  <c r="NM39" i="1"/>
  <c r="NM41" i="1" s="1"/>
  <c r="MS39" i="1"/>
  <c r="MS41" i="1" s="1"/>
  <c r="LY39" i="1"/>
  <c r="LY41" i="1" s="1"/>
  <c r="LE39" i="1"/>
  <c r="LE41" i="1" s="1"/>
  <c r="KK39" i="1"/>
  <c r="KK41" i="1" s="1"/>
  <c r="JQ39" i="1"/>
  <c r="JQ41" i="1" s="1"/>
  <c r="IW39" i="1"/>
  <c r="IW41" i="1" s="1"/>
  <c r="IC39" i="1"/>
  <c r="IC41" i="1" s="1"/>
  <c r="HI39" i="1"/>
  <c r="HI41" i="1" s="1"/>
  <c r="GO39" i="1"/>
  <c r="GO41" i="1" s="1"/>
  <c r="FU39" i="1"/>
  <c r="FU41" i="1" s="1"/>
  <c r="FA39" i="1"/>
  <c r="FA41" i="1" s="1"/>
  <c r="EG39" i="1"/>
  <c r="EG41" i="1" s="1"/>
  <c r="DM39" i="1"/>
  <c r="DM41" i="1" s="1"/>
  <c r="CS39" i="1"/>
  <c r="CS41" i="1" s="1"/>
  <c r="BY39" i="1"/>
  <c r="BY41" i="1" s="1"/>
  <c r="BE39" i="1"/>
  <c r="BE41" i="1" s="1"/>
  <c r="AK39" i="1"/>
  <c r="AK41" i="1" s="1"/>
  <c r="Q39" i="1"/>
  <c r="Q41" i="1" s="1"/>
  <c r="ABD39" i="1"/>
  <c r="ABD41" i="1" s="1"/>
  <c r="AAJ39" i="1"/>
  <c r="AAJ41" i="1" s="1"/>
  <c r="ZP39" i="1"/>
  <c r="ZP41" i="1" s="1"/>
  <c r="YV39" i="1"/>
  <c r="YV41" i="1" s="1"/>
  <c r="YB39" i="1"/>
  <c r="YB41" i="1" s="1"/>
  <c r="XH39" i="1"/>
  <c r="XH41" i="1" s="1"/>
  <c r="WN39" i="1"/>
  <c r="WN41" i="1" s="1"/>
  <c r="VT39" i="1"/>
  <c r="VT41" i="1" s="1"/>
  <c r="UZ39" i="1"/>
  <c r="UZ41" i="1" s="1"/>
  <c r="UF39" i="1"/>
  <c r="UF41" i="1" s="1"/>
  <c r="TL39" i="1"/>
  <c r="TL41" i="1" s="1"/>
  <c r="SR39" i="1"/>
  <c r="SR41" i="1" s="1"/>
  <c r="RX39" i="1"/>
  <c r="RX41" i="1" s="1"/>
  <c r="RD39" i="1"/>
  <c r="RD41" i="1" s="1"/>
  <c r="QJ39" i="1"/>
  <c r="QJ41" i="1" s="1"/>
  <c r="PP39" i="1"/>
  <c r="PP41" i="1" s="1"/>
  <c r="OV39" i="1"/>
  <c r="OV41" i="1" s="1"/>
  <c r="OB39" i="1"/>
  <c r="OB41" i="1" s="1"/>
  <c r="NH39" i="1"/>
  <c r="NH41" i="1" s="1"/>
  <c r="MN39" i="1"/>
  <c r="MN41" i="1" s="1"/>
  <c r="LT39" i="1"/>
  <c r="LT41" i="1" s="1"/>
  <c r="KZ39" i="1"/>
  <c r="KZ41" i="1" s="1"/>
  <c r="KF39" i="1"/>
  <c r="KF41" i="1" s="1"/>
  <c r="JL39" i="1"/>
  <c r="JL41" i="1" s="1"/>
  <c r="IR39" i="1"/>
  <c r="IR41" i="1" s="1"/>
  <c r="HX39" i="1"/>
  <c r="HX41" i="1" s="1"/>
  <c r="HD39" i="1"/>
  <c r="HD41" i="1" s="1"/>
  <c r="GJ39" i="1"/>
  <c r="GJ41" i="1" s="1"/>
  <c r="FP39" i="1"/>
  <c r="FP41" i="1" s="1"/>
  <c r="EV39" i="1"/>
  <c r="EV41" i="1" s="1"/>
  <c r="EB39" i="1"/>
  <c r="EB41" i="1" s="1"/>
  <c r="DH39" i="1"/>
  <c r="DH41" i="1" s="1"/>
  <c r="CN39" i="1"/>
  <c r="CN41" i="1" s="1"/>
  <c r="BT39" i="1"/>
  <c r="BT41" i="1" s="1"/>
  <c r="AZ39" i="1"/>
  <c r="AZ41" i="1" s="1"/>
  <c r="AF39" i="1"/>
  <c r="AF41" i="1" s="1"/>
  <c r="ABC39" i="1"/>
  <c r="ABC41" i="1" s="1"/>
  <c r="AAI39" i="1"/>
  <c r="AAI41" i="1" s="1"/>
  <c r="ZO39" i="1"/>
  <c r="ZO41" i="1" s="1"/>
  <c r="YU39" i="1"/>
  <c r="YU41" i="1" s="1"/>
  <c r="YA39" i="1"/>
  <c r="YA41" i="1" s="1"/>
  <c r="XG39" i="1"/>
  <c r="XG41" i="1" s="1"/>
  <c r="WM39" i="1"/>
  <c r="WM41" i="1" s="1"/>
  <c r="VS39" i="1"/>
  <c r="VS41" i="1" s="1"/>
  <c r="UY39" i="1"/>
  <c r="UY41" i="1" s="1"/>
  <c r="UE39" i="1"/>
  <c r="UE41" i="1" s="1"/>
  <c r="TK39" i="1"/>
  <c r="TK41" i="1" s="1"/>
  <c r="SQ39" i="1"/>
  <c r="SQ41" i="1" s="1"/>
  <c r="RW39" i="1"/>
  <c r="RW41" i="1" s="1"/>
  <c r="RC39" i="1"/>
  <c r="RC41" i="1" s="1"/>
  <c r="QI39" i="1"/>
  <c r="QI41" i="1" s="1"/>
  <c r="PO39" i="1"/>
  <c r="PO41" i="1" s="1"/>
  <c r="OU39" i="1"/>
  <c r="OU41" i="1" s="1"/>
  <c r="OA39" i="1"/>
  <c r="OA41" i="1" s="1"/>
  <c r="NG39" i="1"/>
  <c r="NG41" i="1" s="1"/>
  <c r="MM39" i="1"/>
  <c r="MM41" i="1" s="1"/>
  <c r="LS39" i="1"/>
  <c r="LS41" i="1" s="1"/>
  <c r="KY39" i="1"/>
  <c r="KY41" i="1" s="1"/>
  <c r="KE39" i="1"/>
  <c r="KE41" i="1" s="1"/>
  <c r="JK39" i="1"/>
  <c r="JK41" i="1" s="1"/>
  <c r="IQ39" i="1"/>
  <c r="IQ41" i="1" s="1"/>
  <c r="HW39" i="1"/>
  <c r="HW41" i="1" s="1"/>
  <c r="HC39" i="1"/>
  <c r="HC41" i="1" s="1"/>
  <c r="GI39" i="1"/>
  <c r="GI41" i="1" s="1"/>
  <c r="FO39" i="1"/>
  <c r="FO41" i="1" s="1"/>
  <c r="EU39" i="1"/>
  <c r="EU41" i="1" s="1"/>
  <c r="EA39" i="1"/>
  <c r="EA41" i="1" s="1"/>
  <c r="DG39" i="1"/>
  <c r="DG41" i="1" s="1"/>
  <c r="CM39" i="1"/>
  <c r="CM41" i="1" s="1"/>
  <c r="BS39" i="1"/>
  <c r="BS41" i="1" s="1"/>
  <c r="AY39" i="1"/>
  <c r="AY41" i="1" s="1"/>
  <c r="AE39" i="1"/>
  <c r="AE41" i="1" s="1"/>
  <c r="ABB39" i="1"/>
  <c r="ABB41" i="1" s="1"/>
  <c r="AAH39" i="1"/>
  <c r="AAH41" i="1" s="1"/>
  <c r="ZN39" i="1"/>
  <c r="ZN41" i="1" s="1"/>
  <c r="YT39" i="1"/>
  <c r="YT41" i="1" s="1"/>
  <c r="XZ39" i="1"/>
  <c r="XZ41" i="1" s="1"/>
  <c r="XF39" i="1"/>
  <c r="XF41" i="1" s="1"/>
  <c r="WL39" i="1"/>
  <c r="WL41" i="1" s="1"/>
  <c r="VR39" i="1"/>
  <c r="VR41" i="1" s="1"/>
  <c r="UX39" i="1"/>
  <c r="UX41" i="1" s="1"/>
  <c r="UD39" i="1"/>
  <c r="UD41" i="1" s="1"/>
  <c r="TJ39" i="1"/>
  <c r="TJ41" i="1" s="1"/>
  <c r="SP39" i="1"/>
  <c r="SP41" i="1" s="1"/>
  <c r="RV39" i="1"/>
  <c r="RV41" i="1" s="1"/>
  <c r="RB39" i="1"/>
  <c r="RB41" i="1" s="1"/>
  <c r="QH39" i="1"/>
  <c r="QH41" i="1" s="1"/>
  <c r="PN39" i="1"/>
  <c r="PN41" i="1" s="1"/>
  <c r="OT39" i="1"/>
  <c r="OT41" i="1" s="1"/>
  <c r="NZ39" i="1"/>
  <c r="NZ41" i="1" s="1"/>
  <c r="NF39" i="1"/>
  <c r="NF41" i="1" s="1"/>
  <c r="ML39" i="1"/>
  <c r="ML41" i="1" s="1"/>
  <c r="LR39" i="1"/>
  <c r="LR41" i="1" s="1"/>
  <c r="KX39" i="1"/>
  <c r="KX41" i="1" s="1"/>
  <c r="KD39" i="1"/>
  <c r="KD41" i="1" s="1"/>
  <c r="JJ39" i="1"/>
  <c r="JJ41" i="1" s="1"/>
  <c r="IP39" i="1"/>
  <c r="IP41" i="1" s="1"/>
  <c r="HV39" i="1"/>
  <c r="HV41" i="1" s="1"/>
  <c r="HB39" i="1"/>
  <c r="HB41" i="1" s="1"/>
  <c r="GH39" i="1"/>
  <c r="GH41" i="1" s="1"/>
  <c r="FN39" i="1"/>
  <c r="FN41" i="1" s="1"/>
  <c r="ET39" i="1"/>
  <c r="ET41" i="1" s="1"/>
  <c r="DZ39" i="1"/>
  <c r="DZ41" i="1" s="1"/>
  <c r="DF39" i="1"/>
  <c r="DF41" i="1" s="1"/>
  <c r="CL39" i="1"/>
  <c r="CL41" i="1" s="1"/>
  <c r="BR39" i="1"/>
  <c r="BR41" i="1" s="1"/>
  <c r="AX39" i="1"/>
  <c r="AX41" i="1" s="1"/>
  <c r="AD39" i="1"/>
  <c r="AD41" i="1" s="1"/>
  <c r="ABO39" i="1"/>
  <c r="ABO41" i="1" s="1"/>
  <c r="AAU39" i="1"/>
  <c r="AAU41" i="1" s="1"/>
  <c r="AAA39" i="1"/>
  <c r="AAA41" i="1" s="1"/>
  <c r="ZG39" i="1"/>
  <c r="ZG41" i="1" s="1"/>
  <c r="YM39" i="1"/>
  <c r="YM41" i="1" s="1"/>
  <c r="XS39" i="1"/>
  <c r="XS41" i="1" s="1"/>
  <c r="WY39" i="1"/>
  <c r="WY41" i="1" s="1"/>
  <c r="WE39" i="1"/>
  <c r="WE41" i="1" s="1"/>
  <c r="VK39" i="1"/>
  <c r="VK41" i="1" s="1"/>
  <c r="UQ39" i="1"/>
  <c r="UQ41" i="1" s="1"/>
  <c r="TW39" i="1"/>
  <c r="TW41" i="1" s="1"/>
  <c r="TC39" i="1"/>
  <c r="TC41" i="1" s="1"/>
  <c r="SI39" i="1"/>
  <c r="SI41" i="1" s="1"/>
  <c r="RO39" i="1"/>
  <c r="RO41" i="1" s="1"/>
  <c r="QU39" i="1"/>
  <c r="QU41" i="1" s="1"/>
  <c r="QA39" i="1"/>
  <c r="QA41" i="1" s="1"/>
  <c r="PG39" i="1"/>
  <c r="PG41" i="1" s="1"/>
  <c r="OM39" i="1"/>
  <c r="OM41" i="1" s="1"/>
  <c r="NS39" i="1"/>
  <c r="NS41" i="1" s="1"/>
  <c r="MY39" i="1"/>
  <c r="MY41" i="1" s="1"/>
  <c r="ME39" i="1"/>
  <c r="ME41" i="1" s="1"/>
  <c r="LK39" i="1"/>
  <c r="LK41" i="1" s="1"/>
  <c r="KQ39" i="1"/>
  <c r="KQ41" i="1" s="1"/>
  <c r="JW39" i="1"/>
  <c r="JW41" i="1" s="1"/>
  <c r="JC39" i="1"/>
  <c r="JC41" i="1" s="1"/>
  <c r="II39" i="1"/>
  <c r="II41" i="1" s="1"/>
  <c r="HO39" i="1"/>
  <c r="HO41" i="1" s="1"/>
  <c r="GU39" i="1"/>
  <c r="GU41" i="1" s="1"/>
  <c r="GA39" i="1"/>
  <c r="GA41" i="1" s="1"/>
  <c r="FG39" i="1"/>
  <c r="FG41" i="1" s="1"/>
  <c r="EM39" i="1"/>
  <c r="EM41" i="1" s="1"/>
  <c r="DS39" i="1"/>
  <c r="DS41" i="1" s="1"/>
  <c r="CY39" i="1"/>
  <c r="CY41" i="1" s="1"/>
  <c r="CE39" i="1"/>
  <c r="CE41" i="1" s="1"/>
  <c r="BK39" i="1"/>
  <c r="BK41" i="1" s="1"/>
  <c r="AQ39" i="1"/>
  <c r="AQ41" i="1" s="1"/>
  <c r="W39" i="1"/>
  <c r="W41" i="1" s="1"/>
  <c r="AU39" i="1"/>
  <c r="AU41" i="1" s="1"/>
  <c r="CB39" i="1"/>
  <c r="CB41" i="1" s="1"/>
  <c r="DJ39" i="1"/>
  <c r="DJ41" i="1" s="1"/>
  <c r="EQ39" i="1"/>
  <c r="EQ41" i="1" s="1"/>
  <c r="FX39" i="1"/>
  <c r="FX41" i="1" s="1"/>
  <c r="HF39" i="1"/>
  <c r="HF41" i="1" s="1"/>
  <c r="IM39" i="1"/>
  <c r="IM41" i="1" s="1"/>
  <c r="JT39" i="1"/>
  <c r="JT41" i="1" s="1"/>
  <c r="LB39" i="1"/>
  <c r="LB41" i="1" s="1"/>
  <c r="MI39" i="1"/>
  <c r="MI41" i="1" s="1"/>
  <c r="NP39" i="1"/>
  <c r="NP41" i="1" s="1"/>
  <c r="OX39" i="1"/>
  <c r="OX41" i="1" s="1"/>
  <c r="QE39" i="1"/>
  <c r="QE41" i="1" s="1"/>
  <c r="RL39" i="1"/>
  <c r="RL41" i="1" s="1"/>
  <c r="ST39" i="1"/>
  <c r="ST41" i="1" s="1"/>
  <c r="UA39" i="1"/>
  <c r="UA41" i="1" s="1"/>
  <c r="VH39" i="1"/>
  <c r="VH41" i="1" s="1"/>
  <c r="WP39" i="1"/>
  <c r="WP41" i="1" s="1"/>
  <c r="XW39" i="1"/>
  <c r="XW41" i="1" s="1"/>
  <c r="ZD39" i="1"/>
  <c r="ZD41" i="1" s="1"/>
  <c r="AAL39" i="1"/>
  <c r="AAL41" i="1" s="1"/>
  <c r="AV39" i="1"/>
  <c r="AV41" i="1" s="1"/>
  <c r="CF39" i="1"/>
  <c r="CF41" i="1" s="1"/>
  <c r="DK39" i="1"/>
  <c r="DK41" i="1" s="1"/>
  <c r="ER39" i="1"/>
  <c r="ER41" i="1" s="1"/>
  <c r="GB39" i="1"/>
  <c r="GB41" i="1" s="1"/>
  <c r="HG39" i="1"/>
  <c r="HG41" i="1" s="1"/>
  <c r="IN39" i="1"/>
  <c r="IN41" i="1" s="1"/>
  <c r="JX39" i="1"/>
  <c r="JX41" i="1" s="1"/>
  <c r="LC39" i="1"/>
  <c r="LC41" i="1" s="1"/>
  <c r="MJ39" i="1"/>
  <c r="MJ41" i="1" s="1"/>
  <c r="NT39" i="1"/>
  <c r="NT41" i="1" s="1"/>
  <c r="OY39" i="1"/>
  <c r="OY41" i="1" s="1"/>
  <c r="QF39" i="1"/>
  <c r="QF41" i="1" s="1"/>
  <c r="RP39" i="1"/>
  <c r="RP41" i="1" s="1"/>
  <c r="SU39" i="1"/>
  <c r="SU41" i="1" s="1"/>
  <c r="UB39" i="1"/>
  <c r="UB41" i="1" s="1"/>
  <c r="VL39" i="1"/>
  <c r="VL41" i="1" s="1"/>
  <c r="WQ39" i="1"/>
  <c r="WQ41" i="1" s="1"/>
  <c r="XX39" i="1"/>
  <c r="XX41" i="1" s="1"/>
  <c r="ZH39" i="1"/>
  <c r="ZH41" i="1" s="1"/>
  <c r="AAM39" i="1"/>
  <c r="AAM41" i="1" s="1"/>
  <c r="KA39" i="1"/>
  <c r="KA41" i="1" s="1"/>
  <c r="PD39" i="1"/>
  <c r="PD41" i="1" s="1"/>
  <c r="RS39" i="1"/>
  <c r="RS41" i="1" s="1"/>
  <c r="SZ39" i="1"/>
  <c r="SZ41" i="1" s="1"/>
  <c r="UH39" i="1"/>
  <c r="UH41" i="1" s="1"/>
  <c r="VO39" i="1"/>
  <c r="VO41" i="1" s="1"/>
  <c r="WV39" i="1"/>
  <c r="WV41" i="1" s="1"/>
  <c r="YD39" i="1"/>
  <c r="YD41" i="1" s="1"/>
  <c r="AAR39" i="1"/>
  <c r="AAR41" i="1" s="1"/>
  <c r="SX39" i="1"/>
  <c r="SX41" i="1" s="1"/>
  <c r="UG39" i="1"/>
  <c r="UG41" i="1" s="1"/>
  <c r="VN39" i="1"/>
  <c r="VN41" i="1" s="1"/>
  <c r="WT39" i="1"/>
  <c r="WT41" i="1" s="1"/>
  <c r="YC39" i="1"/>
  <c r="YC41" i="1" s="1"/>
  <c r="ZJ39" i="1"/>
  <c r="ZJ41" i="1" s="1"/>
  <c r="AAP39" i="1"/>
  <c r="AAP41" i="1" s="1"/>
  <c r="T39" i="1"/>
  <c r="T41" i="1" s="1"/>
  <c r="BB39" i="1"/>
  <c r="BB41" i="1" s="1"/>
  <c r="CI39" i="1"/>
  <c r="CI41" i="1" s="1"/>
  <c r="DP39" i="1"/>
  <c r="DP41" i="1" s="1"/>
  <c r="EX39" i="1"/>
  <c r="EX41" i="1" s="1"/>
  <c r="GE39" i="1"/>
  <c r="GE41" i="1" s="1"/>
  <c r="HL39" i="1"/>
  <c r="HL41" i="1" s="1"/>
  <c r="IT39" i="1"/>
  <c r="IT41" i="1" s="1"/>
  <c r="LH39" i="1"/>
  <c r="LH41" i="1" s="1"/>
  <c r="MP39" i="1"/>
  <c r="MP41" i="1" s="1"/>
  <c r="NW39" i="1"/>
  <c r="NW41" i="1" s="1"/>
  <c r="QL39" i="1"/>
  <c r="QL41" i="1" s="1"/>
  <c r="ZK39" i="1"/>
  <c r="ZK41" i="1" s="1"/>
  <c r="X39" i="1"/>
  <c r="X41" i="1" s="1"/>
  <c r="BC39" i="1"/>
  <c r="BC41" i="1" s="1"/>
  <c r="CJ39" i="1"/>
  <c r="CJ41" i="1" s="1"/>
  <c r="DT39" i="1"/>
  <c r="DT41" i="1" s="1"/>
  <c r="EY39" i="1"/>
  <c r="EY41" i="1" s="1"/>
  <c r="GF39" i="1"/>
  <c r="GF41" i="1" s="1"/>
  <c r="HP39" i="1"/>
  <c r="HP41" i="1" s="1"/>
  <c r="IU39" i="1"/>
  <c r="IU41" i="1" s="1"/>
  <c r="KB39" i="1"/>
  <c r="KB41" i="1" s="1"/>
  <c r="LL39" i="1"/>
  <c r="LL41" i="1" s="1"/>
  <c r="MQ39" i="1"/>
  <c r="MQ41" i="1" s="1"/>
  <c r="NX39" i="1"/>
  <c r="NX41" i="1" s="1"/>
  <c r="PH39" i="1"/>
  <c r="PH41" i="1" s="1"/>
  <c r="QM39" i="1"/>
  <c r="QM41" i="1" s="1"/>
  <c r="RT39" i="1"/>
  <c r="RT41" i="1" s="1"/>
  <c r="TD39" i="1"/>
  <c r="TD41" i="1" s="1"/>
  <c r="UI39" i="1"/>
  <c r="UI41" i="1" s="1"/>
  <c r="VP39" i="1"/>
  <c r="VP41" i="1" s="1"/>
  <c r="WZ39" i="1"/>
  <c r="WZ41" i="1" s="1"/>
  <c r="YE39" i="1"/>
  <c r="YE41" i="1" s="1"/>
  <c r="ZL39" i="1"/>
  <c r="ZL41" i="1" s="1"/>
  <c r="AAV39" i="1"/>
  <c r="AAV41" i="1" s="1"/>
  <c r="Y39" i="1"/>
  <c r="Y41" i="1" s="1"/>
  <c r="BD39" i="1"/>
  <c r="BD41" i="1" s="1"/>
  <c r="CK39" i="1"/>
  <c r="CK41" i="1" s="1"/>
  <c r="DU39" i="1"/>
  <c r="DU41" i="1" s="1"/>
  <c r="EZ39" i="1"/>
  <c r="EZ41" i="1" s="1"/>
  <c r="GG39" i="1"/>
  <c r="GG41" i="1" s="1"/>
  <c r="HQ39" i="1"/>
  <c r="HQ41" i="1" s="1"/>
  <c r="IV39" i="1"/>
  <c r="IV41" i="1" s="1"/>
  <c r="KC39" i="1"/>
  <c r="KC41" i="1" s="1"/>
  <c r="LM39" i="1"/>
  <c r="LM41" i="1" s="1"/>
  <c r="MR39" i="1"/>
  <c r="MR41" i="1" s="1"/>
  <c r="NY39" i="1"/>
  <c r="NY41" i="1" s="1"/>
  <c r="PI39" i="1"/>
  <c r="PI41" i="1" s="1"/>
  <c r="QN39" i="1"/>
  <c r="QN41" i="1" s="1"/>
  <c r="RU39" i="1"/>
  <c r="RU41" i="1" s="1"/>
  <c r="TE39" i="1"/>
  <c r="TE41" i="1" s="1"/>
  <c r="UJ39" i="1"/>
  <c r="UJ41" i="1" s="1"/>
  <c r="VQ39" i="1"/>
  <c r="VQ41" i="1" s="1"/>
  <c r="XA39" i="1"/>
  <c r="XA41" i="1" s="1"/>
  <c r="YF39" i="1"/>
  <c r="YF41" i="1" s="1"/>
  <c r="ZM39" i="1"/>
  <c r="ZM41" i="1" s="1"/>
  <c r="AAW39" i="1"/>
  <c r="AAW41" i="1" s="1"/>
  <c r="Z39" i="1"/>
  <c r="Z41" i="1" s="1"/>
  <c r="BF39" i="1"/>
  <c r="BF41" i="1" s="1"/>
  <c r="CO39" i="1"/>
  <c r="CO41" i="1" s="1"/>
  <c r="DV39" i="1"/>
  <c r="DV41" i="1" s="1"/>
  <c r="FB39" i="1"/>
  <c r="FB41" i="1" s="1"/>
  <c r="GK39" i="1"/>
  <c r="GK41" i="1" s="1"/>
  <c r="HR39" i="1"/>
  <c r="HR41" i="1" s="1"/>
  <c r="IX39" i="1"/>
  <c r="IX41" i="1" s="1"/>
  <c r="KG39" i="1"/>
  <c r="KG41" i="1" s="1"/>
  <c r="LN39" i="1"/>
  <c r="LN41" i="1" s="1"/>
  <c r="MT39" i="1"/>
  <c r="MT41" i="1" s="1"/>
  <c r="OC39" i="1"/>
  <c r="OC41" i="1" s="1"/>
  <c r="PJ39" i="1"/>
  <c r="PJ41" i="1" s="1"/>
  <c r="QP39" i="1"/>
  <c r="QP41" i="1" s="1"/>
  <c r="RY39" i="1"/>
  <c r="RY41" i="1" s="1"/>
  <c r="TF39" i="1"/>
  <c r="TF41" i="1" s="1"/>
  <c r="UL39" i="1"/>
  <c r="UL41" i="1" s="1"/>
  <c r="VU39" i="1"/>
  <c r="VU41" i="1" s="1"/>
  <c r="XB39" i="1"/>
  <c r="XB41" i="1" s="1"/>
  <c r="YH39" i="1"/>
  <c r="YH41" i="1" s="1"/>
  <c r="ZQ39" i="1"/>
  <c r="ZQ41" i="1" s="1"/>
  <c r="AAX39" i="1"/>
  <c r="AAX41" i="1" s="1"/>
  <c r="L67" i="1"/>
  <c r="M67" i="1" s="1"/>
  <c r="L73" i="1"/>
  <c r="M73" i="1" s="1"/>
  <c r="L68" i="1"/>
  <c r="M68" i="1" s="1"/>
  <c r="L74" i="1"/>
  <c r="M74" i="1" s="1"/>
  <c r="L64" i="1"/>
  <c r="M64" i="1" s="1"/>
  <c r="L69" i="1"/>
  <c r="M69" i="1" s="1"/>
</calcChain>
</file>

<file path=xl/sharedStrings.xml><?xml version="1.0" encoding="utf-8"?>
<sst xmlns="http://schemas.openxmlformats.org/spreadsheetml/2006/main" count="214" uniqueCount="124">
  <si>
    <t>TF SAFE R&amp;R TRACKER</t>
  </si>
  <si>
    <t>Line
Item</t>
  </si>
  <si>
    <t>EMP #</t>
  </si>
  <si>
    <t>Last
Name</t>
  </si>
  <si>
    <t>First
Name</t>
  </si>
  <si>
    <t>HIRE Date</t>
  </si>
  <si>
    <t>BOG
Date</t>
  </si>
  <si>
    <t>BOG +120</t>
  </si>
  <si>
    <t>Last R&amp;R
END DATE</t>
  </si>
  <si>
    <t>VISA ENTRY DATE</t>
  </si>
  <si>
    <t>VISA EXPIRATION DATE</t>
  </si>
  <si>
    <t>LOCATION</t>
  </si>
  <si>
    <t>Accrued R&amp;R</t>
  </si>
  <si>
    <t>R&amp;R Balance</t>
  </si>
  <si>
    <t>R&amp;R Start</t>
  </si>
  <si>
    <t>R&amp;R End</t>
  </si>
  <si>
    <t>Total
R&amp;R
Days</t>
  </si>
  <si>
    <t>Versar</t>
  </si>
  <si>
    <t>David</t>
  </si>
  <si>
    <t>Iraq - Erbil</t>
  </si>
  <si>
    <t>Boyce</t>
  </si>
  <si>
    <t>Steven</t>
  </si>
  <si>
    <t>Brooks</t>
  </si>
  <si>
    <t>Donald</t>
  </si>
  <si>
    <t>Syria - RLZ</t>
  </si>
  <si>
    <t>Duprey</t>
  </si>
  <si>
    <t>Christopher</t>
  </si>
  <si>
    <t>Forrest</t>
  </si>
  <si>
    <t>Alan</t>
  </si>
  <si>
    <t>Forsyth</t>
  </si>
  <si>
    <t>Cameron</t>
  </si>
  <si>
    <t>Syria - ATG</t>
  </si>
  <si>
    <t>Fotheringham</t>
  </si>
  <si>
    <t>Kevin</t>
  </si>
  <si>
    <t>Gaines</t>
  </si>
  <si>
    <t>Antonia</t>
  </si>
  <si>
    <t>Jordan - Amman</t>
  </si>
  <si>
    <t>Ligon</t>
  </si>
  <si>
    <t>Jeremy</t>
  </si>
  <si>
    <t>McGuire</t>
  </si>
  <si>
    <t>McKenna</t>
  </si>
  <si>
    <t>Lee</t>
  </si>
  <si>
    <t>Munoz</t>
  </si>
  <si>
    <t>Salomon</t>
  </si>
  <si>
    <t>Nelson</t>
  </si>
  <si>
    <t>Ian</t>
  </si>
  <si>
    <t>Pearson</t>
  </si>
  <si>
    <t>Craig</t>
  </si>
  <si>
    <t>Picard</t>
  </si>
  <si>
    <t>Justin</t>
  </si>
  <si>
    <t>Regan</t>
  </si>
  <si>
    <t>Kieran</t>
  </si>
  <si>
    <t>RIchards</t>
  </si>
  <si>
    <t>Sharp</t>
  </si>
  <si>
    <t>Jonathan</t>
  </si>
  <si>
    <t>Sinclair</t>
  </si>
  <si>
    <t>Colin</t>
  </si>
  <si>
    <t>Vincent-Edwards</t>
  </si>
  <si>
    <t>Giles</t>
  </si>
  <si>
    <t>Warner</t>
  </si>
  <si>
    <t>Ben</t>
  </si>
  <si>
    <t>Whelan</t>
  </si>
  <si>
    <t>Phil</t>
  </si>
  <si>
    <t>Required 100% Staffing</t>
  </si>
  <si>
    <t>Staffing On-Site</t>
  </si>
  <si>
    <t>% Required</t>
  </si>
  <si>
    <t>Total PAX =</t>
  </si>
  <si>
    <t>Percentage On-Site</t>
  </si>
  <si>
    <t>Per the PWS &amp; Offer Letter, R&amp;R is limited to 15 days + (1) Travel Day before and (1) Travel Day for Return</t>
  </si>
  <si>
    <t>TF SAFE TERMINATIONS TRACKER</t>
  </si>
  <si>
    <t>LAST DAY
on TFS</t>
  </si>
  <si>
    <t>Prev. R&amp;R
Start DATE</t>
  </si>
  <si>
    <t>Prev. R&amp;R
END DATE</t>
  </si>
  <si>
    <t>DEMOB
START DATE</t>
  </si>
  <si>
    <t>DEMOB END
DATE</t>
  </si>
  <si>
    <t>REASON</t>
  </si>
  <si>
    <t>PMO Staff</t>
  </si>
  <si>
    <t>Gipson</t>
  </si>
  <si>
    <t>Dwayne</t>
  </si>
  <si>
    <t>Thompson</t>
  </si>
  <si>
    <t>Glenn</t>
  </si>
  <si>
    <r>
      <rPr>
        <sz val="11"/>
        <rFont val="Calibri"/>
        <family val="2"/>
      </rPr>
      <t xml:space="preserve">McDaniel
</t>
    </r>
    <r>
      <rPr>
        <b/>
        <sz val="11"/>
        <color indexed="2"/>
        <rFont val="Calibri"/>
        <family val="2"/>
      </rPr>
      <t>REMOTE</t>
    </r>
  </si>
  <si>
    <t>Carl</t>
  </si>
  <si>
    <t>Drury</t>
  </si>
  <si>
    <t>Dale</t>
  </si>
  <si>
    <t>De Vera</t>
  </si>
  <si>
    <t>Alex</t>
  </si>
  <si>
    <r>
      <rPr>
        <sz val="11"/>
        <rFont val="Calibri"/>
        <family val="2"/>
      </rPr>
      <t xml:space="preserve">Forbes
</t>
    </r>
    <r>
      <rPr>
        <b/>
        <sz val="11"/>
        <color indexed="2"/>
        <rFont val="Calibri"/>
        <family val="2"/>
      </rPr>
      <t>REMOTE</t>
    </r>
  </si>
  <si>
    <t>UK</t>
  </si>
  <si>
    <t>Laxa</t>
  </si>
  <si>
    <t>Emmanuel</t>
  </si>
  <si>
    <r>
      <rPr>
        <sz val="11"/>
        <rFont val="Calibri"/>
        <family val="2"/>
      </rPr>
      <t xml:space="preserve">Thornton
</t>
    </r>
    <r>
      <rPr>
        <b/>
        <sz val="11"/>
        <color indexed="2"/>
        <rFont val="Calibri"/>
        <family val="2"/>
      </rPr>
      <t>REMOTE</t>
    </r>
  </si>
  <si>
    <t>Brian</t>
  </si>
  <si>
    <r>
      <rPr>
        <sz val="11"/>
        <rFont val="Calibri"/>
        <family val="2"/>
      </rPr>
      <t xml:space="preserve">Crawford
</t>
    </r>
    <r>
      <rPr>
        <b/>
        <sz val="11"/>
        <color indexed="2"/>
        <rFont val="Calibri"/>
        <family val="2"/>
      </rPr>
      <t>REMOTE</t>
    </r>
  </si>
  <si>
    <t>Hugh</t>
  </si>
  <si>
    <r>
      <rPr>
        <sz val="11"/>
        <rFont val="Calibri"/>
        <family val="2"/>
      </rPr>
      <t xml:space="preserve">Chalmers
</t>
    </r>
    <r>
      <rPr>
        <b/>
        <sz val="11"/>
        <color indexed="2"/>
        <rFont val="Calibri"/>
        <family val="2"/>
      </rPr>
      <t>REMOTE</t>
    </r>
  </si>
  <si>
    <t>Darren</t>
  </si>
  <si>
    <t>Adolfo</t>
  </si>
  <si>
    <t>Anthony</t>
  </si>
  <si>
    <t>Phillipines</t>
  </si>
  <si>
    <t>Required 90% Staffing</t>
  </si>
  <si>
    <t>Syria - NLZ</t>
  </si>
  <si>
    <t>Jordan - JTC</t>
  </si>
  <si>
    <t>Ledbetter</t>
  </si>
  <si>
    <t>Jongi</t>
  </si>
  <si>
    <t>Edwards</t>
  </si>
  <si>
    <t>Teanby</t>
  </si>
  <si>
    <t>James</t>
  </si>
  <si>
    <t>FMLA</t>
  </si>
  <si>
    <t>Tom</t>
  </si>
  <si>
    <t>Mitchell</t>
  </si>
  <si>
    <t>Jonathon</t>
  </si>
  <si>
    <t>Syria- PBS</t>
  </si>
  <si>
    <t>LWOP</t>
  </si>
  <si>
    <t>Cable</t>
  </si>
  <si>
    <t>Charles</t>
  </si>
  <si>
    <t>Smithson</t>
  </si>
  <si>
    <t>Brett</t>
  </si>
  <si>
    <t>Hibbetts</t>
  </si>
  <si>
    <t>Micheal</t>
  </si>
  <si>
    <t>Conroy</t>
  </si>
  <si>
    <t>Paul</t>
  </si>
  <si>
    <t>R&amp;R</t>
  </si>
  <si>
    <t>Syria- RLZ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</si>
</sst>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65" formatCode="[$-409]dd\-mmm\-yy;@"/>
  </numFmts>
  <fonts count="11" x14ac:knownFonts="1">
    <font>
      <sz val="11"/>
      <color theme="1"/>
      <name val="Calibri"/>
    </font>
    <font>
      <b/>
      <sz val="11"/>
      <name val="Calibri"/>
      <family val="2"/>
    </font>
    <font>
      <b/>
      <sz val="12"/>
      <name val="Arial"/>
      <family val="2"/>
    </font>
    <font>
      <b/>
      <sz val="36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b/>
      <sz val="11"/>
      <color indexed="65"/>
      <name val="Calibri"/>
      <family val="2"/>
    </font>
    <font>
      <sz val="11"/>
      <color indexed="65"/>
      <name val="Calibri"/>
      <family val="2"/>
    </font>
    <font>
      <b/>
      <sz val="16"/>
      <color indexed="65"/>
      <name val="Calibri"/>
      <family val="2"/>
    </font>
    <font>
      <sz val="11"/>
      <color theme="1"/>
      <name val="Calibri"/>
      <family val="2"/>
    </font>
    <font>
      <b/>
      <sz val="11"/>
      <color indexed="2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49"/>
      </patternFill>
    </fill>
    <fill>
      <patternFill patternType="solid">
        <fgColor rgb="FFB4C7E7"/>
        <bgColor indexed="31"/>
      </patternFill>
    </fill>
    <fill>
      <patternFill patternType="solid">
        <fgColor theme="0"/>
        <bgColor indexed="26"/>
      </patternFill>
    </fill>
    <fill>
      <patternFill patternType="solid">
        <fgColor rgb="FFC5E0B4"/>
        <bgColor rgb="FFA9D18E"/>
      </patternFill>
    </fill>
    <fill>
      <patternFill patternType="solid">
        <fgColor rgb="FFF8CBAD"/>
        <bgColor rgb="FFF8CBAD"/>
      </patternFill>
    </fill>
    <fill>
      <patternFill patternType="solid">
        <fgColor rgb="FFB4C7E7"/>
        <bgColor rgb="FFC5E0B4"/>
      </patternFill>
    </fill>
    <fill>
      <patternFill patternType="solid">
        <fgColor rgb="FFC5E0B4"/>
        <bgColor rgb="FFC5E0B4"/>
      </patternFill>
    </fill>
    <fill>
      <patternFill patternType="solid">
        <fgColor theme="0"/>
        <bgColor theme="0"/>
      </patternFill>
    </fill>
    <fill>
      <patternFill patternType="solid">
        <fgColor rgb="FFB4C7E7"/>
      </patternFill>
    </fill>
    <fill>
      <patternFill patternType="solid">
        <fgColor rgb="FFC5E0B4"/>
      </patternFill>
    </fill>
    <fill>
      <patternFill patternType="solid">
        <fgColor rgb="FFB4C7E7"/>
        <bgColor indexed="26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rgb="FFC5E0B4"/>
        <bgColor indexed="26"/>
      </patternFill>
    </fill>
    <fill>
      <patternFill patternType="solid">
        <fgColor rgb="FFB4C7E7"/>
        <bgColor rgb="FFB4C7E7"/>
      </patternFill>
    </fill>
    <fill>
      <patternFill patternType="solid">
        <fgColor rgb="FFFF7C80"/>
        <bgColor indexed="45"/>
      </patternFill>
    </fill>
    <fill>
      <patternFill patternType="solid">
        <fgColor indexed="4"/>
        <bgColor indexed="4"/>
      </patternFill>
    </fill>
    <fill>
      <patternFill patternType="solid">
        <fgColor rgb="FFA9D18E"/>
        <bgColor rgb="FFC5E0B4"/>
      </patternFill>
    </fill>
    <fill>
      <patternFill patternType="solid">
        <fgColor rgb="FFC5E0B4"/>
        <bgColor indexed="64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rgb="FFF8CBAD"/>
      </patternFill>
    </fill>
    <fill>
      <patternFill patternType="solid">
        <fgColor rgb="FFB4C7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3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5E0B4"/>
      </patternFill>
    </fill>
  </fills>
  <borders count="3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medium">
        <color theme="1"/>
      </top>
      <bottom style="thick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ck">
        <color theme="1"/>
      </right>
      <top style="medium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Border="0" applyProtection="0"/>
  </cellStyleXfs>
  <cellXfs count="239">
    <xf numFmtId="0" fontId="0" fillId="0" borderId="0" xfId="0"/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0" fillId="5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65" fontId="0" fillId="0" borderId="14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3" xfId="0" applyFill="1" applyBorder="1"/>
    <xf numFmtId="0" fontId="0" fillId="4" borderId="1" xfId="0" applyFill="1" applyBorder="1"/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10" borderId="1" xfId="0" applyFill="1" applyBorder="1" applyAlignment="1">
      <alignment vertical="center"/>
    </xf>
    <xf numFmtId="165" fontId="0" fillId="11" borderId="1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65" fontId="0" fillId="4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3" borderId="1" xfId="0" applyFill="1" applyBorder="1" applyAlignment="1">
      <alignment vertical="center"/>
    </xf>
    <xf numFmtId="165" fontId="0" fillId="0" borderId="7" xfId="0" applyNumberFormat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7" xfId="0" applyFill="1" applyBorder="1"/>
    <xf numFmtId="0" fontId="0" fillId="4" borderId="15" xfId="0" applyFill="1" applyBorder="1"/>
    <xf numFmtId="0" fontId="0" fillId="4" borderId="7" xfId="0" applyFill="1" applyBorder="1"/>
    <xf numFmtId="0" fontId="7" fillId="4" borderId="15" xfId="0" applyFon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4" borderId="19" xfId="0" applyFill="1" applyBorder="1"/>
    <xf numFmtId="0" fontId="0" fillId="0" borderId="15" xfId="0" applyBorder="1" applyAlignment="1">
      <alignment horizontal="center"/>
    </xf>
    <xf numFmtId="0" fontId="0" fillId="16" borderId="1" xfId="0" applyFill="1" applyBorder="1" applyAlignment="1">
      <alignment vertical="center"/>
    </xf>
    <xf numFmtId="165" fontId="0" fillId="0" borderId="16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20" xfId="0" applyFill="1" applyBorder="1"/>
    <xf numFmtId="0" fontId="0" fillId="0" borderId="7" xfId="0" applyBorder="1"/>
    <xf numFmtId="0" fontId="0" fillId="7" borderId="7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10" borderId="15" xfId="0" applyFill="1" applyBorder="1"/>
    <xf numFmtId="0" fontId="0" fillId="10" borderId="2" xfId="0" applyFill="1" applyBorder="1"/>
    <xf numFmtId="15" fontId="0" fillId="0" borderId="16" xfId="0" applyNumberFormat="1" applyBorder="1"/>
    <xf numFmtId="15" fontId="0" fillId="15" borderId="16" xfId="0" applyNumberForma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0" fillId="4" borderId="16" xfId="0" applyFill="1" applyBorder="1"/>
    <xf numFmtId="0" fontId="0" fillId="4" borderId="16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0" fillId="0" borderId="18" xfId="0" applyBorder="1"/>
    <xf numFmtId="0" fontId="0" fillId="0" borderId="2" xfId="0" applyBorder="1"/>
    <xf numFmtId="0" fontId="5" fillId="0" borderId="21" xfId="0" applyFont="1" applyBorder="1" applyAlignment="1">
      <alignment horizontal="center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5" xfId="0" applyBorder="1"/>
    <xf numFmtId="14" fontId="0" fillId="4" borderId="15" xfId="0" applyNumberFormat="1" applyFill="1" applyBorder="1"/>
    <xf numFmtId="0" fontId="0" fillId="13" borderId="15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center"/>
    </xf>
    <xf numFmtId="9" fontId="0" fillId="0" borderId="1" xfId="0" applyNumberFormat="1" applyBorder="1" applyAlignment="1">
      <alignment horizontal="center" textRotation="90"/>
    </xf>
    <xf numFmtId="9" fontId="9" fillId="0" borderId="1" xfId="1" applyBorder="1" applyAlignment="1" applyProtection="1">
      <alignment horizontal="center" textRotation="90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9" fontId="9" fillId="0" borderId="1" xfId="1" applyBorder="1" applyAlignment="1" applyProtection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 wrapText="1"/>
    </xf>
    <xf numFmtId="0" fontId="1" fillId="0" borderId="27" xfId="0" applyFont="1" applyBorder="1" applyAlignment="1">
      <alignment vertical="top"/>
    </xf>
    <xf numFmtId="0" fontId="7" fillId="18" borderId="28" xfId="0" applyFont="1" applyFill="1" applyBorder="1"/>
    <xf numFmtId="0" fontId="8" fillId="18" borderId="0" xfId="0" applyFont="1" applyFill="1" applyAlignment="1">
      <alignment horizontal="center" vertical="center"/>
    </xf>
    <xf numFmtId="0" fontId="7" fillId="18" borderId="29" xfId="0" applyFont="1" applyFill="1" applyBorder="1"/>
    <xf numFmtId="0" fontId="7" fillId="18" borderId="0" xfId="0" applyFont="1" applyFill="1"/>
    <xf numFmtId="0" fontId="1" fillId="0" borderId="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top"/>
    </xf>
    <xf numFmtId="0" fontId="1" fillId="4" borderId="12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6" fillId="4" borderId="15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vertical="center"/>
    </xf>
    <xf numFmtId="15" fontId="0" fillId="0" borderId="15" xfId="0" applyNumberFormat="1" applyBorder="1"/>
    <xf numFmtId="165" fontId="0" fillId="0" borderId="15" xfId="0" applyNumberFormat="1" applyBorder="1" applyAlignment="1">
      <alignment horizontal="center" vertical="center"/>
    </xf>
    <xf numFmtId="14" fontId="0" fillId="4" borderId="1" xfId="0" applyNumberFormat="1" applyFill="1" applyBorder="1"/>
    <xf numFmtId="0" fontId="0" fillId="13" borderId="1" xfId="0" applyFill="1" applyBorder="1" applyAlignment="1">
      <alignment horizontal="center"/>
    </xf>
    <xf numFmtId="0" fontId="0" fillId="0" borderId="13" xfId="0" applyBorder="1" applyAlignment="1">
      <alignment vertical="center"/>
    </xf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9" fontId="0" fillId="0" borderId="1" xfId="0" applyNumberFormat="1" applyBorder="1" applyAlignment="1">
      <alignment horizontal="center" vertical="center" textRotation="90"/>
    </xf>
    <xf numFmtId="9" fontId="1" fillId="19" borderId="1" xfId="0" applyNumberFormat="1" applyFont="1" applyFill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/>
    </xf>
    <xf numFmtId="165" fontId="0" fillId="20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165" fontId="0" fillId="21" borderId="1" xfId="0" applyNumberForma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1" borderId="14" xfId="0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5" fillId="23" borderId="1" xfId="0" applyFont="1" applyFill="1" applyBorder="1"/>
    <xf numFmtId="0" fontId="5" fillId="12" borderId="16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10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165" fontId="0" fillId="0" borderId="35" xfId="0" applyNumberFormat="1" applyBorder="1" applyAlignment="1">
      <alignment horizontal="center"/>
    </xf>
    <xf numFmtId="165" fontId="0" fillId="24" borderId="1" xfId="0" applyNumberFormat="1" applyFill="1" applyBorder="1" applyAlignment="1">
      <alignment horizontal="center"/>
    </xf>
    <xf numFmtId="15" fontId="0" fillId="0" borderId="16" xfId="0" applyNumberFormat="1" applyBorder="1" applyAlignment="1">
      <alignment horizontal="center"/>
    </xf>
    <xf numFmtId="165" fontId="9" fillId="24" borderId="1" xfId="0" applyNumberFormat="1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0" fillId="21" borderId="1" xfId="0" applyFill="1" applyBorder="1"/>
    <xf numFmtId="0" fontId="0" fillId="12" borderId="7" xfId="0" applyFill="1" applyBorder="1" applyAlignment="1">
      <alignment horizontal="center"/>
    </xf>
    <xf numFmtId="0" fontId="0" fillId="25" borderId="1" xfId="0" applyFill="1" applyBorder="1" applyAlignment="1">
      <alignment vertical="center"/>
    </xf>
    <xf numFmtId="165" fontId="0" fillId="26" borderId="14" xfId="0" applyNumberFormat="1" applyFill="1" applyBorder="1" applyAlignment="1">
      <alignment horizontal="center"/>
    </xf>
    <xf numFmtId="165" fontId="0" fillId="26" borderId="1" xfId="0" applyNumberFormat="1" applyFill="1" applyBorder="1" applyAlignment="1">
      <alignment horizontal="center"/>
    </xf>
    <xf numFmtId="165" fontId="0" fillId="26" borderId="7" xfId="0" applyNumberFormat="1" applyFill="1" applyBorder="1" applyAlignment="1">
      <alignment horizontal="center"/>
    </xf>
    <xf numFmtId="0" fontId="9" fillId="26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165" fontId="0" fillId="27" borderId="1" xfId="0" applyNumberFormat="1" applyFill="1" applyBorder="1" applyAlignment="1">
      <alignment horizontal="center"/>
    </xf>
    <xf numFmtId="0" fontId="9" fillId="26" borderId="1" xfId="0" applyFont="1" applyFill="1" applyBorder="1" applyAlignment="1">
      <alignment vertical="center"/>
    </xf>
    <xf numFmtId="165" fontId="9" fillId="26" borderId="14" xfId="0" applyNumberFormat="1" applyFont="1" applyFill="1" applyBorder="1" applyAlignment="1">
      <alignment horizontal="center"/>
    </xf>
    <xf numFmtId="165" fontId="9" fillId="26" borderId="13" xfId="0" applyNumberFormat="1" applyFont="1" applyFill="1" applyBorder="1" applyAlignment="1">
      <alignment horizontal="center"/>
    </xf>
    <xf numFmtId="165" fontId="9" fillId="26" borderId="16" xfId="0" applyNumberFormat="1" applyFont="1" applyFill="1" applyBorder="1" applyAlignment="1">
      <alignment horizontal="center"/>
    </xf>
    <xf numFmtId="165" fontId="9" fillId="26" borderId="36" xfId="0" applyNumberFormat="1" applyFont="1" applyFill="1" applyBorder="1" applyAlignment="1">
      <alignment horizontal="center"/>
    </xf>
    <xf numFmtId="165" fontId="9" fillId="26" borderId="1" xfId="0" applyNumberFormat="1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23" borderId="1" xfId="0" applyFill="1" applyBorder="1" applyAlignment="1">
      <alignment vertical="center"/>
    </xf>
    <xf numFmtId="0" fontId="7" fillId="4" borderId="14" xfId="0" applyFon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7" xfId="0" applyFill="1" applyBorder="1"/>
    <xf numFmtId="0" fontId="0" fillId="4" borderId="38" xfId="0" applyFill="1" applyBorder="1"/>
    <xf numFmtId="0" fontId="0" fillId="4" borderId="38" xfId="0" applyFill="1" applyBorder="1" applyAlignment="1">
      <alignment horizontal="center"/>
    </xf>
    <xf numFmtId="0" fontId="5" fillId="4" borderId="37" xfId="0" applyFont="1" applyFill="1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164" fontId="4" fillId="3" borderId="30" xfId="0" applyNumberFormat="1" applyFont="1" applyFill="1" applyBorder="1" applyAlignment="1">
      <alignment horizontal="center"/>
    </xf>
    <xf numFmtId="164" fontId="4" fillId="0" borderId="30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7" borderId="23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2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B4C7E7"/>
          <bgColor rgb="FFB4C7E7"/>
        </patternFill>
      </fill>
    </dxf>
  </dxfs>
  <tableStyles count="0" defaultTableStyle="TableStyleMedium2" defaultPivotStyle="PivotStyleLight16"/>
  <colors>
    <mruColors>
      <color rgb="FFC5E0B4"/>
      <color rgb="FFB4C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RB1082"/>
  <sheetViews>
    <sheetView showGridLines="0" tabSelected="1" zoomScale="70" zoomScaleNormal="70" workbookViewId="0">
      <pane xSplit="16" topLeftCell="YY1" activePane="topRight" state="frozen"/>
      <selection activeCell="PK14" sqref="PK14"/>
      <selection pane="topRight" activeCell="K20" sqref="K20"/>
    </sheetView>
  </sheetViews>
  <sheetFormatPr defaultColWidth="5.44140625" defaultRowHeight="14.4" x14ac:dyDescent="0.3"/>
  <cols>
    <col min="1" max="1" width="11" style="2" customWidth="1"/>
    <col min="2" max="2" width="15.33203125" style="3" customWidth="1"/>
    <col min="3" max="3" width="18.33203125" customWidth="1"/>
    <col min="4" max="4" width="16.5546875" customWidth="1"/>
    <col min="5" max="5" width="19.5546875" customWidth="1"/>
    <col min="6" max="6" width="13.5546875" customWidth="1"/>
    <col min="7" max="7" width="14" customWidth="1"/>
    <col min="8" max="8" width="14.44140625" customWidth="1"/>
    <col min="9" max="9" width="16" customWidth="1"/>
    <col min="10" max="10" width="18.88671875" customWidth="1"/>
    <col min="11" max="11" width="23" customWidth="1"/>
    <col min="12" max="12" width="17.33203125" customWidth="1"/>
    <col min="13" max="13" width="21.88671875" customWidth="1"/>
    <col min="14" max="14" width="14.6640625" customWidth="1"/>
    <col min="15" max="15" width="20.6640625" customWidth="1"/>
    <col min="16" max="16" width="14.33203125" style="4" customWidth="1"/>
    <col min="17" max="169" width="4.6640625" customWidth="1"/>
    <col min="170" max="197" width="5.6640625" customWidth="1"/>
    <col min="198" max="198" width="4.6640625" customWidth="1"/>
    <col min="199" max="199" width="6" customWidth="1"/>
    <col min="200" max="228" width="5.6640625" customWidth="1"/>
    <col min="229" max="331" width="4.6640625" customWidth="1"/>
    <col min="332" max="332" width="6.33203125" customWidth="1"/>
    <col min="333" max="593" width="4.6640625" customWidth="1"/>
    <col min="594" max="16384" width="5.44140625" style="1"/>
  </cols>
  <sheetData>
    <row r="1" spans="1:746" customFormat="1" ht="15.6" x14ac:dyDescent="0.3">
      <c r="A1" s="5"/>
      <c r="B1" s="3"/>
      <c r="L1" s="6">
        <f ca="1">TODAY()</f>
        <v>46011</v>
      </c>
      <c r="P1" s="4"/>
    </row>
    <row r="2" spans="1:746" customFormat="1" ht="45" customHeight="1" x14ac:dyDescent="0.85">
      <c r="A2" s="238" t="s">
        <v>0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1">
        <v>45505</v>
      </c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28">
        <v>45536</v>
      </c>
      <c r="AW2" s="228"/>
      <c r="AX2" s="228"/>
      <c r="AY2" s="228"/>
      <c r="AZ2" s="228"/>
      <c r="BA2" s="228"/>
      <c r="BB2" s="228"/>
      <c r="BC2" s="228"/>
      <c r="BD2" s="228"/>
      <c r="BE2" s="228"/>
      <c r="BF2" s="228"/>
      <c r="BG2" s="228"/>
      <c r="BH2" s="228"/>
      <c r="BI2" s="228"/>
      <c r="BJ2" s="228"/>
      <c r="BK2" s="228"/>
      <c r="BL2" s="228"/>
      <c r="BM2" s="228"/>
      <c r="BN2" s="228"/>
      <c r="BO2" s="228"/>
      <c r="BP2" s="228"/>
      <c r="BQ2" s="228"/>
      <c r="BR2" s="228"/>
      <c r="BS2" s="228"/>
      <c r="BT2" s="228"/>
      <c r="BU2" s="228"/>
      <c r="BV2" s="228"/>
      <c r="BW2" s="228"/>
      <c r="BX2" s="228"/>
      <c r="BY2" s="228"/>
      <c r="BZ2" s="231">
        <v>45566</v>
      </c>
      <c r="CA2" s="231"/>
      <c r="CB2" s="231"/>
      <c r="CC2" s="231"/>
      <c r="CD2" s="231"/>
      <c r="CE2" s="231"/>
      <c r="CF2" s="231"/>
      <c r="CG2" s="231"/>
      <c r="CH2" s="231"/>
      <c r="CI2" s="231"/>
      <c r="CJ2" s="231"/>
      <c r="CK2" s="231"/>
      <c r="CL2" s="231"/>
      <c r="CM2" s="231"/>
      <c r="CN2" s="231"/>
      <c r="CO2" s="231"/>
      <c r="CP2" s="231"/>
      <c r="CQ2" s="231"/>
      <c r="CR2" s="231"/>
      <c r="CS2" s="231"/>
      <c r="CT2" s="231"/>
      <c r="CU2" s="231"/>
      <c r="CV2" s="231"/>
      <c r="CW2" s="231"/>
      <c r="CX2" s="231"/>
      <c r="CY2" s="231"/>
      <c r="CZ2" s="231"/>
      <c r="DA2" s="231"/>
      <c r="DB2" s="231"/>
      <c r="DC2" s="231"/>
      <c r="DD2" s="231"/>
      <c r="DE2" s="230">
        <v>45597</v>
      </c>
      <c r="DF2" s="230"/>
      <c r="DG2" s="230"/>
      <c r="DH2" s="230"/>
      <c r="DI2" s="230"/>
      <c r="DJ2" s="230"/>
      <c r="DK2" s="230"/>
      <c r="DL2" s="230"/>
      <c r="DM2" s="230"/>
      <c r="DN2" s="230"/>
      <c r="DO2" s="230"/>
      <c r="DP2" s="230"/>
      <c r="DQ2" s="230"/>
      <c r="DR2" s="230"/>
      <c r="DS2" s="230"/>
      <c r="DT2" s="230"/>
      <c r="DU2" s="230"/>
      <c r="DV2" s="230"/>
      <c r="DW2" s="230"/>
      <c r="DX2" s="230"/>
      <c r="DY2" s="230"/>
      <c r="DZ2" s="230"/>
      <c r="EA2" s="230"/>
      <c r="EB2" s="230"/>
      <c r="EC2" s="230"/>
      <c r="ED2" s="230"/>
      <c r="EE2" s="230"/>
      <c r="EF2" s="230"/>
      <c r="EG2" s="230"/>
      <c r="EH2" s="230"/>
      <c r="EI2" s="231">
        <v>45627</v>
      </c>
      <c r="EJ2" s="231"/>
      <c r="EK2" s="231"/>
      <c r="EL2" s="231"/>
      <c r="EM2" s="231"/>
      <c r="EN2" s="231"/>
      <c r="EO2" s="231"/>
      <c r="EP2" s="231"/>
      <c r="EQ2" s="231"/>
      <c r="ER2" s="231"/>
      <c r="ES2" s="231"/>
      <c r="ET2" s="231"/>
      <c r="EU2" s="231"/>
      <c r="EV2" s="231"/>
      <c r="EW2" s="231"/>
      <c r="EX2" s="231"/>
      <c r="EY2" s="231"/>
      <c r="EZ2" s="231"/>
      <c r="FA2" s="231"/>
      <c r="FB2" s="231"/>
      <c r="FC2" s="231"/>
      <c r="FD2" s="231"/>
      <c r="FE2" s="231"/>
      <c r="FF2" s="231"/>
      <c r="FG2" s="231"/>
      <c r="FH2" s="231"/>
      <c r="FI2" s="231"/>
      <c r="FJ2" s="231"/>
      <c r="FK2" s="231"/>
      <c r="FL2" s="231"/>
      <c r="FM2" s="231"/>
      <c r="FN2" s="230">
        <v>45658</v>
      </c>
      <c r="FO2" s="230"/>
      <c r="FP2" s="230"/>
      <c r="FQ2" s="230"/>
      <c r="FR2" s="230"/>
      <c r="FS2" s="230"/>
      <c r="FT2" s="230"/>
      <c r="FU2" s="230"/>
      <c r="FV2" s="230"/>
      <c r="FW2" s="230"/>
      <c r="FX2" s="230"/>
      <c r="FY2" s="230"/>
      <c r="FZ2" s="230"/>
      <c r="GA2" s="230"/>
      <c r="GB2" s="230"/>
      <c r="GC2" s="230"/>
      <c r="GD2" s="230"/>
      <c r="GE2" s="230"/>
      <c r="GF2" s="230"/>
      <c r="GG2" s="230"/>
      <c r="GH2" s="230"/>
      <c r="GI2" s="230"/>
      <c r="GJ2" s="230"/>
      <c r="GK2" s="230"/>
      <c r="GL2" s="230"/>
      <c r="GM2" s="230"/>
      <c r="GN2" s="230"/>
      <c r="GO2" s="230"/>
      <c r="GP2" s="230"/>
      <c r="GQ2" s="230"/>
      <c r="GR2" s="230"/>
      <c r="GS2" s="237">
        <v>45689</v>
      </c>
      <c r="GT2" s="237"/>
      <c r="GU2" s="237"/>
      <c r="GV2" s="237"/>
      <c r="GW2" s="237"/>
      <c r="GX2" s="237"/>
      <c r="GY2" s="237"/>
      <c r="GZ2" s="237"/>
      <c r="HA2" s="237"/>
      <c r="HB2" s="237"/>
      <c r="HC2" s="237"/>
      <c r="HD2" s="237"/>
      <c r="HE2" s="237"/>
      <c r="HF2" s="237"/>
      <c r="HG2" s="237"/>
      <c r="HH2" s="237"/>
      <c r="HI2" s="237"/>
      <c r="HJ2" s="237"/>
      <c r="HK2" s="237"/>
      <c r="HL2" s="237"/>
      <c r="HM2" s="237"/>
      <c r="HN2" s="237"/>
      <c r="HO2" s="237"/>
      <c r="HP2" s="237"/>
      <c r="HQ2" s="237"/>
      <c r="HR2" s="237"/>
      <c r="HS2" s="237"/>
      <c r="HT2" s="237"/>
      <c r="HU2" s="230">
        <v>45717</v>
      </c>
      <c r="HV2" s="230"/>
      <c r="HW2" s="230"/>
      <c r="HX2" s="230"/>
      <c r="HY2" s="230"/>
      <c r="HZ2" s="230"/>
      <c r="IA2" s="230"/>
      <c r="IB2" s="230"/>
      <c r="IC2" s="230"/>
      <c r="ID2" s="230"/>
      <c r="IE2" s="230"/>
      <c r="IF2" s="230"/>
      <c r="IG2" s="230"/>
      <c r="IH2" s="230"/>
      <c r="II2" s="230"/>
      <c r="IJ2" s="230"/>
      <c r="IK2" s="230"/>
      <c r="IL2" s="230"/>
      <c r="IM2" s="230"/>
      <c r="IN2" s="230"/>
      <c r="IO2" s="230"/>
      <c r="IP2" s="230"/>
      <c r="IQ2" s="230"/>
      <c r="IR2" s="230"/>
      <c r="IS2" s="230"/>
      <c r="IT2" s="230"/>
      <c r="IU2" s="230"/>
      <c r="IV2" s="230"/>
      <c r="IW2" s="230"/>
      <c r="IX2" s="230"/>
      <c r="IY2" s="230"/>
      <c r="IZ2" s="237">
        <v>45748</v>
      </c>
      <c r="JA2" s="237"/>
      <c r="JB2" s="237"/>
      <c r="JC2" s="237"/>
      <c r="JD2" s="237"/>
      <c r="JE2" s="237"/>
      <c r="JF2" s="237"/>
      <c r="JG2" s="237"/>
      <c r="JH2" s="237"/>
      <c r="JI2" s="237"/>
      <c r="JJ2" s="237"/>
      <c r="JK2" s="237"/>
      <c r="JL2" s="237"/>
      <c r="JM2" s="237"/>
      <c r="JN2" s="237"/>
      <c r="JO2" s="237"/>
      <c r="JP2" s="237"/>
      <c r="JQ2" s="237"/>
      <c r="JR2" s="237"/>
      <c r="JS2" s="237"/>
      <c r="JT2" s="237"/>
      <c r="JU2" s="237"/>
      <c r="JV2" s="237"/>
      <c r="JW2" s="237"/>
      <c r="JX2" s="237"/>
      <c r="JY2" s="237"/>
      <c r="JZ2" s="237"/>
      <c r="KA2" s="237"/>
      <c r="KB2" s="237"/>
      <c r="KC2" s="237"/>
      <c r="KD2" s="228">
        <v>45778</v>
      </c>
      <c r="KE2" s="228"/>
      <c r="KF2" s="228"/>
      <c r="KG2" s="228"/>
      <c r="KH2" s="228"/>
      <c r="KI2" s="228"/>
      <c r="KJ2" s="228"/>
      <c r="KK2" s="228"/>
      <c r="KL2" s="228"/>
      <c r="KM2" s="228"/>
      <c r="KN2" s="228"/>
      <c r="KO2" s="228"/>
      <c r="KP2" s="228"/>
      <c r="KQ2" s="228"/>
      <c r="KR2" s="228"/>
      <c r="KS2" s="228"/>
      <c r="KT2" s="228"/>
      <c r="KU2" s="228"/>
      <c r="KV2" s="228"/>
      <c r="KW2" s="228"/>
      <c r="KX2" s="228"/>
      <c r="KY2" s="228"/>
      <c r="KZ2" s="228"/>
      <c r="LA2" s="228"/>
      <c r="LB2" s="228"/>
      <c r="LC2" s="228"/>
      <c r="LD2" s="228"/>
      <c r="LE2" s="228"/>
      <c r="LF2" s="228"/>
      <c r="LG2" s="228"/>
      <c r="LH2" s="228"/>
      <c r="LI2" s="237">
        <v>45809</v>
      </c>
      <c r="LJ2" s="237"/>
      <c r="LK2" s="237"/>
      <c r="LL2" s="237"/>
      <c r="LM2" s="237"/>
      <c r="LN2" s="237"/>
      <c r="LO2" s="237"/>
      <c r="LP2" s="237"/>
      <c r="LQ2" s="237"/>
      <c r="LR2" s="237"/>
      <c r="LS2" s="237"/>
      <c r="LT2" s="237"/>
      <c r="LU2" s="237"/>
      <c r="LV2" s="237"/>
      <c r="LW2" s="237"/>
      <c r="LX2" s="237"/>
      <c r="LY2" s="237"/>
      <c r="LZ2" s="237"/>
      <c r="MA2" s="237"/>
      <c r="MB2" s="237"/>
      <c r="MC2" s="237"/>
      <c r="MD2" s="237"/>
      <c r="ME2" s="237"/>
      <c r="MF2" s="237"/>
      <c r="MG2" s="237"/>
      <c r="MH2" s="237"/>
      <c r="MI2" s="237"/>
      <c r="MJ2" s="237"/>
      <c r="MK2" s="237"/>
      <c r="ML2" s="237"/>
      <c r="MM2" s="228">
        <v>45839</v>
      </c>
      <c r="MN2" s="228"/>
      <c r="MO2" s="228"/>
      <c r="MP2" s="228"/>
      <c r="MQ2" s="228"/>
      <c r="MR2" s="228"/>
      <c r="MS2" s="228"/>
      <c r="MT2" s="228"/>
      <c r="MU2" s="228"/>
      <c r="MV2" s="228"/>
      <c r="MW2" s="228"/>
      <c r="MX2" s="228"/>
      <c r="MY2" s="228"/>
      <c r="MZ2" s="228"/>
      <c r="NA2" s="228"/>
      <c r="NB2" s="228"/>
      <c r="NC2" s="228"/>
      <c r="ND2" s="228"/>
      <c r="NE2" s="228"/>
      <c r="NF2" s="228"/>
      <c r="NG2" s="228"/>
      <c r="NH2" s="228"/>
      <c r="NI2" s="228"/>
      <c r="NJ2" s="228"/>
      <c r="NK2" s="228"/>
      <c r="NL2" s="228"/>
      <c r="NM2" s="228"/>
      <c r="NN2" s="228"/>
      <c r="NO2" s="228"/>
      <c r="NP2" s="228"/>
      <c r="NQ2" s="228"/>
      <c r="NR2" s="231">
        <v>45870</v>
      </c>
      <c r="NS2" s="231"/>
      <c r="NT2" s="231"/>
      <c r="NU2" s="231"/>
      <c r="NV2" s="231"/>
      <c r="NW2" s="231"/>
      <c r="NX2" s="231"/>
      <c r="NY2" s="231"/>
      <c r="NZ2" s="231"/>
      <c r="OA2" s="231"/>
      <c r="OB2" s="231"/>
      <c r="OC2" s="231"/>
      <c r="OD2" s="231"/>
      <c r="OE2" s="231"/>
      <c r="OF2" s="231"/>
      <c r="OG2" s="231"/>
      <c r="OH2" s="231"/>
      <c r="OI2" s="231"/>
      <c r="OJ2" s="231"/>
      <c r="OK2" s="231"/>
      <c r="OL2" s="231"/>
      <c r="OM2" s="231"/>
      <c r="ON2" s="231"/>
      <c r="OO2" s="231"/>
      <c r="OP2" s="231"/>
      <c r="OQ2" s="231"/>
      <c r="OR2" s="231"/>
      <c r="OS2" s="231"/>
      <c r="OT2" s="231"/>
      <c r="OU2" s="231"/>
      <c r="OV2" s="231"/>
      <c r="OW2" s="228">
        <v>45901</v>
      </c>
      <c r="OX2" s="228"/>
      <c r="OY2" s="228"/>
      <c r="OZ2" s="228"/>
      <c r="PA2" s="228"/>
      <c r="PB2" s="228"/>
      <c r="PC2" s="228"/>
      <c r="PD2" s="228"/>
      <c r="PE2" s="228"/>
      <c r="PF2" s="228"/>
      <c r="PG2" s="228"/>
      <c r="PH2" s="228"/>
      <c r="PI2" s="228"/>
      <c r="PJ2" s="228"/>
      <c r="PK2" s="228"/>
      <c r="PL2" s="228"/>
      <c r="PM2" s="228"/>
      <c r="PN2" s="228"/>
      <c r="PO2" s="228"/>
      <c r="PP2" s="228"/>
      <c r="PQ2" s="228"/>
      <c r="PR2" s="228"/>
      <c r="PS2" s="228"/>
      <c r="PT2" s="228"/>
      <c r="PU2" s="228"/>
      <c r="PV2" s="228"/>
      <c r="PW2" s="228"/>
      <c r="PX2" s="228"/>
      <c r="PY2" s="228"/>
      <c r="PZ2" s="228"/>
      <c r="QA2" s="231">
        <v>45931</v>
      </c>
      <c r="QB2" s="231"/>
      <c r="QC2" s="231"/>
      <c r="QD2" s="231"/>
      <c r="QE2" s="231"/>
      <c r="QF2" s="231"/>
      <c r="QG2" s="231"/>
      <c r="QH2" s="231"/>
      <c r="QI2" s="231"/>
      <c r="QJ2" s="231"/>
      <c r="QK2" s="231"/>
      <c r="QL2" s="231"/>
      <c r="QM2" s="231"/>
      <c r="QN2" s="231"/>
      <c r="QO2" s="231"/>
      <c r="QP2" s="231"/>
      <c r="QQ2" s="231"/>
      <c r="QR2" s="231"/>
      <c r="QS2" s="231"/>
      <c r="QT2" s="231"/>
      <c r="QU2" s="231"/>
      <c r="QV2" s="231"/>
      <c r="QW2" s="231"/>
      <c r="QX2" s="231"/>
      <c r="QY2" s="231"/>
      <c r="QZ2" s="231"/>
      <c r="RA2" s="231"/>
      <c r="RB2" s="231"/>
      <c r="RC2" s="231"/>
      <c r="RD2" s="231"/>
      <c r="RE2" s="231"/>
      <c r="RF2" s="230">
        <v>45962</v>
      </c>
      <c r="RG2" s="230"/>
      <c r="RH2" s="230"/>
      <c r="RI2" s="230"/>
      <c r="RJ2" s="230"/>
      <c r="RK2" s="230"/>
      <c r="RL2" s="230"/>
      <c r="RM2" s="230"/>
      <c r="RN2" s="230"/>
      <c r="RO2" s="230"/>
      <c r="RP2" s="230"/>
      <c r="RQ2" s="230"/>
      <c r="RR2" s="230"/>
      <c r="RS2" s="230"/>
      <c r="RT2" s="230"/>
      <c r="RU2" s="230"/>
      <c r="RV2" s="230"/>
      <c r="RW2" s="230"/>
      <c r="RX2" s="230"/>
      <c r="RY2" s="230"/>
      <c r="RZ2" s="230"/>
      <c r="SA2" s="230"/>
      <c r="SB2" s="230"/>
      <c r="SC2" s="230"/>
      <c r="SD2" s="230"/>
      <c r="SE2" s="230"/>
      <c r="SF2" s="230"/>
      <c r="SG2" s="230"/>
      <c r="SH2" s="230"/>
      <c r="SI2" s="230"/>
      <c r="SJ2" s="231">
        <v>45992</v>
      </c>
      <c r="SK2" s="231"/>
      <c r="SL2" s="231"/>
      <c r="SM2" s="231"/>
      <c r="SN2" s="231"/>
      <c r="SO2" s="231"/>
      <c r="SP2" s="231"/>
      <c r="SQ2" s="231"/>
      <c r="SR2" s="231"/>
      <c r="SS2" s="231"/>
      <c r="ST2" s="231"/>
      <c r="SU2" s="231"/>
      <c r="SV2" s="231"/>
      <c r="SW2" s="231"/>
      <c r="SX2" s="231"/>
      <c r="SY2" s="231"/>
      <c r="SZ2" s="231"/>
      <c r="TA2" s="231"/>
      <c r="TB2" s="231"/>
      <c r="TC2" s="231"/>
      <c r="TD2" s="231"/>
      <c r="TE2" s="231"/>
      <c r="TF2" s="231"/>
      <c r="TG2" s="231"/>
      <c r="TH2" s="231"/>
      <c r="TI2" s="231"/>
      <c r="TJ2" s="231"/>
      <c r="TK2" s="231"/>
      <c r="TL2" s="231"/>
      <c r="TM2" s="231"/>
      <c r="TN2" s="231"/>
      <c r="TO2" s="230">
        <v>46023</v>
      </c>
      <c r="TP2" s="230"/>
      <c r="TQ2" s="230"/>
      <c r="TR2" s="230"/>
      <c r="TS2" s="230"/>
      <c r="TT2" s="230"/>
      <c r="TU2" s="230"/>
      <c r="TV2" s="230"/>
      <c r="TW2" s="230"/>
      <c r="TX2" s="230"/>
      <c r="TY2" s="230"/>
      <c r="TZ2" s="230"/>
      <c r="UA2" s="230"/>
      <c r="UB2" s="230"/>
      <c r="UC2" s="230"/>
      <c r="UD2" s="230"/>
      <c r="UE2" s="230"/>
      <c r="UF2" s="230"/>
      <c r="UG2" s="230"/>
      <c r="UH2" s="230"/>
      <c r="UI2" s="230"/>
      <c r="UJ2" s="230"/>
      <c r="UK2" s="230"/>
      <c r="UL2" s="230"/>
      <c r="UM2" s="230"/>
      <c r="UN2" s="230"/>
      <c r="UO2" s="230"/>
      <c r="UP2" s="230"/>
      <c r="UQ2" s="230"/>
      <c r="UR2" s="230"/>
      <c r="US2" s="230"/>
      <c r="UT2" s="237">
        <v>46054</v>
      </c>
      <c r="UU2" s="237"/>
      <c r="UV2" s="237"/>
      <c r="UW2" s="237"/>
      <c r="UX2" s="237"/>
      <c r="UY2" s="237"/>
      <c r="UZ2" s="237"/>
      <c r="VA2" s="237"/>
      <c r="VB2" s="237"/>
      <c r="VC2" s="237"/>
      <c r="VD2" s="237"/>
      <c r="VE2" s="237"/>
      <c r="VF2" s="237"/>
      <c r="VG2" s="237"/>
      <c r="VH2" s="237"/>
      <c r="VI2" s="237"/>
      <c r="VJ2" s="237"/>
      <c r="VK2" s="237"/>
      <c r="VL2" s="237"/>
      <c r="VM2" s="237"/>
      <c r="VN2" s="237"/>
      <c r="VO2" s="237"/>
      <c r="VP2" s="237"/>
      <c r="VQ2" s="237"/>
      <c r="VR2" s="237"/>
      <c r="VS2" s="237"/>
      <c r="VT2" s="237"/>
      <c r="VU2" s="237"/>
      <c r="VV2" s="230">
        <v>46082</v>
      </c>
      <c r="VW2" s="230"/>
      <c r="VX2" s="230"/>
      <c r="VY2" s="230"/>
      <c r="VZ2" s="230"/>
      <c r="WA2" s="230"/>
      <c r="WB2" s="230"/>
      <c r="WC2" s="230"/>
      <c r="WD2" s="230"/>
      <c r="WE2" s="230"/>
      <c r="WF2" s="230"/>
      <c r="WG2" s="230"/>
      <c r="WH2" s="230"/>
      <c r="WI2" s="230"/>
      <c r="WJ2" s="230"/>
      <c r="WK2" s="230"/>
      <c r="WL2" s="230"/>
      <c r="WM2" s="230"/>
      <c r="WN2" s="230"/>
      <c r="WO2" s="230"/>
      <c r="WP2" s="230"/>
      <c r="WQ2" s="230"/>
      <c r="WR2" s="230"/>
      <c r="WS2" s="230"/>
      <c r="WT2" s="230"/>
      <c r="WU2" s="230"/>
      <c r="WV2" s="230"/>
      <c r="WW2" s="230"/>
      <c r="WX2" s="230"/>
      <c r="WY2" s="230"/>
      <c r="WZ2" s="230"/>
      <c r="XA2" s="237">
        <v>46113</v>
      </c>
      <c r="XB2" s="237"/>
      <c r="XC2" s="237"/>
      <c r="XD2" s="237"/>
      <c r="XE2" s="237"/>
      <c r="XF2" s="237"/>
      <c r="XG2" s="237"/>
      <c r="XH2" s="237"/>
      <c r="XI2" s="237"/>
      <c r="XJ2" s="237"/>
      <c r="XK2" s="237"/>
      <c r="XL2" s="237"/>
      <c r="XM2" s="237"/>
      <c r="XN2" s="237"/>
      <c r="XO2" s="237"/>
      <c r="XP2" s="237"/>
      <c r="XQ2" s="237"/>
      <c r="XR2" s="237"/>
      <c r="XS2" s="237"/>
      <c r="XT2" s="237"/>
      <c r="XU2" s="237"/>
      <c r="XV2" s="237"/>
      <c r="XW2" s="237"/>
      <c r="XX2" s="237"/>
      <c r="XY2" s="237"/>
      <c r="XZ2" s="237"/>
      <c r="YA2" s="237"/>
      <c r="YB2" s="237"/>
      <c r="YC2" s="237"/>
      <c r="YD2" s="237"/>
      <c r="YE2" s="228">
        <v>46143</v>
      </c>
      <c r="YF2" s="228"/>
      <c r="YG2" s="228"/>
      <c r="YH2" s="228"/>
      <c r="YI2" s="228"/>
      <c r="YJ2" s="228"/>
      <c r="YK2" s="228"/>
      <c r="YL2" s="228"/>
      <c r="YM2" s="228"/>
      <c r="YN2" s="228"/>
      <c r="YO2" s="228"/>
      <c r="YP2" s="228"/>
      <c r="YQ2" s="228"/>
      <c r="YR2" s="228"/>
      <c r="YS2" s="228"/>
      <c r="YT2" s="228"/>
      <c r="YU2" s="228"/>
      <c r="YV2" s="228"/>
      <c r="YW2" s="228"/>
      <c r="YX2" s="228"/>
      <c r="YY2" s="228"/>
      <c r="YZ2" s="228"/>
      <c r="ZA2" s="228"/>
      <c r="ZB2" s="228"/>
      <c r="ZC2" s="228"/>
      <c r="ZD2" s="228"/>
      <c r="ZE2" s="228"/>
      <c r="ZF2" s="228"/>
      <c r="ZG2" s="228"/>
      <c r="ZH2" s="228"/>
      <c r="ZI2" s="228"/>
      <c r="ZJ2" s="237">
        <v>46174</v>
      </c>
      <c r="ZK2" s="237"/>
      <c r="ZL2" s="237"/>
      <c r="ZM2" s="237"/>
      <c r="ZN2" s="237"/>
      <c r="ZO2" s="237"/>
      <c r="ZP2" s="237"/>
      <c r="ZQ2" s="237"/>
      <c r="ZR2" s="237"/>
      <c r="ZS2" s="237"/>
      <c r="ZT2" s="237"/>
      <c r="ZU2" s="237"/>
      <c r="ZV2" s="237"/>
      <c r="ZW2" s="237"/>
      <c r="ZX2" s="237"/>
      <c r="ZY2" s="237"/>
      <c r="ZZ2" s="237"/>
      <c r="AAA2" s="237"/>
      <c r="AAB2" s="237"/>
      <c r="AAC2" s="237"/>
      <c r="AAD2" s="237"/>
      <c r="AAE2" s="237"/>
      <c r="AAF2" s="237"/>
      <c r="AAG2" s="237"/>
      <c r="AAH2" s="237"/>
      <c r="AAI2" s="237"/>
      <c r="AAJ2" s="237"/>
      <c r="AAK2" s="237"/>
      <c r="AAL2" s="237"/>
      <c r="AAM2" s="237"/>
      <c r="AAN2" s="228">
        <v>46204</v>
      </c>
      <c r="AAO2" s="228"/>
      <c r="AAP2" s="228"/>
      <c r="AAQ2" s="228"/>
      <c r="AAR2" s="228"/>
      <c r="AAS2" s="228"/>
      <c r="AAT2" s="228"/>
      <c r="AAU2" s="228"/>
      <c r="AAV2" s="228"/>
      <c r="AAW2" s="228"/>
      <c r="AAX2" s="228"/>
      <c r="AAY2" s="228"/>
      <c r="AAZ2" s="228"/>
      <c r="ABA2" s="228"/>
      <c r="ABB2" s="228"/>
      <c r="ABC2" s="228"/>
      <c r="ABD2" s="228"/>
      <c r="ABE2" s="228"/>
      <c r="ABF2" s="228"/>
      <c r="ABG2" s="228"/>
      <c r="ABH2" s="228"/>
      <c r="ABI2" s="228"/>
      <c r="ABJ2" s="228"/>
      <c r="ABK2" s="228"/>
      <c r="ABL2" s="228"/>
      <c r="ABM2" s="228"/>
      <c r="ABN2" s="228"/>
      <c r="ABO2" s="228"/>
      <c r="ABP2" s="228"/>
      <c r="ABQ2" s="228"/>
      <c r="ABR2" s="228"/>
    </row>
    <row r="3" spans="1:746" customFormat="1" ht="61.5" customHeight="1" x14ac:dyDescent="0.3">
      <c r="A3" s="7" t="s">
        <v>1</v>
      </c>
      <c r="B3" s="8" t="s">
        <v>2</v>
      </c>
      <c r="C3" s="8" t="s">
        <v>3</v>
      </c>
      <c r="D3" s="9" t="s">
        <v>4</v>
      </c>
      <c r="E3" s="10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7" t="s">
        <v>16</v>
      </c>
      <c r="Q3" s="11">
        <v>1</v>
      </c>
      <c r="R3" s="12">
        <v>2</v>
      </c>
      <c r="S3" s="12">
        <v>3</v>
      </c>
      <c r="T3" s="12">
        <v>4</v>
      </c>
      <c r="U3" s="13">
        <v>5</v>
      </c>
      <c r="V3" s="12">
        <v>6</v>
      </c>
      <c r="W3" s="12">
        <v>7</v>
      </c>
      <c r="X3" s="12">
        <v>8</v>
      </c>
      <c r="Y3" s="12">
        <v>9</v>
      </c>
      <c r="Z3" s="12">
        <v>10</v>
      </c>
      <c r="AA3" s="12">
        <v>11</v>
      </c>
      <c r="AB3" s="13">
        <v>12</v>
      </c>
      <c r="AC3" s="14">
        <v>13</v>
      </c>
      <c r="AD3" s="12">
        <v>14</v>
      </c>
      <c r="AE3" s="12">
        <v>15</v>
      </c>
      <c r="AF3" s="12">
        <v>16</v>
      </c>
      <c r="AG3" s="12">
        <v>17</v>
      </c>
      <c r="AH3" s="12">
        <v>18</v>
      </c>
      <c r="AI3" s="13">
        <v>19</v>
      </c>
      <c r="AJ3" s="12">
        <v>20</v>
      </c>
      <c r="AK3" s="12">
        <v>21</v>
      </c>
      <c r="AL3" s="12">
        <v>22</v>
      </c>
      <c r="AM3" s="12">
        <v>23</v>
      </c>
      <c r="AN3" s="12">
        <v>24</v>
      </c>
      <c r="AO3" s="12">
        <v>25</v>
      </c>
      <c r="AP3" s="13">
        <v>26</v>
      </c>
      <c r="AQ3" s="12">
        <v>27</v>
      </c>
      <c r="AR3" s="12">
        <v>28</v>
      </c>
      <c r="AS3" s="12">
        <v>29</v>
      </c>
      <c r="AT3" s="12">
        <v>30</v>
      </c>
      <c r="AU3" s="12">
        <v>31</v>
      </c>
      <c r="AV3" s="15">
        <v>1</v>
      </c>
      <c r="AW3" s="12">
        <v>2</v>
      </c>
      <c r="AX3" s="15">
        <v>3</v>
      </c>
      <c r="AY3" s="13">
        <v>4</v>
      </c>
      <c r="AZ3" s="13">
        <v>5</v>
      </c>
      <c r="BA3" s="13">
        <v>6</v>
      </c>
      <c r="BB3" s="13">
        <v>7</v>
      </c>
      <c r="BC3" s="13">
        <v>8</v>
      </c>
      <c r="BD3" s="12">
        <v>9</v>
      </c>
      <c r="BE3" s="13">
        <v>10</v>
      </c>
      <c r="BF3" s="13">
        <v>11</v>
      </c>
      <c r="BG3" s="13">
        <v>12</v>
      </c>
      <c r="BH3" s="13">
        <v>13</v>
      </c>
      <c r="BI3" s="13">
        <v>14</v>
      </c>
      <c r="BJ3" s="13">
        <v>15</v>
      </c>
      <c r="BK3" s="12">
        <v>16</v>
      </c>
      <c r="BL3" s="13">
        <v>17</v>
      </c>
      <c r="BM3" s="13">
        <v>18</v>
      </c>
      <c r="BN3" s="13">
        <v>19</v>
      </c>
      <c r="BO3" s="13">
        <v>20</v>
      </c>
      <c r="BP3" s="13">
        <v>21</v>
      </c>
      <c r="BQ3" s="13">
        <v>22</v>
      </c>
      <c r="BR3" s="12">
        <v>23</v>
      </c>
      <c r="BS3" s="13">
        <v>24</v>
      </c>
      <c r="BT3" s="13">
        <v>25</v>
      </c>
      <c r="BU3" s="13">
        <v>26</v>
      </c>
      <c r="BV3" s="13">
        <v>27</v>
      </c>
      <c r="BW3" s="13">
        <v>28</v>
      </c>
      <c r="BX3" s="13">
        <v>29</v>
      </c>
      <c r="BY3" s="12">
        <v>30</v>
      </c>
      <c r="BZ3" s="12">
        <v>1</v>
      </c>
      <c r="CA3" s="12">
        <v>2</v>
      </c>
      <c r="CB3" s="12">
        <v>3</v>
      </c>
      <c r="CC3" s="12">
        <v>4</v>
      </c>
      <c r="CD3" s="12">
        <v>5</v>
      </c>
      <c r="CE3" s="12">
        <v>6</v>
      </c>
      <c r="CF3" s="13">
        <v>7</v>
      </c>
      <c r="CG3" s="12">
        <v>8</v>
      </c>
      <c r="CH3" s="12">
        <v>9</v>
      </c>
      <c r="CI3" s="12">
        <v>10</v>
      </c>
      <c r="CJ3" s="12">
        <v>11</v>
      </c>
      <c r="CK3" s="12">
        <v>12</v>
      </c>
      <c r="CL3" s="12">
        <v>13</v>
      </c>
      <c r="CM3" s="13">
        <v>14</v>
      </c>
      <c r="CN3" s="12">
        <v>15</v>
      </c>
      <c r="CO3" s="12">
        <v>16</v>
      </c>
      <c r="CP3" s="12">
        <v>17</v>
      </c>
      <c r="CQ3" s="12">
        <v>18</v>
      </c>
      <c r="CR3" s="12">
        <v>19</v>
      </c>
      <c r="CS3" s="12">
        <v>20</v>
      </c>
      <c r="CT3" s="13">
        <v>21</v>
      </c>
      <c r="CU3" s="12">
        <v>22</v>
      </c>
      <c r="CV3" s="12">
        <v>23</v>
      </c>
      <c r="CW3" s="12">
        <v>24</v>
      </c>
      <c r="CX3" s="12">
        <v>25</v>
      </c>
      <c r="CY3" s="12">
        <v>26</v>
      </c>
      <c r="CZ3" s="12">
        <v>27</v>
      </c>
      <c r="DA3" s="13">
        <v>28</v>
      </c>
      <c r="DB3" s="12">
        <v>29</v>
      </c>
      <c r="DC3" s="12">
        <v>30</v>
      </c>
      <c r="DD3" s="12">
        <v>31</v>
      </c>
      <c r="DE3" s="13">
        <v>1</v>
      </c>
      <c r="DF3" s="13">
        <v>2</v>
      </c>
      <c r="DG3" s="13">
        <v>3</v>
      </c>
      <c r="DH3" s="12">
        <v>4</v>
      </c>
      <c r="DI3" s="13">
        <v>5</v>
      </c>
      <c r="DJ3" s="13">
        <v>6</v>
      </c>
      <c r="DK3" s="13">
        <v>7</v>
      </c>
      <c r="DL3" s="13">
        <v>8</v>
      </c>
      <c r="DM3" s="13">
        <v>9</v>
      </c>
      <c r="DN3" s="13">
        <v>10</v>
      </c>
      <c r="DO3" s="12">
        <v>11</v>
      </c>
      <c r="DP3" s="13">
        <v>12</v>
      </c>
      <c r="DQ3" s="13">
        <v>13</v>
      </c>
      <c r="DR3" s="13">
        <v>14</v>
      </c>
      <c r="DS3" s="13">
        <v>15</v>
      </c>
      <c r="DT3" s="13">
        <v>16</v>
      </c>
      <c r="DU3" s="13">
        <v>17</v>
      </c>
      <c r="DV3" s="12">
        <v>18</v>
      </c>
      <c r="DW3" s="13">
        <v>19</v>
      </c>
      <c r="DX3" s="13">
        <v>20</v>
      </c>
      <c r="DY3" s="13">
        <v>21</v>
      </c>
      <c r="DZ3" s="13">
        <v>22</v>
      </c>
      <c r="EA3" s="13">
        <v>23</v>
      </c>
      <c r="EB3" s="13">
        <v>24</v>
      </c>
      <c r="EC3" s="12">
        <v>25</v>
      </c>
      <c r="ED3" s="13">
        <v>26</v>
      </c>
      <c r="EE3" s="13">
        <v>27</v>
      </c>
      <c r="EF3" s="13">
        <v>28</v>
      </c>
      <c r="EG3" s="13">
        <v>29</v>
      </c>
      <c r="EH3" s="13">
        <v>30</v>
      </c>
      <c r="EI3" s="12">
        <v>1</v>
      </c>
      <c r="EJ3" s="13">
        <v>2</v>
      </c>
      <c r="EK3" s="12">
        <v>3</v>
      </c>
      <c r="EL3" s="12">
        <v>4</v>
      </c>
      <c r="EM3" s="12">
        <v>5</v>
      </c>
      <c r="EN3" s="12">
        <v>6</v>
      </c>
      <c r="EO3" s="12">
        <v>7</v>
      </c>
      <c r="EP3" s="12">
        <v>8</v>
      </c>
      <c r="EQ3" s="13">
        <v>9</v>
      </c>
      <c r="ER3" s="12">
        <v>10</v>
      </c>
      <c r="ES3" s="12">
        <v>11</v>
      </c>
      <c r="ET3" s="12">
        <v>12</v>
      </c>
      <c r="EU3" s="12">
        <v>13</v>
      </c>
      <c r="EV3" s="12">
        <v>14</v>
      </c>
      <c r="EW3" s="12">
        <v>15</v>
      </c>
      <c r="EX3" s="13">
        <v>16</v>
      </c>
      <c r="EY3" s="12">
        <v>17</v>
      </c>
      <c r="EZ3" s="12">
        <v>18</v>
      </c>
      <c r="FA3" s="12">
        <v>19</v>
      </c>
      <c r="FB3" s="12">
        <v>20</v>
      </c>
      <c r="FC3" s="12">
        <v>21</v>
      </c>
      <c r="FD3" s="12">
        <v>22</v>
      </c>
      <c r="FE3" s="13">
        <v>23</v>
      </c>
      <c r="FF3" s="12">
        <v>24</v>
      </c>
      <c r="FG3" s="12">
        <v>25</v>
      </c>
      <c r="FH3" s="12">
        <v>26</v>
      </c>
      <c r="FI3" s="12">
        <v>27</v>
      </c>
      <c r="FJ3" s="12">
        <v>28</v>
      </c>
      <c r="FK3" s="12">
        <v>29</v>
      </c>
      <c r="FL3" s="13">
        <v>30</v>
      </c>
      <c r="FM3" s="12">
        <v>31</v>
      </c>
      <c r="FN3" s="13">
        <v>1</v>
      </c>
      <c r="FO3" s="13">
        <v>2</v>
      </c>
      <c r="FP3" s="13">
        <v>3</v>
      </c>
      <c r="FQ3" s="13">
        <v>4</v>
      </c>
      <c r="FR3" s="13">
        <v>5</v>
      </c>
      <c r="FS3" s="12">
        <v>6</v>
      </c>
      <c r="FT3" s="13">
        <v>7</v>
      </c>
      <c r="FU3" s="13">
        <v>8</v>
      </c>
      <c r="FV3" s="13">
        <v>9</v>
      </c>
      <c r="FW3" s="13">
        <v>10</v>
      </c>
      <c r="FX3" s="13">
        <v>11</v>
      </c>
      <c r="FY3" s="13">
        <v>12</v>
      </c>
      <c r="FZ3" s="12">
        <v>13</v>
      </c>
      <c r="GA3" s="13">
        <v>14</v>
      </c>
      <c r="GB3" s="13">
        <v>15</v>
      </c>
      <c r="GC3" s="13">
        <v>16</v>
      </c>
      <c r="GD3" s="13">
        <v>17</v>
      </c>
      <c r="GE3" s="13">
        <v>18</v>
      </c>
      <c r="GF3" s="13">
        <v>19</v>
      </c>
      <c r="GG3" s="12">
        <v>20</v>
      </c>
      <c r="GH3" s="13">
        <v>21</v>
      </c>
      <c r="GI3" s="13">
        <v>22</v>
      </c>
      <c r="GJ3" s="13">
        <v>23</v>
      </c>
      <c r="GK3" s="13">
        <v>24</v>
      </c>
      <c r="GL3" s="13">
        <v>25</v>
      </c>
      <c r="GM3" s="13">
        <v>26</v>
      </c>
      <c r="GN3" s="12">
        <v>27</v>
      </c>
      <c r="GO3" s="13">
        <v>28</v>
      </c>
      <c r="GP3" s="13">
        <v>29</v>
      </c>
      <c r="GQ3" s="13">
        <v>30</v>
      </c>
      <c r="GR3" s="13">
        <v>31</v>
      </c>
      <c r="GS3" s="12">
        <v>1</v>
      </c>
      <c r="GT3" s="12">
        <v>2</v>
      </c>
      <c r="GU3" s="13">
        <v>3</v>
      </c>
      <c r="GV3" s="12">
        <v>4</v>
      </c>
      <c r="GW3" s="12">
        <v>5</v>
      </c>
      <c r="GX3" s="12">
        <v>6</v>
      </c>
      <c r="GY3" s="12">
        <v>7</v>
      </c>
      <c r="GZ3" s="12">
        <v>8</v>
      </c>
      <c r="HA3" s="12">
        <v>9</v>
      </c>
      <c r="HB3" s="13">
        <v>10</v>
      </c>
      <c r="HC3" s="12">
        <v>11</v>
      </c>
      <c r="HD3" s="12">
        <v>12</v>
      </c>
      <c r="HE3" s="12">
        <v>13</v>
      </c>
      <c r="HF3" s="12">
        <v>14</v>
      </c>
      <c r="HG3" s="12">
        <v>15</v>
      </c>
      <c r="HH3" s="12">
        <v>16</v>
      </c>
      <c r="HI3" s="13">
        <v>17</v>
      </c>
      <c r="HJ3" s="12">
        <v>18</v>
      </c>
      <c r="HK3" s="12">
        <v>19</v>
      </c>
      <c r="HL3" s="12">
        <v>20</v>
      </c>
      <c r="HM3" s="12">
        <v>21</v>
      </c>
      <c r="HN3" s="12">
        <v>22</v>
      </c>
      <c r="HO3" s="12">
        <v>23</v>
      </c>
      <c r="HP3" s="13">
        <v>24</v>
      </c>
      <c r="HQ3" s="12">
        <v>25</v>
      </c>
      <c r="HR3" s="12">
        <v>26</v>
      </c>
      <c r="HS3" s="12">
        <v>27</v>
      </c>
      <c r="HT3" s="12">
        <v>28</v>
      </c>
      <c r="HU3" s="13">
        <v>1</v>
      </c>
      <c r="HV3" s="13">
        <v>2</v>
      </c>
      <c r="HW3" s="12">
        <v>3</v>
      </c>
      <c r="HX3" s="13">
        <v>4</v>
      </c>
      <c r="HY3" s="13">
        <v>5</v>
      </c>
      <c r="HZ3" s="13">
        <v>6</v>
      </c>
      <c r="IA3" s="13">
        <v>7</v>
      </c>
      <c r="IB3" s="13">
        <v>8</v>
      </c>
      <c r="IC3" s="13">
        <v>9</v>
      </c>
      <c r="ID3" s="12">
        <v>10</v>
      </c>
      <c r="IE3" s="13">
        <v>11</v>
      </c>
      <c r="IF3" s="13">
        <v>12</v>
      </c>
      <c r="IG3" s="13">
        <v>13</v>
      </c>
      <c r="IH3" s="13">
        <v>14</v>
      </c>
      <c r="II3" s="13">
        <v>15</v>
      </c>
      <c r="IJ3" s="13">
        <v>16</v>
      </c>
      <c r="IK3" s="12">
        <v>17</v>
      </c>
      <c r="IL3" s="13">
        <v>18</v>
      </c>
      <c r="IM3" s="13">
        <v>19</v>
      </c>
      <c r="IN3" s="13">
        <v>20</v>
      </c>
      <c r="IO3" s="13">
        <v>21</v>
      </c>
      <c r="IP3" s="13">
        <v>22</v>
      </c>
      <c r="IQ3" s="13">
        <v>23</v>
      </c>
      <c r="IR3" s="12">
        <v>24</v>
      </c>
      <c r="IS3" s="13">
        <v>25</v>
      </c>
      <c r="IT3" s="13">
        <v>26</v>
      </c>
      <c r="IU3" s="13">
        <v>27</v>
      </c>
      <c r="IV3" s="13">
        <v>28</v>
      </c>
      <c r="IW3" s="13">
        <v>29</v>
      </c>
      <c r="IX3" s="13">
        <v>30</v>
      </c>
      <c r="IY3" s="12">
        <v>31</v>
      </c>
      <c r="IZ3" s="12">
        <v>1</v>
      </c>
      <c r="JA3" s="12">
        <v>2</v>
      </c>
      <c r="JB3" s="12">
        <v>3</v>
      </c>
      <c r="JC3" s="12">
        <v>4</v>
      </c>
      <c r="JD3" s="12">
        <v>5</v>
      </c>
      <c r="JE3" s="12">
        <v>6</v>
      </c>
      <c r="JF3" s="13">
        <v>7</v>
      </c>
      <c r="JG3" s="12">
        <v>8</v>
      </c>
      <c r="JH3" s="12">
        <v>9</v>
      </c>
      <c r="JI3" s="12">
        <v>10</v>
      </c>
      <c r="JJ3" s="12">
        <v>11</v>
      </c>
      <c r="JK3" s="12">
        <v>12</v>
      </c>
      <c r="JL3" s="12">
        <v>13</v>
      </c>
      <c r="JM3" s="13">
        <v>14</v>
      </c>
      <c r="JN3" s="12">
        <v>15</v>
      </c>
      <c r="JO3" s="12">
        <v>16</v>
      </c>
      <c r="JP3" s="12">
        <v>17</v>
      </c>
      <c r="JQ3" s="12">
        <v>18</v>
      </c>
      <c r="JR3" s="12">
        <v>19</v>
      </c>
      <c r="JS3" s="12">
        <v>20</v>
      </c>
      <c r="JT3" s="13">
        <v>21</v>
      </c>
      <c r="JU3" s="12">
        <v>22</v>
      </c>
      <c r="JV3" s="12">
        <v>23</v>
      </c>
      <c r="JW3" s="12">
        <v>24</v>
      </c>
      <c r="JX3" s="12">
        <v>25</v>
      </c>
      <c r="JY3" s="12">
        <v>26</v>
      </c>
      <c r="JZ3" s="12">
        <v>27</v>
      </c>
      <c r="KA3" s="13">
        <v>28</v>
      </c>
      <c r="KB3" s="12">
        <v>29</v>
      </c>
      <c r="KC3" s="12">
        <v>30</v>
      </c>
      <c r="KD3" s="13">
        <v>1</v>
      </c>
      <c r="KE3" s="13">
        <v>2</v>
      </c>
      <c r="KF3" s="13">
        <v>3</v>
      </c>
      <c r="KG3" s="13">
        <v>4</v>
      </c>
      <c r="KH3" s="12">
        <v>5</v>
      </c>
      <c r="KI3" s="13">
        <v>6</v>
      </c>
      <c r="KJ3" s="13">
        <v>7</v>
      </c>
      <c r="KK3" s="13">
        <v>8</v>
      </c>
      <c r="KL3" s="13">
        <v>9</v>
      </c>
      <c r="KM3" s="13">
        <v>10</v>
      </c>
      <c r="KN3" s="13">
        <v>11</v>
      </c>
      <c r="KO3" s="12">
        <v>12</v>
      </c>
      <c r="KP3" s="13">
        <v>13</v>
      </c>
      <c r="KQ3" s="13">
        <v>14</v>
      </c>
      <c r="KR3" s="13">
        <v>15</v>
      </c>
      <c r="KS3" s="13">
        <v>16</v>
      </c>
      <c r="KT3" s="13">
        <v>17</v>
      </c>
      <c r="KU3" s="13">
        <v>18</v>
      </c>
      <c r="KV3" s="12">
        <v>19</v>
      </c>
      <c r="KW3" s="13">
        <v>20</v>
      </c>
      <c r="KX3" s="13">
        <v>21</v>
      </c>
      <c r="KY3" s="13">
        <v>22</v>
      </c>
      <c r="KZ3" s="13">
        <v>23</v>
      </c>
      <c r="LA3" s="13">
        <v>24</v>
      </c>
      <c r="LB3" s="13">
        <v>25</v>
      </c>
      <c r="LC3" s="12">
        <v>26</v>
      </c>
      <c r="LD3" s="13">
        <v>27</v>
      </c>
      <c r="LE3" s="13">
        <v>28</v>
      </c>
      <c r="LF3" s="13">
        <v>29</v>
      </c>
      <c r="LG3" s="13">
        <v>30</v>
      </c>
      <c r="LH3" s="13">
        <v>31</v>
      </c>
      <c r="LI3" s="12">
        <v>1</v>
      </c>
      <c r="LJ3" s="13">
        <v>2</v>
      </c>
      <c r="LK3" s="12">
        <v>3</v>
      </c>
      <c r="LL3" s="12">
        <v>4</v>
      </c>
      <c r="LM3" s="12">
        <v>5</v>
      </c>
      <c r="LN3" s="12">
        <v>6</v>
      </c>
      <c r="LO3" s="12">
        <v>7</v>
      </c>
      <c r="LP3" s="12">
        <v>8</v>
      </c>
      <c r="LQ3" s="13">
        <v>9</v>
      </c>
      <c r="LR3" s="12">
        <v>10</v>
      </c>
      <c r="LS3" s="12">
        <v>11</v>
      </c>
      <c r="LT3" s="12">
        <v>12</v>
      </c>
      <c r="LU3" s="12">
        <v>13</v>
      </c>
      <c r="LV3" s="12">
        <v>14</v>
      </c>
      <c r="LW3" s="12">
        <v>15</v>
      </c>
      <c r="LX3" s="13">
        <v>16</v>
      </c>
      <c r="LY3" s="12">
        <v>17</v>
      </c>
      <c r="LZ3" s="12">
        <v>18</v>
      </c>
      <c r="MA3" s="12">
        <v>19</v>
      </c>
      <c r="MB3" s="12">
        <v>20</v>
      </c>
      <c r="MC3" s="12">
        <v>21</v>
      </c>
      <c r="MD3" s="12">
        <v>22</v>
      </c>
      <c r="ME3" s="13">
        <v>23</v>
      </c>
      <c r="MF3" s="12">
        <v>24</v>
      </c>
      <c r="MG3" s="12">
        <v>25</v>
      </c>
      <c r="MH3" s="12">
        <v>26</v>
      </c>
      <c r="MI3" s="12">
        <v>27</v>
      </c>
      <c r="MJ3" s="12">
        <v>28</v>
      </c>
      <c r="MK3" s="12">
        <v>29</v>
      </c>
      <c r="ML3" s="13">
        <v>30</v>
      </c>
      <c r="MM3" s="13">
        <v>1</v>
      </c>
      <c r="MN3" s="13">
        <v>2</v>
      </c>
      <c r="MO3" s="13">
        <v>3</v>
      </c>
      <c r="MP3" s="13">
        <v>4</v>
      </c>
      <c r="MQ3" s="13">
        <v>5</v>
      </c>
      <c r="MR3" s="13">
        <v>6</v>
      </c>
      <c r="MS3" s="12">
        <v>7</v>
      </c>
      <c r="MT3" s="13">
        <v>8</v>
      </c>
      <c r="MU3" s="13">
        <v>9</v>
      </c>
      <c r="MV3" s="13">
        <v>10</v>
      </c>
      <c r="MW3" s="13">
        <v>11</v>
      </c>
      <c r="MX3" s="13">
        <v>12</v>
      </c>
      <c r="MY3" s="13">
        <v>13</v>
      </c>
      <c r="MZ3" s="12">
        <v>14</v>
      </c>
      <c r="NA3" s="13">
        <v>15</v>
      </c>
      <c r="NB3" s="13">
        <v>16</v>
      </c>
      <c r="NC3" s="13">
        <v>17</v>
      </c>
      <c r="ND3" s="13">
        <v>18</v>
      </c>
      <c r="NE3" s="13">
        <v>19</v>
      </c>
      <c r="NF3" s="13">
        <v>20</v>
      </c>
      <c r="NG3" s="12">
        <v>21</v>
      </c>
      <c r="NH3" s="13">
        <v>22</v>
      </c>
      <c r="NI3" s="13">
        <v>23</v>
      </c>
      <c r="NJ3" s="13">
        <v>24</v>
      </c>
      <c r="NK3" s="13">
        <v>25</v>
      </c>
      <c r="NL3" s="13">
        <v>26</v>
      </c>
      <c r="NM3" s="13">
        <v>27</v>
      </c>
      <c r="NN3" s="12">
        <v>28</v>
      </c>
      <c r="NO3" s="13">
        <v>29</v>
      </c>
      <c r="NP3" s="13">
        <v>30</v>
      </c>
      <c r="NQ3" s="13">
        <v>31</v>
      </c>
      <c r="NR3" s="12">
        <v>1</v>
      </c>
      <c r="NS3" s="12">
        <v>2</v>
      </c>
      <c r="NT3" s="12">
        <v>3</v>
      </c>
      <c r="NU3" s="13">
        <v>4</v>
      </c>
      <c r="NV3" s="12">
        <v>5</v>
      </c>
      <c r="NW3" s="12">
        <v>6</v>
      </c>
      <c r="NX3" s="12">
        <v>7</v>
      </c>
      <c r="NY3" s="12">
        <v>8</v>
      </c>
      <c r="NZ3" s="12">
        <v>9</v>
      </c>
      <c r="OA3" s="12">
        <v>10</v>
      </c>
      <c r="OB3" s="13">
        <v>11</v>
      </c>
      <c r="OC3" s="12">
        <v>12</v>
      </c>
      <c r="OD3" s="12">
        <v>13</v>
      </c>
      <c r="OE3" s="12">
        <v>14</v>
      </c>
      <c r="OF3" s="12">
        <v>15</v>
      </c>
      <c r="OG3" s="12">
        <v>16</v>
      </c>
      <c r="OH3" s="12">
        <v>17</v>
      </c>
      <c r="OI3" s="13">
        <v>18</v>
      </c>
      <c r="OJ3" s="12">
        <v>19</v>
      </c>
      <c r="OK3" s="12">
        <v>20</v>
      </c>
      <c r="OL3" s="12">
        <v>21</v>
      </c>
      <c r="OM3" s="12">
        <v>22</v>
      </c>
      <c r="ON3" s="12">
        <v>23</v>
      </c>
      <c r="OO3" s="12">
        <v>24</v>
      </c>
      <c r="OP3" s="13">
        <v>25</v>
      </c>
      <c r="OQ3" s="12">
        <v>26</v>
      </c>
      <c r="OR3" s="12">
        <v>27</v>
      </c>
      <c r="OS3" s="12">
        <v>28</v>
      </c>
      <c r="OT3" s="12">
        <v>29</v>
      </c>
      <c r="OU3" s="12">
        <v>30</v>
      </c>
      <c r="OV3" s="12">
        <v>31</v>
      </c>
      <c r="OW3" s="12">
        <v>1</v>
      </c>
      <c r="OX3" s="13">
        <v>2</v>
      </c>
      <c r="OY3" s="13">
        <v>3</v>
      </c>
      <c r="OZ3" s="13">
        <v>4</v>
      </c>
      <c r="PA3" s="13">
        <v>5</v>
      </c>
      <c r="PB3" s="13">
        <v>6</v>
      </c>
      <c r="PC3" s="13">
        <v>7</v>
      </c>
      <c r="PD3" s="12">
        <v>8</v>
      </c>
      <c r="PE3" s="13">
        <v>9</v>
      </c>
      <c r="PF3" s="13">
        <v>10</v>
      </c>
      <c r="PG3" s="13">
        <v>11</v>
      </c>
      <c r="PH3" s="13">
        <v>12</v>
      </c>
      <c r="PI3" s="13">
        <v>13</v>
      </c>
      <c r="PJ3" s="13">
        <v>14</v>
      </c>
      <c r="PK3" s="12">
        <v>15</v>
      </c>
      <c r="PL3" s="13">
        <v>16</v>
      </c>
      <c r="PM3" s="13">
        <v>17</v>
      </c>
      <c r="PN3" s="13">
        <v>18</v>
      </c>
      <c r="PO3" s="13">
        <v>19</v>
      </c>
      <c r="PP3" s="13">
        <v>20</v>
      </c>
      <c r="PQ3" s="13">
        <v>21</v>
      </c>
      <c r="PR3" s="12">
        <v>22</v>
      </c>
      <c r="PS3" s="13">
        <v>23</v>
      </c>
      <c r="PT3" s="13">
        <v>24</v>
      </c>
      <c r="PU3" s="13">
        <v>25</v>
      </c>
      <c r="PV3" s="13">
        <v>26</v>
      </c>
      <c r="PW3" s="13">
        <v>27</v>
      </c>
      <c r="PX3" s="13">
        <v>28</v>
      </c>
      <c r="PY3" s="12">
        <v>29</v>
      </c>
      <c r="PZ3" s="13">
        <v>30</v>
      </c>
      <c r="QA3" s="12">
        <v>1</v>
      </c>
      <c r="QB3" s="12">
        <v>2</v>
      </c>
      <c r="QC3" s="12">
        <v>3</v>
      </c>
      <c r="QD3" s="12">
        <v>4</v>
      </c>
      <c r="QE3" s="12">
        <v>5</v>
      </c>
      <c r="QF3" s="13">
        <v>6</v>
      </c>
      <c r="QG3" s="12">
        <v>7</v>
      </c>
      <c r="QH3" s="12">
        <v>8</v>
      </c>
      <c r="QI3" s="12">
        <v>9</v>
      </c>
      <c r="QJ3" s="12">
        <v>10</v>
      </c>
      <c r="QK3" s="12">
        <v>11</v>
      </c>
      <c r="QL3" s="12">
        <v>12</v>
      </c>
      <c r="QM3" s="13">
        <v>13</v>
      </c>
      <c r="QN3" s="12">
        <v>14</v>
      </c>
      <c r="QO3" s="12">
        <v>15</v>
      </c>
      <c r="QP3" s="12">
        <v>16</v>
      </c>
      <c r="QQ3" s="12">
        <v>17</v>
      </c>
      <c r="QR3" s="12">
        <v>18</v>
      </c>
      <c r="QS3" s="12">
        <v>19</v>
      </c>
      <c r="QT3" s="13">
        <v>20</v>
      </c>
      <c r="QU3" s="12">
        <v>21</v>
      </c>
      <c r="QV3" s="12">
        <v>22</v>
      </c>
      <c r="QW3" s="12">
        <v>23</v>
      </c>
      <c r="QX3" s="12">
        <v>24</v>
      </c>
      <c r="QY3" s="12">
        <v>25</v>
      </c>
      <c r="QZ3" s="12">
        <v>26</v>
      </c>
      <c r="RA3" s="13">
        <v>27</v>
      </c>
      <c r="RB3" s="12">
        <v>28</v>
      </c>
      <c r="RC3" s="12">
        <v>29</v>
      </c>
      <c r="RD3" s="12">
        <v>30</v>
      </c>
      <c r="RE3" s="12">
        <v>31</v>
      </c>
      <c r="RF3" s="13">
        <v>1</v>
      </c>
      <c r="RG3" s="13">
        <v>2</v>
      </c>
      <c r="RH3" s="12">
        <v>3</v>
      </c>
      <c r="RI3" s="13">
        <v>4</v>
      </c>
      <c r="RJ3" s="13">
        <v>5</v>
      </c>
      <c r="RK3" s="13">
        <v>6</v>
      </c>
      <c r="RL3" s="13">
        <v>7</v>
      </c>
      <c r="RM3" s="13">
        <v>8</v>
      </c>
      <c r="RN3" s="13">
        <v>9</v>
      </c>
      <c r="RO3" s="12">
        <v>10</v>
      </c>
      <c r="RP3" s="13">
        <v>11</v>
      </c>
      <c r="RQ3" s="13">
        <v>12</v>
      </c>
      <c r="RR3" s="13">
        <v>13</v>
      </c>
      <c r="RS3" s="13">
        <v>14</v>
      </c>
      <c r="RT3" s="13">
        <v>15</v>
      </c>
      <c r="RU3" s="13">
        <v>16</v>
      </c>
      <c r="RV3" s="12">
        <v>17</v>
      </c>
      <c r="RW3" s="13">
        <v>18</v>
      </c>
      <c r="RX3" s="13">
        <v>19</v>
      </c>
      <c r="RY3" s="13">
        <v>20</v>
      </c>
      <c r="RZ3" s="13">
        <v>21</v>
      </c>
      <c r="SA3" s="13">
        <v>22</v>
      </c>
      <c r="SB3" s="13">
        <v>23</v>
      </c>
      <c r="SC3" s="12">
        <v>24</v>
      </c>
      <c r="SD3" s="13">
        <v>25</v>
      </c>
      <c r="SE3" s="13">
        <v>26</v>
      </c>
      <c r="SF3" s="13">
        <v>27</v>
      </c>
      <c r="SG3" s="13">
        <v>28</v>
      </c>
      <c r="SH3" s="13">
        <v>29</v>
      </c>
      <c r="SI3" s="13">
        <v>30</v>
      </c>
      <c r="SJ3" s="13">
        <v>1</v>
      </c>
      <c r="SK3" s="12">
        <v>2</v>
      </c>
      <c r="SL3" s="12">
        <v>3</v>
      </c>
      <c r="SM3" s="12">
        <v>4</v>
      </c>
      <c r="SN3" s="12">
        <v>5</v>
      </c>
      <c r="SO3" s="12">
        <v>6</v>
      </c>
      <c r="SP3" s="12">
        <v>7</v>
      </c>
      <c r="SQ3" s="13">
        <v>8</v>
      </c>
      <c r="SR3" s="12">
        <v>9</v>
      </c>
      <c r="SS3" s="12">
        <v>10</v>
      </c>
      <c r="ST3" s="12">
        <v>11</v>
      </c>
      <c r="SU3" s="12">
        <v>12</v>
      </c>
      <c r="SV3" s="12">
        <v>13</v>
      </c>
      <c r="SW3" s="12">
        <v>14</v>
      </c>
      <c r="SX3" s="13">
        <v>15</v>
      </c>
      <c r="SY3" s="12">
        <v>16</v>
      </c>
      <c r="SZ3" s="16">
        <v>17</v>
      </c>
      <c r="TA3" s="17">
        <v>18</v>
      </c>
      <c r="TB3" s="11">
        <v>19</v>
      </c>
      <c r="TC3" s="12">
        <v>20</v>
      </c>
      <c r="TD3" s="12">
        <v>21</v>
      </c>
      <c r="TE3" s="13">
        <v>22</v>
      </c>
      <c r="TF3" s="12">
        <v>23</v>
      </c>
      <c r="TG3" s="12">
        <v>24</v>
      </c>
      <c r="TH3" s="12">
        <v>25</v>
      </c>
      <c r="TI3" s="12">
        <v>26</v>
      </c>
      <c r="TJ3" s="12">
        <v>27</v>
      </c>
      <c r="TK3" s="12">
        <v>28</v>
      </c>
      <c r="TL3" s="13">
        <v>29</v>
      </c>
      <c r="TM3" s="12">
        <v>30</v>
      </c>
      <c r="TN3" s="12">
        <v>31</v>
      </c>
      <c r="TO3" s="13">
        <v>1</v>
      </c>
      <c r="TP3" s="13">
        <v>2</v>
      </c>
      <c r="TQ3" s="13">
        <v>3</v>
      </c>
      <c r="TR3" s="13">
        <v>4</v>
      </c>
      <c r="TS3" s="12">
        <v>5</v>
      </c>
      <c r="TT3" s="13">
        <v>6</v>
      </c>
      <c r="TU3" s="13">
        <v>7</v>
      </c>
      <c r="TV3" s="13">
        <v>8</v>
      </c>
      <c r="TW3" s="13">
        <v>9</v>
      </c>
      <c r="TX3" s="13">
        <v>10</v>
      </c>
      <c r="TY3" s="13">
        <v>11</v>
      </c>
      <c r="TZ3" s="12">
        <v>12</v>
      </c>
      <c r="UA3" s="13">
        <v>13</v>
      </c>
      <c r="UB3" s="13">
        <v>14</v>
      </c>
      <c r="UC3" s="13">
        <v>15</v>
      </c>
      <c r="UD3" s="13">
        <v>16</v>
      </c>
      <c r="UE3" s="13">
        <v>17</v>
      </c>
      <c r="UF3" s="13">
        <v>18</v>
      </c>
      <c r="UG3" s="12">
        <v>19</v>
      </c>
      <c r="UH3" s="13">
        <v>20</v>
      </c>
      <c r="UI3" s="13">
        <v>21</v>
      </c>
      <c r="UJ3" s="13">
        <v>22</v>
      </c>
      <c r="UK3" s="13">
        <v>23</v>
      </c>
      <c r="UL3" s="13">
        <v>24</v>
      </c>
      <c r="UM3" s="13">
        <v>25</v>
      </c>
      <c r="UN3" s="12">
        <v>26</v>
      </c>
      <c r="UO3" s="13">
        <v>27</v>
      </c>
      <c r="UP3" s="13">
        <v>28</v>
      </c>
      <c r="UQ3" s="13">
        <v>29</v>
      </c>
      <c r="UR3" s="13">
        <v>30</v>
      </c>
      <c r="US3" s="13">
        <v>31</v>
      </c>
      <c r="UT3" s="12">
        <v>1</v>
      </c>
      <c r="UU3" s="13">
        <v>2</v>
      </c>
      <c r="UV3" s="12">
        <v>3</v>
      </c>
      <c r="UW3" s="12">
        <v>4</v>
      </c>
      <c r="UX3" s="12">
        <v>5</v>
      </c>
      <c r="UY3" s="12">
        <v>6</v>
      </c>
      <c r="UZ3" s="12">
        <v>7</v>
      </c>
      <c r="VA3" s="12">
        <v>8</v>
      </c>
      <c r="VB3" s="13">
        <v>9</v>
      </c>
      <c r="VC3" s="12">
        <v>10</v>
      </c>
      <c r="VD3" s="12">
        <v>11</v>
      </c>
      <c r="VE3" s="12">
        <v>12</v>
      </c>
      <c r="VF3" s="12">
        <v>13</v>
      </c>
      <c r="VG3" s="12">
        <v>14</v>
      </c>
      <c r="VH3" s="12">
        <v>15</v>
      </c>
      <c r="VI3" s="13">
        <v>16</v>
      </c>
      <c r="VJ3" s="12">
        <v>17</v>
      </c>
      <c r="VK3" s="12">
        <v>18</v>
      </c>
      <c r="VL3" s="12">
        <v>19</v>
      </c>
      <c r="VM3" s="12">
        <v>20</v>
      </c>
      <c r="VN3" s="12">
        <v>21</v>
      </c>
      <c r="VO3" s="12">
        <v>22</v>
      </c>
      <c r="VP3" s="13">
        <v>23</v>
      </c>
      <c r="VQ3" s="12">
        <v>24</v>
      </c>
      <c r="VR3" s="12">
        <v>25</v>
      </c>
      <c r="VS3" s="12">
        <v>26</v>
      </c>
      <c r="VT3" s="12">
        <v>27</v>
      </c>
      <c r="VU3" s="12">
        <v>28</v>
      </c>
      <c r="VV3" s="13">
        <v>1</v>
      </c>
      <c r="VW3" s="12">
        <v>2</v>
      </c>
      <c r="VX3" s="13">
        <v>3</v>
      </c>
      <c r="VY3" s="13">
        <v>4</v>
      </c>
      <c r="VZ3" s="13">
        <v>5</v>
      </c>
      <c r="WA3" s="13">
        <v>6</v>
      </c>
      <c r="WB3" s="13">
        <v>7</v>
      </c>
      <c r="WC3" s="13">
        <v>8</v>
      </c>
      <c r="WD3" s="12">
        <v>9</v>
      </c>
      <c r="WE3" s="13">
        <v>10</v>
      </c>
      <c r="WF3" s="13">
        <v>11</v>
      </c>
      <c r="WG3" s="13">
        <v>12</v>
      </c>
      <c r="WH3" s="13">
        <v>13</v>
      </c>
      <c r="WI3" s="13">
        <v>14</v>
      </c>
      <c r="WJ3" s="13">
        <v>15</v>
      </c>
      <c r="WK3" s="12">
        <v>16</v>
      </c>
      <c r="WL3" s="13">
        <v>17</v>
      </c>
      <c r="WM3" s="13">
        <v>18</v>
      </c>
      <c r="WN3" s="13">
        <v>19</v>
      </c>
      <c r="WO3" s="13">
        <v>20</v>
      </c>
      <c r="WP3" s="13">
        <v>21</v>
      </c>
      <c r="WQ3" s="13">
        <v>22</v>
      </c>
      <c r="WR3" s="12">
        <v>23</v>
      </c>
      <c r="WS3" s="13">
        <v>24</v>
      </c>
      <c r="WT3" s="13">
        <v>25</v>
      </c>
      <c r="WU3" s="13">
        <v>26</v>
      </c>
      <c r="WV3" s="13">
        <v>27</v>
      </c>
      <c r="WW3" s="13">
        <v>28</v>
      </c>
      <c r="WX3" s="13">
        <v>29</v>
      </c>
      <c r="WY3" s="12">
        <v>30</v>
      </c>
      <c r="WZ3" s="13">
        <v>31</v>
      </c>
      <c r="XA3" s="12">
        <v>1</v>
      </c>
      <c r="XB3" s="12">
        <v>2</v>
      </c>
      <c r="XC3" s="12">
        <v>3</v>
      </c>
      <c r="XD3" s="12">
        <v>4</v>
      </c>
      <c r="XE3" s="12">
        <v>5</v>
      </c>
      <c r="XF3" s="13">
        <v>6</v>
      </c>
      <c r="XG3" s="12">
        <v>7</v>
      </c>
      <c r="XH3" s="12">
        <v>8</v>
      </c>
      <c r="XI3" s="12">
        <v>9</v>
      </c>
      <c r="XJ3" s="12">
        <v>10</v>
      </c>
      <c r="XK3" s="12">
        <v>11</v>
      </c>
      <c r="XL3" s="12">
        <v>12</v>
      </c>
      <c r="XM3" s="13">
        <v>13</v>
      </c>
      <c r="XN3" s="12">
        <v>14</v>
      </c>
      <c r="XO3" s="12">
        <v>15</v>
      </c>
      <c r="XP3" s="12">
        <v>16</v>
      </c>
      <c r="XQ3" s="12">
        <v>17</v>
      </c>
      <c r="XR3" s="12">
        <v>18</v>
      </c>
      <c r="XS3" s="12">
        <v>19</v>
      </c>
      <c r="XT3" s="13">
        <v>20</v>
      </c>
      <c r="XU3" s="12">
        <v>21</v>
      </c>
      <c r="XV3" s="12">
        <v>22</v>
      </c>
      <c r="XW3" s="12">
        <v>23</v>
      </c>
      <c r="XX3" s="12">
        <v>24</v>
      </c>
      <c r="XY3" s="12">
        <v>25</v>
      </c>
      <c r="XZ3" s="12">
        <v>26</v>
      </c>
      <c r="YA3" s="13">
        <v>27</v>
      </c>
      <c r="YB3" s="12">
        <v>28</v>
      </c>
      <c r="YC3" s="12">
        <v>29</v>
      </c>
      <c r="YD3" s="12">
        <v>30</v>
      </c>
      <c r="YE3" s="13">
        <v>1</v>
      </c>
      <c r="YF3" s="13">
        <v>2</v>
      </c>
      <c r="YG3" s="13">
        <v>3</v>
      </c>
      <c r="YH3" s="12">
        <v>4</v>
      </c>
      <c r="YI3" s="13">
        <v>5</v>
      </c>
      <c r="YJ3" s="13">
        <v>6</v>
      </c>
      <c r="YK3" s="13">
        <v>7</v>
      </c>
      <c r="YL3" s="13">
        <v>8</v>
      </c>
      <c r="YM3" s="13">
        <v>9</v>
      </c>
      <c r="YN3" s="13">
        <v>10</v>
      </c>
      <c r="YO3" s="12">
        <v>11</v>
      </c>
      <c r="YP3" s="13">
        <v>12</v>
      </c>
      <c r="YQ3" s="13">
        <v>13</v>
      </c>
      <c r="YR3" s="13">
        <v>14</v>
      </c>
      <c r="YS3" s="13">
        <v>15</v>
      </c>
      <c r="YT3" s="13">
        <v>16</v>
      </c>
      <c r="YU3" s="13">
        <v>17</v>
      </c>
      <c r="YV3" s="12">
        <v>18</v>
      </c>
      <c r="YW3" s="13">
        <v>19</v>
      </c>
      <c r="YX3" s="13">
        <v>20</v>
      </c>
      <c r="YY3" s="13">
        <v>21</v>
      </c>
      <c r="YZ3" s="13">
        <v>22</v>
      </c>
      <c r="ZA3" s="13">
        <v>23</v>
      </c>
      <c r="ZB3" s="13">
        <v>24</v>
      </c>
      <c r="ZC3" s="12">
        <v>25</v>
      </c>
      <c r="ZD3" s="13">
        <v>26</v>
      </c>
      <c r="ZE3" s="13">
        <v>27</v>
      </c>
      <c r="ZF3" s="13">
        <v>28</v>
      </c>
      <c r="ZG3" s="13">
        <v>29</v>
      </c>
      <c r="ZH3" s="13">
        <v>30</v>
      </c>
      <c r="ZI3" s="13">
        <v>31</v>
      </c>
      <c r="ZJ3" s="13">
        <v>1</v>
      </c>
      <c r="ZK3" s="12">
        <v>2</v>
      </c>
      <c r="ZL3" s="12">
        <v>3</v>
      </c>
      <c r="ZM3" s="12">
        <v>4</v>
      </c>
      <c r="ZN3" s="12">
        <v>5</v>
      </c>
      <c r="ZO3" s="12">
        <v>6</v>
      </c>
      <c r="ZP3" s="12">
        <v>7</v>
      </c>
      <c r="ZQ3" s="13">
        <v>8</v>
      </c>
      <c r="ZR3" s="12">
        <v>9</v>
      </c>
      <c r="ZS3" s="12">
        <v>10</v>
      </c>
      <c r="ZT3" s="12">
        <v>11</v>
      </c>
      <c r="ZU3" s="12">
        <v>12</v>
      </c>
      <c r="ZV3" s="12">
        <v>13</v>
      </c>
      <c r="ZW3" s="12">
        <v>14</v>
      </c>
      <c r="ZX3" s="13">
        <v>15</v>
      </c>
      <c r="ZY3" s="12">
        <v>16</v>
      </c>
      <c r="ZZ3" s="12">
        <v>17</v>
      </c>
      <c r="AAA3" s="12">
        <v>18</v>
      </c>
      <c r="AAB3" s="12">
        <v>19</v>
      </c>
      <c r="AAC3" s="12">
        <v>20</v>
      </c>
      <c r="AAD3" s="12">
        <v>21</v>
      </c>
      <c r="AAE3" s="13">
        <v>22</v>
      </c>
      <c r="AAF3" s="12">
        <v>23</v>
      </c>
      <c r="AAG3" s="12">
        <v>24</v>
      </c>
      <c r="AAH3" s="12">
        <v>25</v>
      </c>
      <c r="AAI3" s="12">
        <v>26</v>
      </c>
      <c r="AAJ3" s="12">
        <v>27</v>
      </c>
      <c r="AAK3" s="12">
        <v>28</v>
      </c>
      <c r="AAL3" s="13">
        <v>29</v>
      </c>
      <c r="AAM3" s="12">
        <v>30</v>
      </c>
      <c r="AAN3" s="13">
        <v>1</v>
      </c>
      <c r="AAO3" s="13">
        <v>2</v>
      </c>
      <c r="AAP3" s="13">
        <v>3</v>
      </c>
      <c r="AAQ3" s="13">
        <v>4</v>
      </c>
      <c r="AAR3" s="13">
        <v>5</v>
      </c>
      <c r="AAS3" s="12">
        <v>6</v>
      </c>
      <c r="AAT3" s="13">
        <v>7</v>
      </c>
      <c r="AAU3" s="13">
        <v>8</v>
      </c>
      <c r="AAV3" s="13">
        <v>9</v>
      </c>
      <c r="AAW3" s="13">
        <v>10</v>
      </c>
      <c r="AAX3" s="13">
        <v>11</v>
      </c>
      <c r="AAY3" s="13">
        <v>12</v>
      </c>
      <c r="AAZ3" s="12">
        <v>13</v>
      </c>
      <c r="ABA3" s="13">
        <v>14</v>
      </c>
      <c r="ABB3" s="13">
        <v>15</v>
      </c>
      <c r="ABC3" s="13">
        <v>16</v>
      </c>
      <c r="ABD3" s="13">
        <v>17</v>
      </c>
      <c r="ABE3" s="13">
        <v>18</v>
      </c>
      <c r="ABF3" s="13">
        <v>19</v>
      </c>
      <c r="ABG3" s="12">
        <v>20</v>
      </c>
      <c r="ABH3" s="13">
        <v>21</v>
      </c>
      <c r="ABI3" s="13">
        <v>22</v>
      </c>
      <c r="ABJ3" s="13">
        <v>23</v>
      </c>
      <c r="ABK3" s="13">
        <v>24</v>
      </c>
      <c r="ABL3" s="13">
        <v>25</v>
      </c>
      <c r="ABM3" s="13">
        <v>26</v>
      </c>
      <c r="ABN3" s="12">
        <v>27</v>
      </c>
      <c r="ABO3" s="13">
        <v>28</v>
      </c>
      <c r="ABP3" s="13">
        <v>29</v>
      </c>
      <c r="ABQ3" s="13">
        <v>30</v>
      </c>
      <c r="ABR3" s="13">
        <v>31</v>
      </c>
    </row>
    <row r="4" spans="1:746" customFormat="1" x14ac:dyDescent="0.3">
      <c r="A4" s="18">
        <v>1</v>
      </c>
      <c r="B4" s="19" t="s">
        <v>17</v>
      </c>
      <c r="C4" s="20" t="s">
        <v>20</v>
      </c>
      <c r="D4" s="20" t="s">
        <v>21</v>
      </c>
      <c r="E4" s="21">
        <v>45492</v>
      </c>
      <c r="F4" s="21">
        <v>45492</v>
      </c>
      <c r="G4" s="21">
        <f t="shared" ref="G4:G32" si="0">F4+90</f>
        <v>45582</v>
      </c>
      <c r="H4" s="22">
        <v>45776</v>
      </c>
      <c r="I4" s="22"/>
      <c r="J4" s="22"/>
      <c r="K4" s="51" t="s">
        <v>102</v>
      </c>
      <c r="L4" s="23">
        <f t="shared" ref="L4:L15" ca="1" si="1">IF(F4=0,"NA",ROUND(($L$1-F4+1)/365*30,1))</f>
        <v>42.7</v>
      </c>
      <c r="M4" s="23">
        <f t="shared" ref="M4:M16" ca="1" si="2">IF(L4="NA",0,L4-P4)</f>
        <v>25.700000000000003</v>
      </c>
      <c r="N4" s="96">
        <v>46044</v>
      </c>
      <c r="O4" s="96">
        <v>46060</v>
      </c>
      <c r="P4" s="97">
        <f>SUM(O4-N4+1)</f>
        <v>17</v>
      </c>
      <c r="Q4" s="25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36">
        <v>1</v>
      </c>
      <c r="CI4" s="36">
        <v>1</v>
      </c>
      <c r="CJ4" s="36">
        <v>1</v>
      </c>
      <c r="CK4" s="36">
        <v>1</v>
      </c>
      <c r="CL4" s="36">
        <v>1</v>
      </c>
      <c r="CM4" s="36">
        <v>1</v>
      </c>
      <c r="CN4" s="36">
        <v>1</v>
      </c>
      <c r="CO4" s="36">
        <v>1</v>
      </c>
      <c r="CP4" s="36">
        <v>1</v>
      </c>
      <c r="CQ4" s="36">
        <v>1</v>
      </c>
      <c r="CR4" s="27">
        <v>1</v>
      </c>
      <c r="CS4" s="27">
        <v>1</v>
      </c>
      <c r="CT4" s="27">
        <v>1</v>
      </c>
      <c r="CU4" s="27">
        <v>1</v>
      </c>
      <c r="CV4" s="27">
        <v>1</v>
      </c>
      <c r="CW4" s="27">
        <v>1</v>
      </c>
      <c r="CX4" s="27">
        <v>1</v>
      </c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31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175"/>
      <c r="KI4" s="175"/>
      <c r="KJ4" s="175"/>
      <c r="KK4" s="175"/>
      <c r="KL4" s="175"/>
      <c r="KM4" s="175"/>
      <c r="KN4" s="175"/>
      <c r="KO4" s="176"/>
      <c r="KP4" s="175"/>
      <c r="KQ4" s="175"/>
      <c r="KR4" s="175"/>
      <c r="KS4" s="175"/>
      <c r="KT4" s="175"/>
      <c r="KU4" s="175"/>
      <c r="KV4" s="175"/>
      <c r="KW4" s="175"/>
      <c r="KX4" s="175"/>
      <c r="KY4" s="37"/>
      <c r="KZ4" s="37"/>
      <c r="LA4" s="37"/>
      <c r="LB4" s="37"/>
      <c r="LC4" s="37"/>
      <c r="LD4" s="37"/>
      <c r="LE4" s="37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Y4" s="28"/>
      <c r="NZ4" s="28"/>
      <c r="OA4" s="28"/>
      <c r="OB4" s="28"/>
      <c r="OC4" s="28"/>
      <c r="OD4" s="28"/>
      <c r="OE4" s="28"/>
      <c r="OF4" s="28"/>
      <c r="OG4" s="28"/>
      <c r="OH4" s="28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U4" s="28"/>
      <c r="OV4" s="28"/>
      <c r="OW4" s="28"/>
      <c r="OX4" s="28"/>
      <c r="OY4" s="28"/>
      <c r="OZ4" s="28"/>
      <c r="PA4" s="28"/>
      <c r="PB4" s="28"/>
      <c r="PC4" s="28"/>
      <c r="PD4" s="28"/>
      <c r="PE4" s="28"/>
      <c r="PF4" s="28"/>
      <c r="PG4" s="28"/>
      <c r="PH4" s="28"/>
      <c r="PI4" s="28"/>
      <c r="PJ4" s="28"/>
      <c r="PK4" s="28"/>
      <c r="PL4" s="28"/>
      <c r="PM4" s="28"/>
      <c r="PN4" s="28"/>
      <c r="PO4" s="28"/>
      <c r="PP4" s="28"/>
      <c r="PQ4" s="28"/>
      <c r="PR4" s="28"/>
      <c r="PS4" s="28"/>
      <c r="PT4" s="28"/>
      <c r="PU4" s="28"/>
      <c r="PV4" s="28"/>
      <c r="PW4" s="28"/>
      <c r="PX4" s="28"/>
      <c r="PY4" s="28"/>
      <c r="PZ4" s="28"/>
      <c r="QA4" s="28"/>
      <c r="QB4" s="28"/>
      <c r="QC4" s="28"/>
      <c r="QD4" s="28"/>
      <c r="QE4" s="28"/>
      <c r="QF4" s="28"/>
      <c r="QG4" s="28"/>
      <c r="QH4" s="28"/>
      <c r="QI4" s="28"/>
      <c r="QJ4" s="28"/>
      <c r="QK4" s="28"/>
      <c r="QL4" s="28"/>
      <c r="QM4" s="28"/>
      <c r="QN4" s="28"/>
      <c r="QO4" s="28"/>
      <c r="QP4" s="28"/>
      <c r="QQ4" s="28"/>
      <c r="QR4" s="28"/>
      <c r="QS4" s="28"/>
      <c r="QT4" s="28"/>
      <c r="QU4" s="28"/>
      <c r="QV4" s="28"/>
      <c r="QW4" s="28"/>
      <c r="QX4" s="28"/>
      <c r="QY4" s="28"/>
      <c r="QZ4" s="28"/>
      <c r="RA4" s="28"/>
      <c r="RB4" s="28"/>
      <c r="RC4" s="28"/>
      <c r="RD4" s="28"/>
      <c r="RE4" s="28"/>
      <c r="RF4" s="28"/>
      <c r="RG4" s="28"/>
      <c r="RH4" s="28"/>
      <c r="RI4" s="28"/>
      <c r="RJ4" s="28"/>
      <c r="RK4" s="28"/>
      <c r="RL4" s="28"/>
      <c r="RM4" s="28"/>
      <c r="RN4" s="28"/>
      <c r="RO4" s="28"/>
      <c r="RP4" s="28"/>
      <c r="RQ4" s="28"/>
      <c r="RR4" s="28"/>
      <c r="RS4" s="28"/>
      <c r="RT4" s="28"/>
      <c r="RU4" s="28"/>
      <c r="RV4" s="28"/>
      <c r="RW4" s="28"/>
      <c r="RX4" s="28"/>
      <c r="RY4" s="28"/>
      <c r="RZ4" s="28"/>
      <c r="SA4" s="28"/>
      <c r="SB4" s="28"/>
      <c r="SC4" s="28"/>
      <c r="SD4" s="28"/>
      <c r="SE4" s="28"/>
      <c r="SF4" s="28"/>
      <c r="SG4" s="28"/>
      <c r="SH4" s="28"/>
      <c r="SI4" s="28"/>
      <c r="SJ4" s="28"/>
      <c r="SK4" s="28"/>
      <c r="SL4" s="28"/>
      <c r="SM4" s="28"/>
      <c r="SN4" s="28"/>
      <c r="SO4" s="28"/>
      <c r="SP4" s="28"/>
      <c r="SQ4" s="28"/>
      <c r="SR4" s="28"/>
      <c r="SS4" s="28"/>
      <c r="ST4" s="28"/>
      <c r="SU4" s="28"/>
      <c r="SV4" s="28"/>
      <c r="SW4" s="28"/>
      <c r="SX4" s="28"/>
      <c r="SY4" s="28"/>
      <c r="SZ4" s="28"/>
      <c r="TA4" s="34"/>
      <c r="TB4" s="34"/>
      <c r="TC4" s="34"/>
      <c r="TD4" s="34"/>
      <c r="TE4" s="34"/>
      <c r="TF4" s="34"/>
      <c r="TG4" s="34"/>
      <c r="TH4" s="34"/>
      <c r="TI4" s="34"/>
      <c r="TJ4" s="34"/>
      <c r="TK4" s="34"/>
      <c r="TL4" s="34"/>
      <c r="TM4" s="34"/>
      <c r="TN4" s="34"/>
      <c r="TO4" s="34"/>
      <c r="TP4" s="34"/>
      <c r="TQ4" s="28"/>
      <c r="TR4" s="28"/>
      <c r="TS4" s="28"/>
      <c r="TT4" s="28"/>
      <c r="TU4" s="28"/>
      <c r="TV4" s="28"/>
      <c r="TW4" s="28"/>
      <c r="TX4" s="28"/>
      <c r="TY4" s="28"/>
      <c r="TZ4" s="28"/>
      <c r="UA4" s="28"/>
      <c r="UB4" s="28"/>
      <c r="UC4" s="28"/>
      <c r="UD4" s="28"/>
      <c r="UE4" s="28"/>
      <c r="UF4" s="28"/>
      <c r="UG4" s="28"/>
      <c r="UH4" s="28"/>
      <c r="UI4" s="28"/>
      <c r="UJ4" s="170">
        <v>1</v>
      </c>
      <c r="UK4" s="170">
        <v>1</v>
      </c>
      <c r="UL4" s="170">
        <v>1</v>
      </c>
      <c r="UM4" s="170">
        <v>1</v>
      </c>
      <c r="UN4" s="170">
        <v>1</v>
      </c>
      <c r="UO4" s="170">
        <v>1</v>
      </c>
      <c r="UP4" s="170">
        <v>1</v>
      </c>
      <c r="UQ4" s="170">
        <v>1</v>
      </c>
      <c r="UR4" s="170">
        <v>1</v>
      </c>
      <c r="US4" s="170">
        <v>1</v>
      </c>
      <c r="UT4" s="170">
        <v>1</v>
      </c>
      <c r="UU4" s="170">
        <v>1</v>
      </c>
      <c r="UV4" s="170">
        <v>1</v>
      </c>
      <c r="UW4" s="170">
        <v>1</v>
      </c>
      <c r="UX4" s="170">
        <v>1</v>
      </c>
      <c r="UY4" s="170">
        <v>1</v>
      </c>
      <c r="UZ4" s="170">
        <v>1</v>
      </c>
      <c r="VA4" s="28"/>
      <c r="VB4" s="28"/>
      <c r="VC4" s="28"/>
      <c r="VD4" s="28"/>
      <c r="VE4" s="28"/>
      <c r="VF4" s="28"/>
      <c r="VG4" s="28"/>
      <c r="VH4" s="28"/>
      <c r="VI4" s="28"/>
      <c r="VJ4" s="28"/>
      <c r="VK4" s="28"/>
      <c r="VL4" s="28"/>
      <c r="VM4" s="28"/>
      <c r="VN4" s="28"/>
      <c r="VO4" s="28"/>
      <c r="VP4" s="28"/>
      <c r="VQ4" s="28"/>
      <c r="VR4" s="28"/>
      <c r="VS4" s="28"/>
      <c r="VT4" s="28"/>
      <c r="VU4" s="28"/>
      <c r="VV4" s="26"/>
      <c r="VW4" s="26"/>
      <c r="VX4" s="26"/>
      <c r="VY4" s="26"/>
      <c r="VZ4" s="26"/>
      <c r="WA4" s="26"/>
      <c r="WB4" s="26"/>
      <c r="WC4" s="26"/>
      <c r="WD4" s="26"/>
      <c r="WE4" s="28"/>
      <c r="WF4" s="28"/>
      <c r="WG4" s="28"/>
      <c r="WH4" s="28"/>
      <c r="WI4" s="28"/>
      <c r="WJ4" s="28"/>
      <c r="WK4" s="28"/>
      <c r="WL4" s="28"/>
      <c r="WM4" s="28"/>
      <c r="WN4" s="28"/>
      <c r="WO4" s="28"/>
      <c r="WP4" s="28"/>
      <c r="WQ4" s="28"/>
      <c r="WR4" s="28"/>
      <c r="WS4" s="28"/>
      <c r="WT4" s="28"/>
      <c r="WU4" s="28"/>
      <c r="WV4" s="28"/>
      <c r="WW4" s="28"/>
      <c r="WX4" s="28"/>
      <c r="WY4" s="28"/>
      <c r="WZ4" s="28"/>
      <c r="XA4" s="28"/>
      <c r="XB4" s="28"/>
      <c r="XC4" s="28"/>
      <c r="XD4" s="28"/>
      <c r="XE4" s="28"/>
      <c r="XF4" s="28"/>
      <c r="XG4" s="28"/>
      <c r="XH4" s="28"/>
      <c r="XI4" s="28"/>
      <c r="XJ4" s="32"/>
      <c r="XK4" s="32"/>
      <c r="XL4" s="31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28"/>
      <c r="XZ4" s="28"/>
      <c r="YA4" s="28"/>
      <c r="YB4" s="28"/>
      <c r="YC4" s="28"/>
      <c r="YD4" s="28"/>
      <c r="YE4" s="28"/>
      <c r="YF4" s="28"/>
      <c r="YG4" s="28"/>
      <c r="YH4" s="28"/>
      <c r="YI4" s="28"/>
      <c r="YJ4" s="28"/>
      <c r="YK4" s="28"/>
      <c r="YL4" s="28"/>
      <c r="YM4" s="28"/>
      <c r="YN4" s="28"/>
      <c r="YO4" s="28"/>
      <c r="YP4" s="28"/>
      <c r="YQ4" s="28"/>
      <c r="YR4" s="28"/>
      <c r="YS4" s="28"/>
      <c r="YT4" s="28"/>
      <c r="YU4" s="28"/>
      <c r="YV4" s="28"/>
      <c r="YW4" s="33"/>
      <c r="YX4" s="28"/>
      <c r="YY4" s="28"/>
      <c r="YZ4" s="28"/>
      <c r="ZA4" s="28"/>
      <c r="ZB4" s="28"/>
      <c r="ZC4" s="28"/>
      <c r="ZD4" s="28"/>
      <c r="ZE4" s="28"/>
      <c r="ZF4" s="28"/>
      <c r="ZG4" s="28"/>
      <c r="ZH4" s="28"/>
      <c r="ZI4" s="28"/>
      <c r="ZJ4" s="28"/>
      <c r="ZK4" s="28"/>
      <c r="ZL4" s="28"/>
      <c r="ZM4" s="28"/>
      <c r="ZN4" s="28"/>
      <c r="ZO4" s="28"/>
      <c r="ZP4" s="28"/>
      <c r="ZQ4" s="28"/>
      <c r="ZR4" s="28"/>
      <c r="ZS4" s="28"/>
      <c r="ZT4" s="28"/>
      <c r="ZU4" s="28"/>
      <c r="ZV4" s="28"/>
      <c r="ZW4" s="28"/>
      <c r="ZX4" s="28"/>
      <c r="ZY4" s="28"/>
      <c r="ZZ4" s="28"/>
      <c r="AAA4" s="28"/>
      <c r="AAB4" s="28"/>
      <c r="AAC4" s="28"/>
      <c r="AAD4" s="28"/>
      <c r="AAE4" s="28"/>
      <c r="AAF4" s="28"/>
      <c r="AAG4" s="28"/>
      <c r="AAH4" s="28"/>
      <c r="AAI4" s="28"/>
      <c r="AAJ4" s="28"/>
      <c r="AAK4" s="28"/>
      <c r="AAL4" s="28"/>
      <c r="AAM4" s="28"/>
      <c r="AAN4" s="28"/>
      <c r="AAO4" s="28"/>
      <c r="AAP4" s="28"/>
      <c r="AAQ4" s="28"/>
      <c r="AAR4" s="28"/>
      <c r="AAS4" s="28"/>
      <c r="AAT4" s="28"/>
      <c r="AAU4" s="28"/>
      <c r="AAV4" s="28"/>
      <c r="AAW4" s="28"/>
      <c r="AAX4" s="28"/>
      <c r="AAY4" s="28"/>
      <c r="AAZ4" s="28"/>
      <c r="ABA4" s="28"/>
      <c r="ABB4" s="28"/>
      <c r="ABC4" s="28"/>
      <c r="ABD4" s="28"/>
      <c r="ABE4" s="28"/>
      <c r="ABF4" s="28"/>
      <c r="ABG4" s="28"/>
      <c r="ABH4" s="28"/>
      <c r="ABI4" s="28"/>
      <c r="ABJ4" s="28"/>
      <c r="ABK4" s="28"/>
      <c r="ABL4" s="28"/>
      <c r="ABM4" s="28"/>
      <c r="ABN4" s="28"/>
      <c r="ABO4" s="28"/>
      <c r="ABP4" s="28"/>
      <c r="ABQ4" s="28"/>
      <c r="ABR4" s="28"/>
    </row>
    <row r="5" spans="1:746" customFormat="1" x14ac:dyDescent="0.3">
      <c r="A5" s="18">
        <v>2</v>
      </c>
      <c r="B5" s="2" t="s">
        <v>17</v>
      </c>
      <c r="C5" s="38" t="s">
        <v>22</v>
      </c>
      <c r="D5" s="38" t="s">
        <v>23</v>
      </c>
      <c r="E5" s="21">
        <v>45492</v>
      </c>
      <c r="F5" s="21">
        <v>45492</v>
      </c>
      <c r="G5" s="21">
        <f t="shared" si="0"/>
        <v>45582</v>
      </c>
      <c r="H5" s="188">
        <v>45933</v>
      </c>
      <c r="I5" s="22"/>
      <c r="J5" s="22"/>
      <c r="K5" s="185" t="s">
        <v>24</v>
      </c>
      <c r="L5" s="23">
        <f t="shared" ca="1" si="1"/>
        <v>42.7</v>
      </c>
      <c r="M5" s="23">
        <f t="shared" ca="1" si="2"/>
        <v>25.700000000000003</v>
      </c>
      <c r="N5" s="171">
        <v>46059</v>
      </c>
      <c r="O5" s="171">
        <v>46075</v>
      </c>
      <c r="P5" s="24">
        <f t="shared" ref="P5:P18" si="3">SUM(O5-N5+1)</f>
        <v>17</v>
      </c>
      <c r="Q5" s="33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3"/>
      <c r="AJ5" s="23"/>
      <c r="AK5" s="23"/>
      <c r="AL5" s="23"/>
      <c r="AM5" s="23"/>
      <c r="AN5" s="23"/>
      <c r="AO5" s="23"/>
      <c r="AP5" s="39">
        <v>1</v>
      </c>
      <c r="AQ5" s="39">
        <v>1</v>
      </c>
      <c r="AR5" s="39">
        <v>1</v>
      </c>
      <c r="AS5" s="39">
        <v>1</v>
      </c>
      <c r="AT5" s="39">
        <v>1</v>
      </c>
      <c r="AU5" s="39">
        <v>1</v>
      </c>
      <c r="AV5" s="39">
        <v>1</v>
      </c>
      <c r="AW5" s="39">
        <v>1</v>
      </c>
      <c r="AX5" s="39">
        <v>1</v>
      </c>
      <c r="AY5" s="39">
        <v>1</v>
      </c>
      <c r="AZ5" s="39">
        <v>1</v>
      </c>
      <c r="BA5" s="39">
        <v>1</v>
      </c>
      <c r="BB5" s="39">
        <v>1</v>
      </c>
      <c r="BC5" s="39">
        <v>1</v>
      </c>
      <c r="BD5" s="39">
        <v>1</v>
      </c>
      <c r="BE5" s="39">
        <v>1</v>
      </c>
      <c r="BF5" s="39">
        <v>1</v>
      </c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40"/>
      <c r="BR5" s="41"/>
      <c r="BS5" s="26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26"/>
      <c r="CG5" s="26"/>
      <c r="CH5" s="26"/>
      <c r="CI5" s="26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1"/>
      <c r="JJ5" s="28"/>
      <c r="JK5" s="28"/>
      <c r="JL5" s="28"/>
      <c r="JM5" s="28"/>
      <c r="JN5" s="28"/>
      <c r="JO5" s="28"/>
      <c r="JP5" s="28"/>
      <c r="JQ5" s="28"/>
      <c r="JR5" s="28"/>
      <c r="JS5" s="28"/>
      <c r="JT5" s="43">
        <v>1</v>
      </c>
      <c r="JU5" s="43">
        <v>1</v>
      </c>
      <c r="JV5" s="43">
        <v>1</v>
      </c>
      <c r="JW5" s="43">
        <v>1</v>
      </c>
      <c r="JX5" s="43">
        <v>1</v>
      </c>
      <c r="JY5" s="43">
        <v>1</v>
      </c>
      <c r="JZ5" s="43">
        <v>1</v>
      </c>
      <c r="KA5" s="43">
        <v>1</v>
      </c>
      <c r="KB5" s="43">
        <v>1</v>
      </c>
      <c r="KC5" s="43">
        <v>1</v>
      </c>
      <c r="KD5" s="43">
        <v>1</v>
      </c>
      <c r="KE5" s="43">
        <v>1</v>
      </c>
      <c r="KF5" s="43">
        <v>1</v>
      </c>
      <c r="KG5" s="43">
        <v>1</v>
      </c>
      <c r="KH5" s="43">
        <v>1</v>
      </c>
      <c r="KI5" s="43">
        <v>1</v>
      </c>
      <c r="KJ5" s="43">
        <v>1</v>
      </c>
      <c r="KK5" s="28"/>
      <c r="KL5" s="28"/>
      <c r="KM5" s="28"/>
      <c r="KN5" s="28"/>
      <c r="KO5" s="28"/>
      <c r="KP5" s="42"/>
      <c r="KQ5" s="42"/>
      <c r="KR5" s="42"/>
      <c r="KS5" s="42"/>
      <c r="KT5" s="28"/>
      <c r="KU5" s="28"/>
      <c r="KV5" s="28"/>
      <c r="KW5" s="28"/>
      <c r="KX5" s="28"/>
      <c r="KY5" s="28"/>
      <c r="KZ5" s="28"/>
      <c r="LA5" s="28"/>
      <c r="LB5" s="28"/>
      <c r="LC5" s="28"/>
      <c r="LD5" s="28"/>
      <c r="LE5" s="28"/>
      <c r="LF5" s="28"/>
      <c r="LG5" s="28"/>
      <c r="LH5" s="28"/>
      <c r="LI5" s="42"/>
      <c r="LJ5" s="42"/>
      <c r="LK5" s="42"/>
      <c r="LL5" s="42"/>
      <c r="LM5" s="42"/>
      <c r="LN5" s="42"/>
      <c r="LO5" s="42"/>
      <c r="LP5" s="42"/>
      <c r="LQ5" s="42"/>
      <c r="LR5" s="42"/>
      <c r="LS5" s="42"/>
      <c r="LT5" s="42"/>
      <c r="LU5" s="42"/>
      <c r="LV5" s="42"/>
      <c r="LW5" s="42"/>
      <c r="LX5" s="42"/>
      <c r="LY5" s="28"/>
      <c r="LZ5" s="28"/>
      <c r="MA5" s="28"/>
      <c r="MB5" s="28"/>
      <c r="MC5" s="28"/>
      <c r="MD5" s="28"/>
      <c r="ME5" s="28"/>
      <c r="MF5" s="28"/>
      <c r="MG5" s="28"/>
      <c r="MH5" s="28"/>
      <c r="MI5" s="28"/>
      <c r="MJ5" s="28"/>
      <c r="MK5" s="28"/>
      <c r="ML5" s="28"/>
      <c r="MM5" s="42"/>
      <c r="MN5" s="42"/>
      <c r="MO5" s="42"/>
      <c r="MP5" s="42"/>
      <c r="MQ5" s="42"/>
      <c r="MR5" s="42"/>
      <c r="MS5" s="42"/>
      <c r="MT5" s="42"/>
      <c r="MU5" s="42"/>
      <c r="MV5" s="42"/>
      <c r="MW5" s="42"/>
      <c r="MX5" s="42"/>
      <c r="MY5" s="42"/>
      <c r="MZ5" s="42"/>
      <c r="NA5" s="42"/>
      <c r="NB5" s="42"/>
      <c r="NC5" s="28"/>
      <c r="ND5" s="28"/>
      <c r="NE5" s="28"/>
      <c r="NF5" s="28"/>
      <c r="NG5" s="28"/>
      <c r="NH5" s="28"/>
      <c r="NI5" s="28"/>
      <c r="NJ5" s="28"/>
      <c r="NK5" s="28"/>
      <c r="NL5" s="28"/>
      <c r="NM5" s="28"/>
      <c r="NN5" s="28"/>
      <c r="NO5" s="28"/>
      <c r="NP5" s="28"/>
      <c r="NQ5" s="28"/>
      <c r="NR5" s="42"/>
      <c r="NS5" s="42"/>
      <c r="NT5" s="42"/>
      <c r="NU5" s="42"/>
      <c r="NV5" s="42"/>
      <c r="NW5" s="42"/>
      <c r="NX5" s="42"/>
      <c r="NY5" s="42"/>
      <c r="NZ5" s="42"/>
      <c r="OA5" s="42"/>
      <c r="OB5" s="42"/>
      <c r="OC5" s="42"/>
      <c r="OD5" s="42"/>
      <c r="OE5" s="26"/>
      <c r="OF5" s="26"/>
      <c r="OG5" s="26"/>
      <c r="OH5" s="28"/>
      <c r="OI5" s="28"/>
      <c r="OJ5" s="28"/>
      <c r="OK5" s="28"/>
      <c r="OL5" s="28"/>
      <c r="OM5" s="28"/>
      <c r="ON5" s="28"/>
      <c r="OO5" s="28"/>
      <c r="OP5" s="28"/>
      <c r="OQ5" s="28"/>
      <c r="OR5" s="28"/>
      <c r="OS5" s="28"/>
      <c r="OT5" s="28"/>
      <c r="OU5" s="28"/>
      <c r="OV5" s="28"/>
      <c r="OW5" s="26"/>
      <c r="OX5" s="26"/>
      <c r="OY5" s="26"/>
      <c r="OZ5" s="26"/>
      <c r="PA5" s="26"/>
      <c r="PB5" s="42"/>
      <c r="PC5" s="42"/>
      <c r="PD5" s="42"/>
      <c r="PE5" s="42"/>
      <c r="PF5" s="42"/>
      <c r="PG5" s="42"/>
      <c r="PH5" s="26"/>
      <c r="PI5" s="26"/>
      <c r="PJ5" s="26"/>
      <c r="PK5" s="26"/>
      <c r="PL5" s="26"/>
      <c r="PM5" s="177">
        <v>1</v>
      </c>
      <c r="PN5" s="177">
        <v>1</v>
      </c>
      <c r="PO5" s="177">
        <v>1</v>
      </c>
      <c r="PP5" s="177">
        <v>1</v>
      </c>
      <c r="PQ5" s="177">
        <v>1</v>
      </c>
      <c r="PR5" s="177">
        <v>1</v>
      </c>
      <c r="PS5" s="177">
        <v>1</v>
      </c>
      <c r="PT5" s="177">
        <v>1</v>
      </c>
      <c r="PU5" s="177">
        <v>1</v>
      </c>
      <c r="PV5" s="177">
        <v>1</v>
      </c>
      <c r="PW5" s="177">
        <v>1</v>
      </c>
      <c r="PX5" s="177">
        <v>1</v>
      </c>
      <c r="PY5" s="177">
        <v>1</v>
      </c>
      <c r="PZ5" s="172">
        <v>1</v>
      </c>
      <c r="QA5" s="172">
        <v>1</v>
      </c>
      <c r="QB5" s="172">
        <v>1</v>
      </c>
      <c r="QC5" s="172">
        <v>1</v>
      </c>
      <c r="QD5" s="28"/>
      <c r="QE5" s="28"/>
      <c r="QF5" s="28"/>
      <c r="QG5" s="28"/>
      <c r="QH5" s="28"/>
      <c r="QI5" s="28"/>
      <c r="QJ5" s="28"/>
      <c r="QK5" s="28"/>
      <c r="QL5" s="28"/>
      <c r="QM5" s="28"/>
      <c r="QN5" s="28"/>
      <c r="QO5" s="28"/>
      <c r="QP5" s="28"/>
      <c r="QQ5" s="28"/>
      <c r="QR5" s="28"/>
      <c r="QS5" s="28"/>
      <c r="QT5" s="28"/>
      <c r="QU5" s="28"/>
      <c r="QV5" s="28"/>
      <c r="QW5" s="28"/>
      <c r="QX5" s="28"/>
      <c r="QY5" s="28"/>
      <c r="QZ5" s="28"/>
      <c r="RA5" s="28"/>
      <c r="RB5" s="28"/>
      <c r="RC5" s="28"/>
      <c r="RD5" s="28"/>
      <c r="RE5" s="28"/>
      <c r="RF5" s="28"/>
      <c r="RG5" s="28"/>
      <c r="RH5" s="28"/>
      <c r="RI5" s="28"/>
      <c r="RJ5" s="28"/>
      <c r="RK5" s="28"/>
      <c r="RL5" s="28"/>
      <c r="RM5" s="28"/>
      <c r="RN5" s="28"/>
      <c r="RO5" s="28"/>
      <c r="RP5" s="28"/>
      <c r="RQ5" s="28"/>
      <c r="RR5" s="28"/>
      <c r="RS5" s="28"/>
      <c r="RT5" s="28"/>
      <c r="RU5" s="28"/>
      <c r="RV5" s="28"/>
      <c r="RW5" s="28"/>
      <c r="RX5" s="28"/>
      <c r="RY5" s="28"/>
      <c r="RZ5" s="28"/>
      <c r="SA5" s="28"/>
      <c r="SB5" s="28"/>
      <c r="SC5" s="28"/>
      <c r="SD5" s="28"/>
      <c r="SE5" s="28"/>
      <c r="SF5" s="28"/>
      <c r="SG5" s="28"/>
      <c r="SH5" s="28"/>
      <c r="SI5" s="28"/>
      <c r="SJ5" s="28"/>
      <c r="SK5" s="28"/>
      <c r="SL5" s="28"/>
      <c r="SM5" s="28"/>
      <c r="SN5" s="28"/>
      <c r="SO5" s="28"/>
      <c r="SP5" s="28"/>
      <c r="SQ5" s="28"/>
      <c r="SR5" s="28"/>
      <c r="SS5" s="28"/>
      <c r="ST5" s="28"/>
      <c r="SU5" s="28"/>
      <c r="SV5" s="28"/>
      <c r="SW5" s="28"/>
      <c r="SX5" s="28"/>
      <c r="SY5" s="28"/>
      <c r="SZ5" s="28"/>
      <c r="TA5" s="28"/>
      <c r="TB5" s="28"/>
      <c r="TC5" s="28"/>
      <c r="TD5" s="28"/>
      <c r="TE5" s="28"/>
      <c r="TF5" s="28"/>
      <c r="TG5" s="28"/>
      <c r="TH5" s="28"/>
      <c r="TI5" s="28"/>
      <c r="TJ5" s="28"/>
      <c r="TK5" s="28"/>
      <c r="TL5" s="28"/>
      <c r="TM5" s="32"/>
      <c r="TN5" s="28"/>
      <c r="TO5" s="28"/>
      <c r="TP5" s="28"/>
      <c r="TQ5" s="28"/>
      <c r="TR5" s="28"/>
      <c r="TS5" s="28"/>
      <c r="TT5" s="28"/>
      <c r="TU5" s="28"/>
      <c r="TV5" s="28"/>
      <c r="TW5" s="28"/>
      <c r="TX5" s="28"/>
      <c r="TY5" s="28"/>
      <c r="TZ5" s="28"/>
      <c r="UA5" s="28"/>
      <c r="UB5" s="28"/>
      <c r="UC5" s="28"/>
      <c r="UD5" s="28"/>
      <c r="UE5" s="28"/>
      <c r="UF5" s="28"/>
      <c r="UG5" s="28"/>
      <c r="UH5" s="28"/>
      <c r="UI5" s="28"/>
      <c r="UJ5" s="28"/>
      <c r="UK5" s="28"/>
      <c r="UL5" s="28"/>
      <c r="UM5" s="28"/>
      <c r="UN5" s="28"/>
      <c r="UO5" s="28"/>
      <c r="UP5" s="28"/>
      <c r="UQ5" s="28"/>
      <c r="UR5" s="28"/>
      <c r="US5" s="28"/>
      <c r="UT5" s="28"/>
      <c r="UU5" s="28"/>
      <c r="UV5" s="28"/>
      <c r="UW5" s="28"/>
      <c r="UX5" s="28"/>
      <c r="UY5" s="172">
        <v>1</v>
      </c>
      <c r="UZ5" s="172">
        <v>1</v>
      </c>
      <c r="VA5" s="172">
        <v>1</v>
      </c>
      <c r="VB5" s="172">
        <v>1</v>
      </c>
      <c r="VC5" s="172">
        <v>1</v>
      </c>
      <c r="VD5" s="172">
        <v>1</v>
      </c>
      <c r="VE5" s="172">
        <v>1</v>
      </c>
      <c r="VF5" s="172">
        <v>1</v>
      </c>
      <c r="VG5" s="172">
        <v>1</v>
      </c>
      <c r="VH5" s="172">
        <v>1</v>
      </c>
      <c r="VI5" s="172">
        <v>1</v>
      </c>
      <c r="VJ5" s="172">
        <v>1</v>
      </c>
      <c r="VK5" s="172">
        <v>1</v>
      </c>
      <c r="VL5" s="172">
        <v>1</v>
      </c>
      <c r="VM5" s="172">
        <v>1</v>
      </c>
      <c r="VN5" s="172">
        <v>1</v>
      </c>
      <c r="VO5" s="172">
        <v>1</v>
      </c>
      <c r="VP5" s="28"/>
      <c r="VQ5" s="28"/>
      <c r="VR5" s="28"/>
      <c r="VS5" s="28"/>
      <c r="VT5" s="28"/>
      <c r="VU5" s="28"/>
      <c r="VV5" s="42"/>
      <c r="VW5" s="42"/>
      <c r="VX5" s="42"/>
      <c r="VY5" s="42"/>
      <c r="VZ5" s="42"/>
      <c r="WA5" s="42"/>
      <c r="WB5" s="42"/>
      <c r="WC5" s="42"/>
      <c r="WD5" s="42"/>
      <c r="WE5" s="42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28"/>
      <c r="XL5" s="44"/>
      <c r="XM5" s="28"/>
      <c r="XN5" s="28"/>
      <c r="XO5" s="28"/>
      <c r="XP5" s="28"/>
      <c r="XQ5" s="28"/>
      <c r="XR5" s="28"/>
      <c r="XS5" s="28"/>
      <c r="XT5" s="28"/>
      <c r="XU5" s="28"/>
      <c r="XV5" s="28"/>
      <c r="XW5" s="28"/>
      <c r="XX5" s="28"/>
      <c r="XY5" s="28"/>
      <c r="XZ5" s="28"/>
      <c r="YA5" s="28"/>
      <c r="YB5" s="28"/>
      <c r="YC5" s="28"/>
      <c r="YD5" s="28"/>
      <c r="YE5" s="26"/>
      <c r="YF5" s="26"/>
      <c r="YG5" s="26"/>
      <c r="YH5" s="26"/>
      <c r="YI5" s="28"/>
      <c r="YJ5" s="28"/>
      <c r="YK5" s="28"/>
      <c r="YL5" s="28"/>
      <c r="YM5" s="28"/>
      <c r="YN5" s="28"/>
      <c r="YO5" s="28"/>
      <c r="YP5" s="28"/>
      <c r="YQ5" s="42"/>
      <c r="YR5" s="42"/>
      <c r="YS5" s="42"/>
      <c r="YT5" s="42"/>
      <c r="YU5" s="28"/>
      <c r="YV5" s="28"/>
      <c r="YW5" s="28"/>
      <c r="YX5" s="28"/>
      <c r="YY5" s="28"/>
      <c r="YZ5" s="28"/>
      <c r="ZA5" s="28"/>
      <c r="ZB5" s="28"/>
      <c r="ZC5" s="28"/>
      <c r="ZD5" s="28"/>
      <c r="ZE5" s="28"/>
      <c r="ZF5" s="28"/>
      <c r="ZG5" s="28"/>
      <c r="ZH5" s="28"/>
      <c r="ZI5" s="28"/>
      <c r="ZJ5" s="42"/>
      <c r="ZK5" s="42"/>
      <c r="ZL5" s="42"/>
      <c r="ZM5" s="42"/>
      <c r="ZN5" s="42"/>
      <c r="ZO5" s="42"/>
      <c r="ZP5" s="42"/>
      <c r="ZQ5" s="42"/>
      <c r="ZR5" s="42"/>
      <c r="ZS5" s="42"/>
      <c r="ZT5" s="42"/>
      <c r="ZU5" s="42"/>
      <c r="ZV5" s="42"/>
      <c r="ZW5" s="42"/>
      <c r="ZX5" s="42"/>
      <c r="ZY5" s="42"/>
      <c r="ZZ5" s="28"/>
      <c r="AAA5" s="28"/>
      <c r="AAB5" s="28"/>
      <c r="AAC5" s="28"/>
      <c r="AAD5" s="28"/>
      <c r="AAE5" s="28"/>
      <c r="AAF5" s="28"/>
      <c r="AAG5" s="28"/>
      <c r="AAH5" s="28"/>
      <c r="AAI5" s="28"/>
      <c r="AAJ5" s="28"/>
      <c r="AAK5" s="28"/>
      <c r="AAL5" s="28"/>
      <c r="AAM5" s="28"/>
      <c r="AAN5" s="42"/>
      <c r="AAO5" s="42"/>
      <c r="AAP5" s="42"/>
      <c r="AAQ5" s="42"/>
      <c r="AAR5" s="42"/>
      <c r="AAS5" s="42"/>
      <c r="AAT5" s="42"/>
      <c r="AAU5" s="42"/>
      <c r="AAV5" s="42"/>
      <c r="AAW5" s="42"/>
      <c r="AAX5" s="42"/>
      <c r="AAY5" s="42"/>
      <c r="AAZ5" s="42"/>
      <c r="ABA5" s="42"/>
      <c r="ABB5" s="42"/>
      <c r="ABC5" s="42"/>
      <c r="ABD5" s="28"/>
      <c r="ABE5" s="28"/>
      <c r="ABF5" s="28"/>
      <c r="ABG5" s="28"/>
      <c r="ABH5" s="28"/>
      <c r="ABI5" s="28"/>
      <c r="ABJ5" s="28"/>
      <c r="ABK5" s="28"/>
      <c r="ABL5" s="28"/>
      <c r="ABM5" s="28"/>
      <c r="ABN5" s="28"/>
      <c r="ABO5" s="28"/>
      <c r="ABP5" s="28"/>
      <c r="ABQ5" s="28"/>
      <c r="ABR5" s="28"/>
    </row>
    <row r="6" spans="1:746" customFormat="1" x14ac:dyDescent="0.3">
      <c r="A6" s="18">
        <v>3</v>
      </c>
      <c r="B6" s="2" t="s">
        <v>17</v>
      </c>
      <c r="C6" s="209" t="s">
        <v>114</v>
      </c>
      <c r="D6" s="209" t="s">
        <v>115</v>
      </c>
      <c r="E6" s="21">
        <v>45931</v>
      </c>
      <c r="F6" s="21">
        <v>45948</v>
      </c>
      <c r="G6" s="21">
        <f t="shared" ref="G6" si="4">F6+90</f>
        <v>46038</v>
      </c>
      <c r="H6" s="188"/>
      <c r="I6" s="22"/>
      <c r="J6" s="22"/>
      <c r="K6" s="4" t="s">
        <v>101</v>
      </c>
      <c r="L6" s="23">
        <f t="shared" ref="L6" ca="1" si="5">IF(F6=0,"NA",ROUND(($L$1-F6+1)/365*30,1))</f>
        <v>5.3</v>
      </c>
      <c r="M6" s="23">
        <f t="shared" ref="M6" ca="1" si="6">IF(L6="NA",0,L6-P6)</f>
        <v>-11.7</v>
      </c>
      <c r="N6" s="171">
        <v>46153</v>
      </c>
      <c r="O6" s="171">
        <v>46169</v>
      </c>
      <c r="P6" s="24">
        <f t="shared" ref="P6" si="7">SUM(O6-N6+1)</f>
        <v>17</v>
      </c>
      <c r="Q6" s="33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3"/>
      <c r="AJ6" s="23"/>
      <c r="AK6" s="23"/>
      <c r="AL6" s="23"/>
      <c r="AM6" s="23"/>
      <c r="AN6" s="23"/>
      <c r="AO6" s="23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40"/>
      <c r="BR6" s="41"/>
      <c r="BS6" s="26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26"/>
      <c r="CG6" s="26"/>
      <c r="CH6" s="26"/>
      <c r="CI6" s="26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42"/>
      <c r="HV6" s="42"/>
      <c r="HW6" s="42"/>
      <c r="HX6" s="42"/>
      <c r="HY6" s="42"/>
      <c r="HZ6" s="42"/>
      <c r="IA6" s="42"/>
      <c r="IB6" s="42"/>
      <c r="IC6" s="42"/>
      <c r="ID6" s="46"/>
      <c r="IE6" s="42"/>
      <c r="IF6" s="42"/>
      <c r="IG6" s="42"/>
      <c r="IH6" s="4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1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43"/>
      <c r="JU6" s="43"/>
      <c r="JV6" s="43"/>
      <c r="JW6" s="43"/>
      <c r="JX6" s="213"/>
      <c r="JY6" s="43"/>
      <c r="JZ6" s="43"/>
      <c r="KA6" s="43"/>
      <c r="KB6" s="52"/>
      <c r="KC6" s="52"/>
      <c r="KD6" s="52"/>
      <c r="KE6" s="52"/>
      <c r="KF6" s="43"/>
      <c r="KG6" s="43"/>
      <c r="KH6" s="43"/>
      <c r="KI6" s="43"/>
      <c r="KJ6" s="43"/>
      <c r="KK6" s="28"/>
      <c r="KL6" s="28"/>
      <c r="KM6" s="28"/>
      <c r="KN6" s="28"/>
      <c r="KO6" s="28"/>
      <c r="KP6" s="42"/>
      <c r="KQ6" s="42"/>
      <c r="KR6" s="42"/>
      <c r="KS6" s="42"/>
      <c r="KT6" s="28"/>
      <c r="KU6" s="28"/>
      <c r="KV6" s="28"/>
      <c r="KW6" s="28"/>
      <c r="KX6" s="28"/>
      <c r="KY6" s="28"/>
      <c r="KZ6" s="28"/>
      <c r="LA6" s="28"/>
      <c r="LB6" s="28"/>
      <c r="LC6" s="28"/>
      <c r="LD6" s="28"/>
      <c r="LE6" s="28"/>
      <c r="LF6" s="28"/>
      <c r="LG6" s="28"/>
      <c r="LH6" s="28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28"/>
      <c r="LZ6" s="28"/>
      <c r="MA6" s="28"/>
      <c r="MB6" s="28"/>
      <c r="MC6" s="28"/>
      <c r="MD6" s="28"/>
      <c r="ME6" s="28"/>
      <c r="MF6" s="28"/>
      <c r="MG6" s="28"/>
      <c r="MH6" s="28"/>
      <c r="MI6" s="28"/>
      <c r="MJ6" s="28"/>
      <c r="MK6" s="28"/>
      <c r="ML6" s="28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28"/>
      <c r="ND6" s="28"/>
      <c r="NE6" s="28"/>
      <c r="NF6" s="28"/>
      <c r="NG6" s="28"/>
      <c r="NH6" s="28"/>
      <c r="NI6" s="28"/>
      <c r="NJ6" s="28"/>
      <c r="NK6" s="28"/>
      <c r="NL6" s="28"/>
      <c r="NM6" s="28"/>
      <c r="NN6" s="28"/>
      <c r="NO6" s="28"/>
      <c r="NP6" s="28"/>
      <c r="NQ6" s="28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26"/>
      <c r="OF6" s="26"/>
      <c r="OG6" s="26"/>
      <c r="OH6" s="28"/>
      <c r="OI6" s="28"/>
      <c r="OJ6" s="28"/>
      <c r="OK6" s="28"/>
      <c r="OL6" s="28"/>
      <c r="OM6" s="28"/>
      <c r="ON6" s="28"/>
      <c r="OO6" s="28"/>
      <c r="OP6" s="28"/>
      <c r="OQ6" s="28"/>
      <c r="OR6" s="28"/>
      <c r="OS6" s="28"/>
      <c r="OT6" s="28"/>
      <c r="OU6" s="28"/>
      <c r="OV6" s="28"/>
      <c r="OW6" s="26"/>
      <c r="OX6" s="26"/>
      <c r="OY6" s="26"/>
      <c r="OZ6" s="26"/>
      <c r="PA6" s="26"/>
      <c r="PB6" s="42"/>
      <c r="PC6" s="42"/>
      <c r="PD6" s="42"/>
      <c r="PE6" s="42"/>
      <c r="PF6" s="42"/>
      <c r="PG6" s="42"/>
      <c r="PH6" s="26"/>
      <c r="PI6" s="26"/>
      <c r="PJ6" s="26"/>
      <c r="PK6" s="26"/>
      <c r="PL6" s="26"/>
      <c r="PM6" s="80"/>
      <c r="PN6" s="80"/>
      <c r="PO6" s="80"/>
      <c r="PP6" s="80"/>
      <c r="PQ6" s="80"/>
      <c r="PR6" s="80"/>
      <c r="PS6" s="80"/>
      <c r="PT6" s="80"/>
      <c r="PU6" s="80"/>
      <c r="PV6" s="80"/>
      <c r="PW6" s="80"/>
      <c r="PX6" s="80"/>
      <c r="PY6" s="80"/>
      <c r="PZ6" s="23"/>
      <c r="QA6" s="23"/>
      <c r="QB6" s="23"/>
      <c r="QC6" s="23"/>
      <c r="QD6" s="28"/>
      <c r="QE6" s="28"/>
      <c r="QF6" s="28"/>
      <c r="QG6" s="28"/>
      <c r="QH6" s="28"/>
      <c r="QI6" s="28"/>
      <c r="QJ6" s="28"/>
      <c r="QK6" s="28"/>
      <c r="QL6" s="28"/>
      <c r="QM6" s="28"/>
      <c r="QN6" s="28"/>
      <c r="QO6" s="28"/>
      <c r="QP6" s="28"/>
      <c r="QQ6" s="28"/>
      <c r="QR6" s="28"/>
      <c r="QS6" s="28"/>
      <c r="QT6" s="28"/>
      <c r="QU6" s="28"/>
      <c r="QV6" s="28"/>
      <c r="QW6" s="28"/>
      <c r="QX6" s="28"/>
      <c r="QY6" s="28"/>
      <c r="QZ6" s="28"/>
      <c r="RA6" s="28"/>
      <c r="RB6" s="28"/>
      <c r="RC6" s="28"/>
      <c r="RD6" s="28"/>
      <c r="RE6" s="28"/>
      <c r="RF6" s="28"/>
      <c r="RG6" s="28"/>
      <c r="RH6" s="28"/>
      <c r="RI6" s="28"/>
      <c r="RJ6" s="28"/>
      <c r="RK6" s="28"/>
      <c r="RL6" s="28"/>
      <c r="RM6" s="28"/>
      <c r="RN6" s="28"/>
      <c r="RO6" s="28"/>
      <c r="RP6" s="28"/>
      <c r="RQ6" s="28"/>
      <c r="RR6" s="28"/>
      <c r="RS6" s="28"/>
      <c r="RT6" s="28"/>
      <c r="RU6" s="28"/>
      <c r="RV6" s="28"/>
      <c r="RW6" s="28"/>
      <c r="RX6" s="28"/>
      <c r="RY6" s="28"/>
      <c r="RZ6" s="28"/>
      <c r="SA6" s="28"/>
      <c r="SB6" s="28"/>
      <c r="SC6" s="28"/>
      <c r="SD6" s="28"/>
      <c r="SE6" s="28"/>
      <c r="SF6" s="28"/>
      <c r="SG6" s="28"/>
      <c r="SH6" s="28"/>
      <c r="SI6" s="28"/>
      <c r="SJ6" s="28"/>
      <c r="SK6" s="28"/>
      <c r="SL6" s="28"/>
      <c r="SM6" s="28"/>
      <c r="SN6" s="28"/>
      <c r="SO6" s="28"/>
      <c r="SP6" s="28"/>
      <c r="SQ6" s="28"/>
      <c r="SR6" s="28"/>
      <c r="SS6" s="28"/>
      <c r="ST6" s="28"/>
      <c r="SU6" s="28"/>
      <c r="SV6" s="28"/>
      <c r="SW6" s="28"/>
      <c r="SX6" s="28"/>
      <c r="SY6" s="28"/>
      <c r="SZ6" s="28"/>
      <c r="TA6" s="28"/>
      <c r="TB6" s="28"/>
      <c r="TC6" s="28"/>
      <c r="TD6" s="28"/>
      <c r="TE6" s="28"/>
      <c r="TF6" s="28"/>
      <c r="TG6" s="28"/>
      <c r="TH6" s="28"/>
      <c r="TI6" s="28"/>
      <c r="TJ6" s="28"/>
      <c r="TK6" s="28"/>
      <c r="TL6" s="28"/>
      <c r="TM6" s="32"/>
      <c r="TN6" s="28"/>
      <c r="TO6" s="28"/>
      <c r="TP6" s="28"/>
      <c r="TQ6" s="28"/>
      <c r="TR6" s="28"/>
      <c r="TS6" s="28"/>
      <c r="TT6" s="28"/>
      <c r="TU6" s="28"/>
      <c r="TV6" s="28"/>
      <c r="TW6" s="28"/>
      <c r="TX6" s="28"/>
      <c r="TY6" s="28"/>
      <c r="TZ6" s="28"/>
      <c r="UA6" s="28"/>
      <c r="UB6" s="28"/>
      <c r="UC6" s="28"/>
      <c r="UD6" s="28"/>
      <c r="UE6" s="28"/>
      <c r="UF6" s="28"/>
      <c r="UG6" s="28"/>
      <c r="UH6" s="28"/>
      <c r="UI6" s="28"/>
      <c r="UJ6" s="28"/>
      <c r="UK6" s="28"/>
      <c r="UL6" s="28"/>
      <c r="UM6" s="28"/>
      <c r="UN6" s="28"/>
      <c r="UO6" s="28"/>
      <c r="UP6" s="28"/>
      <c r="UQ6" s="28"/>
      <c r="UR6" s="28"/>
      <c r="US6" s="28"/>
      <c r="UT6" s="28"/>
      <c r="UU6" s="28"/>
      <c r="UV6" s="28"/>
      <c r="UW6" s="28"/>
      <c r="UX6" s="28"/>
      <c r="UY6" s="28"/>
      <c r="UZ6" s="28"/>
      <c r="VA6" s="28"/>
      <c r="VB6" s="28"/>
      <c r="VC6" s="28"/>
      <c r="VD6" s="28"/>
      <c r="VE6" s="28"/>
      <c r="VF6" s="28"/>
      <c r="VG6" s="28"/>
      <c r="VH6" s="28"/>
      <c r="VI6" s="28"/>
      <c r="VJ6" s="28"/>
      <c r="VK6" s="28"/>
      <c r="VL6" s="28"/>
      <c r="VM6" s="28"/>
      <c r="VN6" s="28"/>
      <c r="VO6" s="28"/>
      <c r="VP6" s="28"/>
      <c r="VQ6" s="28"/>
      <c r="VR6" s="28"/>
      <c r="VS6" s="28"/>
      <c r="VT6" s="28"/>
      <c r="VU6" s="28"/>
      <c r="VV6" s="42"/>
      <c r="VW6" s="42"/>
      <c r="VX6" s="42"/>
      <c r="VY6" s="42"/>
      <c r="VZ6" s="42"/>
      <c r="WA6" s="42"/>
      <c r="WB6" s="42"/>
      <c r="WC6" s="42"/>
      <c r="WD6" s="42"/>
      <c r="WE6" s="46"/>
      <c r="WF6" s="26"/>
      <c r="WG6" s="26"/>
      <c r="WH6" s="26"/>
      <c r="WI6" s="26"/>
      <c r="WJ6" s="26"/>
      <c r="WK6" s="26"/>
      <c r="WL6" s="26"/>
      <c r="WM6" s="26"/>
      <c r="WN6" s="26"/>
      <c r="WO6" s="26"/>
      <c r="WP6" s="26"/>
      <c r="WQ6" s="26"/>
      <c r="WR6" s="26"/>
      <c r="WS6" s="26"/>
      <c r="WT6" s="26"/>
      <c r="WU6" s="26"/>
      <c r="WV6" s="26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28"/>
      <c r="XL6" s="44"/>
      <c r="XM6" s="28"/>
      <c r="XN6" s="28"/>
      <c r="XO6" s="28"/>
      <c r="XP6" s="28"/>
      <c r="XQ6" s="28"/>
      <c r="XR6" s="28"/>
      <c r="XS6" s="28"/>
      <c r="XT6" s="28"/>
      <c r="XU6" s="28"/>
      <c r="XV6" s="28"/>
      <c r="XW6" s="28"/>
      <c r="XX6" s="28"/>
      <c r="XY6" s="47"/>
      <c r="XZ6" s="28"/>
      <c r="YA6" s="28"/>
      <c r="YB6" s="28"/>
      <c r="YC6" s="29"/>
      <c r="YD6" s="29"/>
      <c r="YE6" s="48"/>
      <c r="YF6" s="48"/>
      <c r="YG6" s="26"/>
      <c r="YH6" s="26"/>
      <c r="YI6" s="28"/>
      <c r="YJ6" s="28"/>
      <c r="YK6" s="28"/>
      <c r="YL6" s="28"/>
      <c r="YM6" s="28"/>
      <c r="YN6" s="28"/>
      <c r="YO6" s="170">
        <v>1</v>
      </c>
      <c r="YP6" s="170">
        <v>1</v>
      </c>
      <c r="YQ6" s="212">
        <v>1</v>
      </c>
      <c r="YR6" s="212">
        <v>1</v>
      </c>
      <c r="YS6" s="212">
        <v>1</v>
      </c>
      <c r="YT6" s="212">
        <v>1</v>
      </c>
      <c r="YU6" s="170">
        <v>1</v>
      </c>
      <c r="YV6" s="170">
        <v>1</v>
      </c>
      <c r="YW6" s="170">
        <v>1</v>
      </c>
      <c r="YX6" s="170">
        <v>1</v>
      </c>
      <c r="YY6" s="170">
        <v>1</v>
      </c>
      <c r="YZ6" s="170">
        <v>1</v>
      </c>
      <c r="ZA6" s="170">
        <v>1</v>
      </c>
      <c r="ZB6" s="170">
        <v>1</v>
      </c>
      <c r="ZC6" s="170">
        <v>1</v>
      </c>
      <c r="ZD6" s="170">
        <v>1</v>
      </c>
      <c r="ZE6" s="170">
        <v>1</v>
      </c>
      <c r="ZF6" s="28"/>
      <c r="ZG6" s="28"/>
      <c r="ZH6" s="28"/>
      <c r="ZI6" s="28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28"/>
      <c r="AAA6" s="28"/>
      <c r="AAB6" s="28"/>
      <c r="AAC6" s="28"/>
      <c r="AAD6" s="28"/>
      <c r="AAE6" s="28"/>
      <c r="AAF6" s="28"/>
      <c r="AAG6" s="28"/>
      <c r="AAH6" s="28"/>
      <c r="AAI6" s="28"/>
      <c r="AAJ6" s="28"/>
      <c r="AAK6" s="28"/>
      <c r="AAL6" s="28"/>
      <c r="AAM6" s="28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28"/>
      <c r="ABE6" s="28"/>
      <c r="ABF6" s="28"/>
      <c r="ABG6" s="28"/>
      <c r="ABH6" s="28"/>
      <c r="ABI6" s="28"/>
      <c r="ABJ6" s="28"/>
      <c r="ABK6" s="28"/>
      <c r="ABL6" s="28"/>
      <c r="ABM6" s="28"/>
      <c r="ABN6" s="28"/>
      <c r="ABO6" s="28"/>
      <c r="ABP6" s="28"/>
      <c r="ABQ6" s="28"/>
      <c r="ABR6" s="28"/>
    </row>
    <row r="7" spans="1:746" customFormat="1" x14ac:dyDescent="0.3">
      <c r="A7" s="18">
        <v>4</v>
      </c>
      <c r="B7" s="2" t="s">
        <v>17</v>
      </c>
      <c r="C7" s="38" t="s">
        <v>120</v>
      </c>
      <c r="D7" s="38" t="s">
        <v>121</v>
      </c>
      <c r="E7" s="21">
        <v>45962</v>
      </c>
      <c r="F7" s="21">
        <v>45973</v>
      </c>
      <c r="G7" s="21">
        <f t="shared" ref="G7" si="8">F7+90</f>
        <v>46063</v>
      </c>
      <c r="H7" s="188"/>
      <c r="I7" s="22"/>
      <c r="J7" s="22"/>
      <c r="K7" s="220" t="s">
        <v>19</v>
      </c>
      <c r="L7" s="23">
        <f t="shared" ref="L7" ca="1" si="9">IF(F7=0,"NA",ROUND(($L$1-F7+1)/365*30,1))</f>
        <v>3.2</v>
      </c>
      <c r="M7" s="23">
        <f t="shared" ref="M7" ca="1" si="10">IF(L7="NA",0,L7-P7)</f>
        <v>-13.8</v>
      </c>
      <c r="N7" s="171">
        <v>46130</v>
      </c>
      <c r="O7" s="171">
        <v>46146</v>
      </c>
      <c r="P7" s="24">
        <f t="shared" ref="P7" si="11">SUM(O7-N7+1)</f>
        <v>17</v>
      </c>
      <c r="Q7" s="24">
        <f t="shared" ref="Q7" si="12">SUM(P7-O7+1)</f>
        <v>-46128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3"/>
      <c r="AJ7" s="23"/>
      <c r="AK7" s="23"/>
      <c r="AL7" s="23"/>
      <c r="AM7" s="23"/>
      <c r="AN7" s="23"/>
      <c r="AO7" s="23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40"/>
      <c r="BR7" s="41"/>
      <c r="BS7" s="26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26"/>
      <c r="CG7" s="26"/>
      <c r="CH7" s="26"/>
      <c r="CI7" s="26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42"/>
      <c r="HV7" s="42"/>
      <c r="HW7" s="42"/>
      <c r="HX7" s="42"/>
      <c r="HY7" s="42"/>
      <c r="HZ7" s="42"/>
      <c r="IA7" s="42"/>
      <c r="IB7" s="42"/>
      <c r="IC7" s="42"/>
      <c r="ID7" s="46"/>
      <c r="IE7" s="42"/>
      <c r="IF7" s="42"/>
      <c r="IG7" s="42"/>
      <c r="IH7" s="4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1"/>
      <c r="JJ7" s="28"/>
      <c r="JK7" s="28"/>
      <c r="JL7" s="28"/>
      <c r="JM7" s="28"/>
      <c r="JN7" s="28"/>
      <c r="JO7" s="28"/>
      <c r="JP7" s="28"/>
      <c r="JQ7" s="28"/>
      <c r="JR7" s="28"/>
      <c r="JS7" s="28"/>
      <c r="JT7" s="43"/>
      <c r="JU7" s="43"/>
      <c r="JV7" s="43"/>
      <c r="JW7" s="43"/>
      <c r="JX7" s="213"/>
      <c r="JY7" s="43"/>
      <c r="JZ7" s="43"/>
      <c r="KA7" s="43"/>
      <c r="KB7" s="52"/>
      <c r="KC7" s="52"/>
      <c r="KD7" s="52"/>
      <c r="KE7" s="52"/>
      <c r="KF7" s="43"/>
      <c r="KG7" s="43"/>
      <c r="KH7" s="43"/>
      <c r="KI7" s="43"/>
      <c r="KJ7" s="43"/>
      <c r="KK7" s="28"/>
      <c r="KL7" s="28"/>
      <c r="KM7" s="28"/>
      <c r="KN7" s="28"/>
      <c r="KO7" s="28"/>
      <c r="KP7" s="42"/>
      <c r="KQ7" s="42"/>
      <c r="KR7" s="42"/>
      <c r="KS7" s="42"/>
      <c r="KT7" s="28"/>
      <c r="KU7" s="28"/>
      <c r="KV7" s="28"/>
      <c r="KW7" s="28"/>
      <c r="KX7" s="28"/>
      <c r="KY7" s="28"/>
      <c r="KZ7" s="28"/>
      <c r="LA7" s="28"/>
      <c r="LB7" s="28"/>
      <c r="LC7" s="28"/>
      <c r="LD7" s="28"/>
      <c r="LE7" s="28"/>
      <c r="LF7" s="28"/>
      <c r="LG7" s="28"/>
      <c r="LH7" s="28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28"/>
      <c r="LZ7" s="28"/>
      <c r="MA7" s="28"/>
      <c r="MB7" s="28"/>
      <c r="MC7" s="28"/>
      <c r="MD7" s="28"/>
      <c r="ME7" s="28"/>
      <c r="MF7" s="28"/>
      <c r="MG7" s="28"/>
      <c r="MH7" s="28"/>
      <c r="MI7" s="28"/>
      <c r="MJ7" s="28"/>
      <c r="MK7" s="28"/>
      <c r="ML7" s="28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28"/>
      <c r="ND7" s="28"/>
      <c r="NE7" s="28"/>
      <c r="NF7" s="28"/>
      <c r="NG7" s="28"/>
      <c r="NH7" s="28"/>
      <c r="NI7" s="28"/>
      <c r="NJ7" s="28"/>
      <c r="NK7" s="28"/>
      <c r="NL7" s="28"/>
      <c r="NM7" s="28"/>
      <c r="NN7" s="28"/>
      <c r="NO7" s="28"/>
      <c r="NP7" s="28"/>
      <c r="NQ7" s="28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26"/>
      <c r="OF7" s="26"/>
      <c r="OG7" s="26"/>
      <c r="OH7" s="28"/>
      <c r="OI7" s="28"/>
      <c r="OJ7" s="28"/>
      <c r="OK7" s="28"/>
      <c r="OL7" s="28"/>
      <c r="OM7" s="28"/>
      <c r="ON7" s="28"/>
      <c r="OO7" s="28"/>
      <c r="OP7" s="28"/>
      <c r="OQ7" s="28"/>
      <c r="OR7" s="28"/>
      <c r="OS7" s="28"/>
      <c r="OT7" s="28"/>
      <c r="OU7" s="28"/>
      <c r="OV7" s="28"/>
      <c r="OW7" s="26"/>
      <c r="OX7" s="26"/>
      <c r="OY7" s="26"/>
      <c r="OZ7" s="26"/>
      <c r="PA7" s="26"/>
      <c r="PB7" s="42"/>
      <c r="PC7" s="42"/>
      <c r="PD7" s="42"/>
      <c r="PE7" s="42"/>
      <c r="PF7" s="42"/>
      <c r="PG7" s="42"/>
      <c r="PH7" s="26"/>
      <c r="PI7" s="26"/>
      <c r="PJ7" s="26"/>
      <c r="PK7" s="26"/>
      <c r="PL7" s="26"/>
      <c r="PM7" s="80"/>
      <c r="PN7" s="80"/>
      <c r="PO7" s="80"/>
      <c r="PP7" s="80"/>
      <c r="PQ7" s="80"/>
      <c r="PR7" s="80"/>
      <c r="PS7" s="80"/>
      <c r="PT7" s="80"/>
      <c r="PU7" s="80"/>
      <c r="PV7" s="80"/>
      <c r="PW7" s="80"/>
      <c r="PX7" s="80"/>
      <c r="PY7" s="80"/>
      <c r="PZ7" s="23"/>
      <c r="QA7" s="23"/>
      <c r="QB7" s="23"/>
      <c r="QC7" s="23"/>
      <c r="QD7" s="28"/>
      <c r="QE7" s="28"/>
      <c r="QF7" s="28"/>
      <c r="QG7" s="28"/>
      <c r="QH7" s="28"/>
      <c r="QI7" s="28"/>
      <c r="QJ7" s="28"/>
      <c r="QK7" s="28"/>
      <c r="QL7" s="28"/>
      <c r="QM7" s="28"/>
      <c r="QN7" s="28"/>
      <c r="QO7" s="28"/>
      <c r="QP7" s="28"/>
      <c r="QQ7" s="28"/>
      <c r="QR7" s="28"/>
      <c r="QS7" s="28"/>
      <c r="QT7" s="28"/>
      <c r="QU7" s="28"/>
      <c r="QV7" s="28"/>
      <c r="QW7" s="28"/>
      <c r="QX7" s="28"/>
      <c r="QY7" s="28"/>
      <c r="QZ7" s="28"/>
      <c r="RA7" s="28"/>
      <c r="RB7" s="28"/>
      <c r="RC7" s="28"/>
      <c r="RD7" s="28"/>
      <c r="RE7" s="28"/>
      <c r="RF7" s="28"/>
      <c r="RG7" s="28"/>
      <c r="RH7" s="28"/>
      <c r="RI7" s="28"/>
      <c r="RJ7" s="28"/>
      <c r="RK7" s="28"/>
      <c r="RL7" s="28"/>
      <c r="RM7" s="28"/>
      <c r="RN7" s="28"/>
      <c r="RO7" s="28"/>
      <c r="RP7" s="28"/>
      <c r="RQ7" s="28"/>
      <c r="RR7" s="28"/>
      <c r="RS7" s="28"/>
      <c r="RT7" s="28"/>
      <c r="RU7" s="28"/>
      <c r="RV7" s="28"/>
      <c r="RW7" s="28"/>
      <c r="RX7" s="28"/>
      <c r="RY7" s="28"/>
      <c r="RZ7" s="28"/>
      <c r="SA7" s="28"/>
      <c r="SB7" s="28"/>
      <c r="SC7" s="28"/>
      <c r="SD7" s="28"/>
      <c r="SE7" s="28"/>
      <c r="SF7" s="28"/>
      <c r="SG7" s="28"/>
      <c r="SH7" s="28"/>
      <c r="SI7" s="28"/>
      <c r="SJ7" s="28"/>
      <c r="SK7" s="28"/>
      <c r="SL7" s="28"/>
      <c r="SM7" s="28"/>
      <c r="SN7" s="28"/>
      <c r="SO7" s="28"/>
      <c r="SP7" s="28"/>
      <c r="SQ7" s="28"/>
      <c r="SR7" s="28"/>
      <c r="SS7" s="28"/>
      <c r="ST7" s="28"/>
      <c r="SU7" s="28"/>
      <c r="SV7" s="28"/>
      <c r="SW7" s="28"/>
      <c r="SX7" s="28"/>
      <c r="SY7" s="28"/>
      <c r="SZ7" s="28"/>
      <c r="TA7" s="28"/>
      <c r="TB7" s="28"/>
      <c r="TC7" s="28"/>
      <c r="TD7" s="28"/>
      <c r="TE7" s="28"/>
      <c r="TF7" s="28"/>
      <c r="TG7" s="28"/>
      <c r="TH7" s="28"/>
      <c r="TI7" s="28"/>
      <c r="TJ7" s="28"/>
      <c r="TK7" s="28"/>
      <c r="TL7" s="28"/>
      <c r="TM7" s="32"/>
      <c r="TN7" s="28"/>
      <c r="TO7" s="28"/>
      <c r="TP7" s="28"/>
      <c r="TQ7" s="28"/>
      <c r="TR7" s="28"/>
      <c r="TS7" s="28"/>
      <c r="TT7" s="28"/>
      <c r="TU7" s="28"/>
      <c r="TV7" s="28"/>
      <c r="TW7" s="28"/>
      <c r="TX7" s="28"/>
      <c r="TY7" s="28"/>
      <c r="TZ7" s="28"/>
      <c r="UA7" s="28"/>
      <c r="UB7" s="28"/>
      <c r="UC7" s="28"/>
      <c r="UD7" s="28"/>
      <c r="UE7" s="28"/>
      <c r="UF7" s="28"/>
      <c r="UG7" s="28"/>
      <c r="UH7" s="28"/>
      <c r="UI7" s="28"/>
      <c r="UJ7" s="28"/>
      <c r="UK7" s="28"/>
      <c r="UL7" s="28"/>
      <c r="UM7" s="28"/>
      <c r="UN7" s="28"/>
      <c r="UO7" s="28"/>
      <c r="UP7" s="28"/>
      <c r="UQ7" s="28"/>
      <c r="UR7" s="28"/>
      <c r="US7" s="28"/>
      <c r="UT7" s="28"/>
      <c r="UU7" s="28"/>
      <c r="UV7" s="28"/>
      <c r="UW7" s="28"/>
      <c r="UX7" s="28"/>
      <c r="UY7" s="28"/>
      <c r="UZ7" s="28"/>
      <c r="VA7" s="28"/>
      <c r="VB7" s="28"/>
      <c r="VC7" s="28"/>
      <c r="VD7" s="28"/>
      <c r="VE7" s="28"/>
      <c r="VF7" s="28"/>
      <c r="VG7" s="28"/>
      <c r="VH7" s="28"/>
      <c r="VI7" s="28"/>
      <c r="VJ7" s="28"/>
      <c r="VK7" s="28"/>
      <c r="VL7" s="28"/>
      <c r="VM7" s="28"/>
      <c r="VN7" s="28"/>
      <c r="VO7" s="28"/>
      <c r="VP7" s="28"/>
      <c r="VQ7" s="28"/>
      <c r="VR7" s="28"/>
      <c r="VS7" s="28"/>
      <c r="VT7" s="28"/>
      <c r="VU7" s="28"/>
      <c r="VV7" s="42"/>
      <c r="VW7" s="42"/>
      <c r="VX7" s="42"/>
      <c r="VY7" s="42"/>
      <c r="VZ7" s="42"/>
      <c r="WA7" s="42"/>
      <c r="WB7" s="42"/>
      <c r="WC7" s="42"/>
      <c r="WD7" s="42"/>
      <c r="WE7" s="46"/>
      <c r="WF7" s="26"/>
      <c r="WG7" s="26"/>
      <c r="WH7" s="26"/>
      <c r="WI7" s="26"/>
      <c r="WJ7" s="26"/>
      <c r="WK7" s="26"/>
      <c r="WL7" s="26"/>
      <c r="WM7" s="26"/>
      <c r="WN7" s="26"/>
      <c r="WO7" s="26"/>
      <c r="WP7" s="26"/>
      <c r="WQ7" s="26"/>
      <c r="WR7" s="26"/>
      <c r="WS7" s="26"/>
      <c r="WT7" s="26"/>
      <c r="WU7" s="26"/>
      <c r="WV7" s="26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28"/>
      <c r="XL7" s="44"/>
      <c r="XM7" s="28"/>
      <c r="XN7" s="28"/>
      <c r="XO7" s="28"/>
      <c r="XP7" s="28"/>
      <c r="XQ7" s="28"/>
      <c r="XR7" s="172">
        <v>1</v>
      </c>
      <c r="XS7" s="172">
        <v>1</v>
      </c>
      <c r="XT7" s="172">
        <v>1</v>
      </c>
      <c r="XU7" s="172">
        <v>1</v>
      </c>
      <c r="XV7" s="172">
        <v>1</v>
      </c>
      <c r="XW7" s="172">
        <v>1</v>
      </c>
      <c r="XX7" s="172">
        <v>1</v>
      </c>
      <c r="XY7" s="222">
        <v>1</v>
      </c>
      <c r="XZ7" s="172">
        <v>1</v>
      </c>
      <c r="YA7" s="172">
        <v>1</v>
      </c>
      <c r="YB7" s="172">
        <v>1</v>
      </c>
      <c r="YC7" s="223">
        <v>1</v>
      </c>
      <c r="YD7" s="223">
        <v>1</v>
      </c>
      <c r="YE7" s="224">
        <v>1</v>
      </c>
      <c r="YF7" s="224">
        <v>1</v>
      </c>
      <c r="YG7" s="177">
        <v>1</v>
      </c>
      <c r="YH7" s="177">
        <v>1</v>
      </c>
      <c r="YI7" s="28"/>
      <c r="YJ7" s="28"/>
      <c r="YK7" s="28"/>
      <c r="YL7" s="28"/>
      <c r="YM7" s="28"/>
      <c r="YN7" s="28"/>
      <c r="YO7" s="28"/>
      <c r="YP7" s="28"/>
      <c r="YQ7" s="42"/>
      <c r="YR7" s="42"/>
      <c r="YS7" s="42"/>
      <c r="YT7" s="42"/>
      <c r="YU7" s="28"/>
      <c r="YV7" s="28"/>
      <c r="YW7" s="28"/>
      <c r="YX7" s="28"/>
      <c r="YY7" s="28"/>
      <c r="YZ7" s="28"/>
      <c r="ZA7" s="28"/>
      <c r="ZB7" s="28"/>
      <c r="ZC7" s="28"/>
      <c r="ZD7" s="28"/>
      <c r="ZE7" s="28"/>
      <c r="ZF7" s="28"/>
      <c r="ZG7" s="28"/>
      <c r="ZH7" s="28"/>
      <c r="ZI7" s="28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28"/>
      <c r="AAA7" s="28"/>
      <c r="AAB7" s="28"/>
      <c r="AAC7" s="28"/>
      <c r="AAD7" s="28"/>
      <c r="AAE7" s="28"/>
      <c r="AAF7" s="28"/>
      <c r="AAG7" s="28"/>
      <c r="AAH7" s="28"/>
      <c r="AAI7" s="28"/>
      <c r="AAJ7" s="28"/>
      <c r="AAK7" s="28"/>
      <c r="AAL7" s="28"/>
      <c r="AAM7" s="28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28"/>
      <c r="ABE7" s="28"/>
      <c r="ABF7" s="28"/>
      <c r="ABG7" s="28"/>
      <c r="ABH7" s="28"/>
      <c r="ABI7" s="28"/>
      <c r="ABJ7" s="28"/>
      <c r="ABK7" s="28"/>
      <c r="ABL7" s="28"/>
      <c r="ABM7" s="28"/>
      <c r="ABN7" s="28"/>
      <c r="ABO7" s="28"/>
      <c r="ABP7" s="28"/>
      <c r="ABQ7" s="28"/>
      <c r="ABR7" s="28"/>
    </row>
    <row r="8" spans="1:746" customFormat="1" x14ac:dyDescent="0.3">
      <c r="A8" s="18">
        <v>5</v>
      </c>
      <c r="B8" s="2" t="s">
        <v>17</v>
      </c>
      <c r="C8" s="49" t="s">
        <v>25</v>
      </c>
      <c r="D8" s="49" t="s">
        <v>26</v>
      </c>
      <c r="E8" s="21">
        <v>45689</v>
      </c>
      <c r="F8" s="21">
        <v>45696</v>
      </c>
      <c r="G8" s="21">
        <f t="shared" si="0"/>
        <v>45786</v>
      </c>
      <c r="H8" s="22">
        <v>45880</v>
      </c>
      <c r="I8" s="22"/>
      <c r="J8" s="22"/>
      <c r="K8" s="185" t="s">
        <v>19</v>
      </c>
      <c r="L8" s="23">
        <f t="shared" ca="1" si="1"/>
        <v>26</v>
      </c>
      <c r="M8" s="23">
        <f t="shared" ca="1" si="2"/>
        <v>9</v>
      </c>
      <c r="N8" s="50">
        <v>46040</v>
      </c>
      <c r="O8" s="50">
        <v>46056</v>
      </c>
      <c r="P8" s="24">
        <f>SUM(O8-N8+1)</f>
        <v>17</v>
      </c>
      <c r="Q8" s="33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3"/>
      <c r="AJ8" s="23"/>
      <c r="AK8" s="23"/>
      <c r="AL8" s="23"/>
      <c r="AM8" s="23"/>
      <c r="AN8" s="23"/>
      <c r="AO8" s="23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40"/>
      <c r="BR8" s="41"/>
      <c r="BS8" s="26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26"/>
      <c r="CG8" s="26"/>
      <c r="CH8" s="26"/>
      <c r="CI8" s="26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42"/>
      <c r="HV8" s="42"/>
      <c r="HW8" s="42"/>
      <c r="HX8" s="42"/>
      <c r="HY8" s="42"/>
      <c r="HZ8" s="42"/>
      <c r="IA8" s="42"/>
      <c r="IB8" s="42"/>
      <c r="IC8" s="42"/>
      <c r="ID8" s="46"/>
      <c r="IE8" s="42"/>
      <c r="IF8" s="42"/>
      <c r="IG8" s="42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1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47"/>
      <c r="JY8" s="28"/>
      <c r="JZ8" s="28"/>
      <c r="KA8" s="28"/>
      <c r="KB8" s="29"/>
      <c r="KC8" s="29"/>
      <c r="KD8" s="48"/>
      <c r="KE8" s="48"/>
      <c r="KF8" s="26"/>
      <c r="KG8" s="26"/>
      <c r="KH8" s="28"/>
      <c r="KI8" s="28"/>
      <c r="KJ8" s="28"/>
      <c r="KK8" s="28"/>
      <c r="KL8" s="28"/>
      <c r="KM8" s="28"/>
      <c r="KN8" s="28"/>
      <c r="KO8" s="28"/>
      <c r="KP8" s="42"/>
      <c r="KQ8" s="42"/>
      <c r="KR8" s="42"/>
      <c r="KS8" s="42"/>
      <c r="KT8" s="28"/>
      <c r="KU8" s="28"/>
      <c r="KV8" s="28"/>
      <c r="KW8" s="28"/>
      <c r="KX8" s="28"/>
      <c r="KY8" s="28"/>
      <c r="KZ8" s="28"/>
      <c r="LA8" s="28"/>
      <c r="LB8" s="28"/>
      <c r="LC8" s="28"/>
      <c r="LD8" s="28"/>
      <c r="LE8" s="28"/>
      <c r="LF8" s="28"/>
      <c r="LG8" s="28"/>
      <c r="LH8" s="28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28"/>
      <c r="LZ8" s="28"/>
      <c r="MA8" s="28"/>
      <c r="MB8" s="28"/>
      <c r="MC8" s="28"/>
      <c r="MD8" s="28"/>
      <c r="ME8" s="28"/>
      <c r="MF8" s="28"/>
      <c r="MG8" s="28"/>
      <c r="MH8" s="28"/>
      <c r="MI8" s="28"/>
      <c r="MJ8" s="28"/>
      <c r="MK8" s="28"/>
      <c r="ML8" s="28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28"/>
      <c r="ND8" s="28"/>
      <c r="NE8" s="28"/>
      <c r="NF8" s="28"/>
      <c r="NG8" s="28"/>
      <c r="NH8" s="28"/>
      <c r="NI8" s="28"/>
      <c r="NJ8" s="28"/>
      <c r="NK8" s="28"/>
      <c r="NL8" s="30">
        <v>1</v>
      </c>
      <c r="NM8" s="30">
        <v>1</v>
      </c>
      <c r="NN8" s="30">
        <v>1</v>
      </c>
      <c r="NO8" s="30">
        <v>1</v>
      </c>
      <c r="NP8" s="30">
        <v>1</v>
      </c>
      <c r="NQ8" s="30">
        <v>1</v>
      </c>
      <c r="NR8" s="30">
        <v>1</v>
      </c>
      <c r="NS8" s="30">
        <v>1</v>
      </c>
      <c r="NT8" s="30">
        <v>1</v>
      </c>
      <c r="NU8" s="30">
        <v>1</v>
      </c>
      <c r="NV8" s="30">
        <v>1</v>
      </c>
      <c r="NW8" s="30">
        <v>1</v>
      </c>
      <c r="NX8" s="30">
        <v>1</v>
      </c>
      <c r="NY8" s="30">
        <v>1</v>
      </c>
      <c r="NZ8" s="30">
        <v>1</v>
      </c>
      <c r="OA8" s="30">
        <v>1</v>
      </c>
      <c r="OB8" s="30">
        <v>1</v>
      </c>
      <c r="OC8" s="42"/>
      <c r="OD8" s="42"/>
      <c r="OE8" s="26"/>
      <c r="OF8" s="26"/>
      <c r="OG8" s="26"/>
      <c r="OH8" s="28"/>
      <c r="OI8" s="28"/>
      <c r="OJ8" s="28"/>
      <c r="OK8" s="28"/>
      <c r="OL8" s="28"/>
      <c r="OM8" s="28"/>
      <c r="ON8" s="28"/>
      <c r="OO8" s="28"/>
      <c r="OP8" s="28"/>
      <c r="OQ8" s="28"/>
      <c r="OR8" s="28"/>
      <c r="OS8" s="28"/>
      <c r="OT8" s="28"/>
      <c r="OU8" s="28"/>
      <c r="OV8" s="28"/>
      <c r="OW8" s="26"/>
      <c r="OX8" s="26"/>
      <c r="OY8" s="26"/>
      <c r="OZ8" s="26"/>
      <c r="PA8" s="26"/>
      <c r="PB8" s="42"/>
      <c r="PC8" s="42"/>
      <c r="PD8" s="42"/>
      <c r="PE8" s="42"/>
      <c r="PF8" s="42"/>
      <c r="PG8" s="42"/>
      <c r="PH8" s="26"/>
      <c r="PI8" s="26"/>
      <c r="PJ8" s="26"/>
      <c r="PK8" s="26"/>
      <c r="PL8" s="26"/>
      <c r="PM8" s="26"/>
      <c r="PN8" s="26"/>
      <c r="PO8" s="26"/>
      <c r="PP8" s="26"/>
      <c r="PQ8" s="26"/>
      <c r="PR8" s="26"/>
      <c r="PS8" s="26"/>
      <c r="PT8" s="26"/>
      <c r="PU8" s="26"/>
      <c r="PV8" s="26"/>
      <c r="PW8" s="26"/>
      <c r="PX8" s="26"/>
      <c r="PY8" s="26"/>
      <c r="PZ8" s="28"/>
      <c r="QA8" s="28"/>
      <c r="QB8" s="28"/>
      <c r="QC8" s="28"/>
      <c r="QD8" s="28"/>
      <c r="QE8" s="28"/>
      <c r="QF8" s="28"/>
      <c r="QG8" s="28"/>
      <c r="QH8" s="28"/>
      <c r="QI8" s="28"/>
      <c r="QJ8" s="28"/>
      <c r="QK8" s="28"/>
      <c r="QL8" s="28"/>
      <c r="QM8" s="28"/>
      <c r="QN8" s="28"/>
      <c r="QO8" s="28"/>
      <c r="QP8" s="28"/>
      <c r="QQ8" s="28"/>
      <c r="QR8" s="28"/>
      <c r="QS8" s="28"/>
      <c r="QT8" s="28"/>
      <c r="QU8" s="28"/>
      <c r="QV8" s="28"/>
      <c r="QW8" s="28"/>
      <c r="QX8" s="28"/>
      <c r="QY8" s="28"/>
      <c r="QZ8" s="28"/>
      <c r="RA8" s="28"/>
      <c r="RB8" s="28"/>
      <c r="RC8" s="28"/>
      <c r="RD8" s="28"/>
      <c r="RE8" s="28"/>
      <c r="RF8" s="28"/>
      <c r="RG8" s="28"/>
      <c r="RH8" s="28"/>
      <c r="RI8" s="28"/>
      <c r="RJ8" s="28"/>
      <c r="RK8" s="28"/>
      <c r="RL8" s="28"/>
      <c r="RM8" s="28"/>
      <c r="RN8" s="28"/>
      <c r="RO8" s="28"/>
      <c r="RP8" s="28"/>
      <c r="RQ8" s="28"/>
      <c r="RR8" s="28"/>
      <c r="RS8" s="28"/>
      <c r="RT8" s="28"/>
      <c r="RU8" s="28"/>
      <c r="RV8" s="28"/>
      <c r="RW8" s="28"/>
      <c r="RX8" s="28"/>
      <c r="RY8" s="28"/>
      <c r="RZ8" s="28"/>
      <c r="SA8" s="28"/>
      <c r="SB8" s="28"/>
      <c r="SC8" s="28"/>
      <c r="SD8" s="28"/>
      <c r="SE8" s="28"/>
      <c r="SF8" s="28"/>
      <c r="SG8" s="28"/>
      <c r="SH8" s="28"/>
      <c r="SI8" s="28"/>
      <c r="SJ8" s="28"/>
      <c r="SK8" s="28"/>
      <c r="SL8" s="28"/>
      <c r="SM8" s="28"/>
      <c r="SN8" s="28"/>
      <c r="SO8" s="28"/>
      <c r="SP8" s="28"/>
      <c r="SQ8" s="28"/>
      <c r="SR8" s="28"/>
      <c r="SS8" s="28"/>
      <c r="ST8" s="28"/>
      <c r="SU8" s="28"/>
      <c r="SV8" s="28"/>
      <c r="SW8" s="28"/>
      <c r="SX8" s="28"/>
      <c r="SY8" s="28"/>
      <c r="SZ8" s="28"/>
      <c r="TA8" s="28"/>
      <c r="TB8" s="28"/>
      <c r="TC8" s="28"/>
      <c r="TD8" s="28"/>
      <c r="TE8" s="28"/>
      <c r="TF8" s="28"/>
      <c r="TG8" s="28"/>
      <c r="TH8" s="28"/>
      <c r="TI8" s="28"/>
      <c r="TJ8" s="28"/>
      <c r="TK8" s="28"/>
      <c r="TL8" s="28"/>
      <c r="TM8" s="32"/>
      <c r="TN8" s="28"/>
      <c r="TO8" s="28"/>
      <c r="TP8" s="28"/>
      <c r="TQ8" s="28"/>
      <c r="TR8" s="28"/>
      <c r="TS8" s="28"/>
      <c r="TT8" s="28"/>
      <c r="TU8" s="28"/>
      <c r="TV8" s="28"/>
      <c r="TW8" s="28"/>
      <c r="TX8" s="28"/>
      <c r="TY8" s="28"/>
      <c r="TZ8" s="28"/>
      <c r="UA8" s="28"/>
      <c r="UB8" s="28"/>
      <c r="UC8" s="28"/>
      <c r="UD8" s="28"/>
      <c r="UE8" s="28"/>
      <c r="UF8" s="170">
        <v>1</v>
      </c>
      <c r="UG8" s="170">
        <v>1</v>
      </c>
      <c r="UH8" s="170">
        <v>1</v>
      </c>
      <c r="UI8" s="170">
        <v>1</v>
      </c>
      <c r="UJ8" s="170">
        <v>1</v>
      </c>
      <c r="UK8" s="170">
        <v>1</v>
      </c>
      <c r="UL8" s="170">
        <v>1</v>
      </c>
      <c r="UM8" s="170">
        <v>1</v>
      </c>
      <c r="UN8" s="170">
        <v>1</v>
      </c>
      <c r="UO8" s="170">
        <v>1</v>
      </c>
      <c r="UP8" s="170">
        <v>1</v>
      </c>
      <c r="UQ8" s="170">
        <v>1</v>
      </c>
      <c r="UR8" s="170">
        <v>1</v>
      </c>
      <c r="US8" s="170">
        <v>1</v>
      </c>
      <c r="UT8" s="170">
        <v>1</v>
      </c>
      <c r="UU8" s="170">
        <v>1</v>
      </c>
      <c r="UV8" s="170">
        <v>1</v>
      </c>
      <c r="UW8" s="28"/>
      <c r="UX8" s="28"/>
      <c r="UY8" s="28"/>
      <c r="UZ8" s="28"/>
      <c r="VA8" s="28"/>
      <c r="VB8" s="28"/>
      <c r="VC8" s="28"/>
      <c r="VD8" s="28"/>
      <c r="VE8" s="28"/>
      <c r="VF8" s="28"/>
      <c r="VG8" s="28"/>
      <c r="VH8" s="28"/>
      <c r="VI8" s="28"/>
      <c r="VJ8" s="28"/>
      <c r="VK8" s="28"/>
      <c r="VL8" s="28"/>
      <c r="VM8" s="28"/>
      <c r="VN8" s="28"/>
      <c r="VO8" s="28"/>
      <c r="VP8" s="28"/>
      <c r="VQ8" s="28"/>
      <c r="VR8" s="28"/>
      <c r="VS8" s="28"/>
      <c r="VT8" s="28"/>
      <c r="VU8" s="28"/>
      <c r="VV8" s="42"/>
      <c r="VW8" s="42"/>
      <c r="VX8" s="42"/>
      <c r="VY8" s="42"/>
      <c r="VZ8" s="42"/>
      <c r="WA8" s="42"/>
      <c r="WB8" s="42"/>
      <c r="WC8" s="42"/>
      <c r="WD8" s="42"/>
      <c r="WE8" s="46"/>
      <c r="WF8" s="26"/>
      <c r="WG8" s="26"/>
      <c r="WH8" s="26"/>
      <c r="WI8" s="26"/>
      <c r="WJ8" s="26"/>
      <c r="WK8" s="26"/>
      <c r="WL8" s="26"/>
      <c r="WM8" s="26"/>
      <c r="WN8" s="26"/>
      <c r="WO8" s="26"/>
      <c r="WP8" s="26"/>
      <c r="WQ8" s="26"/>
      <c r="WR8" s="26"/>
      <c r="WS8" s="26"/>
      <c r="WT8" s="26"/>
      <c r="WU8" s="26"/>
      <c r="WV8" s="26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28"/>
      <c r="XL8" s="44"/>
      <c r="XM8" s="28"/>
      <c r="XN8" s="28"/>
      <c r="XO8" s="28"/>
      <c r="XP8" s="28"/>
      <c r="XQ8" s="28"/>
      <c r="XR8" s="28"/>
      <c r="XS8" s="28"/>
      <c r="XT8" s="28"/>
      <c r="XU8" s="28"/>
      <c r="XV8" s="28"/>
      <c r="XW8" s="28"/>
      <c r="XX8" s="28"/>
      <c r="XY8" s="47"/>
      <c r="XZ8" s="28"/>
      <c r="YA8" s="28"/>
      <c r="YB8" s="28"/>
      <c r="YC8" s="29"/>
      <c r="YD8" s="29"/>
      <c r="YE8" s="48"/>
      <c r="YF8" s="48"/>
      <c r="YG8" s="26"/>
      <c r="YH8" s="26"/>
      <c r="YI8" s="28"/>
      <c r="YJ8" s="28"/>
      <c r="YK8" s="28"/>
      <c r="YL8" s="28"/>
      <c r="YM8" s="28"/>
      <c r="YN8" s="28"/>
      <c r="YO8" s="28"/>
      <c r="YP8" s="28"/>
      <c r="YQ8" s="42"/>
      <c r="YR8" s="42"/>
      <c r="YS8" s="42"/>
      <c r="YT8" s="42"/>
      <c r="YU8" s="28"/>
      <c r="YV8" s="28"/>
      <c r="YW8" s="28"/>
      <c r="YX8" s="28"/>
      <c r="YY8" s="28"/>
      <c r="YZ8" s="28"/>
      <c r="ZA8" s="28"/>
      <c r="ZB8" s="28"/>
      <c r="ZC8" s="28"/>
      <c r="ZD8" s="28"/>
      <c r="ZE8" s="28"/>
      <c r="ZF8" s="28"/>
      <c r="ZG8" s="28"/>
      <c r="ZH8" s="28"/>
      <c r="ZI8" s="28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28"/>
      <c r="AAA8" s="28"/>
      <c r="AAB8" s="28"/>
      <c r="AAC8" s="28"/>
      <c r="AAD8" s="28"/>
      <c r="AAE8" s="28"/>
      <c r="AAF8" s="28"/>
      <c r="AAG8" s="28"/>
      <c r="AAH8" s="28"/>
      <c r="AAI8" s="28"/>
      <c r="AAJ8" s="28"/>
      <c r="AAK8" s="28"/>
      <c r="AAL8" s="28"/>
      <c r="AAM8" s="28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28"/>
      <c r="ABE8" s="28"/>
      <c r="ABF8" s="28"/>
      <c r="ABG8" s="28"/>
      <c r="ABH8" s="28"/>
      <c r="ABI8" s="28"/>
      <c r="ABJ8" s="28"/>
      <c r="ABK8" s="28"/>
      <c r="ABL8" s="28"/>
      <c r="ABM8" s="28"/>
      <c r="ABN8" s="28"/>
      <c r="ABO8" s="28"/>
      <c r="ABP8" s="28"/>
      <c r="ABQ8" s="28"/>
      <c r="ABR8" s="28"/>
    </row>
    <row r="9" spans="1:746" customFormat="1" x14ac:dyDescent="0.3">
      <c r="A9" s="18">
        <v>6</v>
      </c>
      <c r="B9" s="182" t="s">
        <v>17</v>
      </c>
      <c r="C9" s="184" t="s">
        <v>105</v>
      </c>
      <c r="D9" s="184" t="s">
        <v>49</v>
      </c>
      <c r="E9" s="21">
        <v>45839</v>
      </c>
      <c r="F9" s="21">
        <v>45851</v>
      </c>
      <c r="G9" s="21">
        <f t="shared" si="0"/>
        <v>45941</v>
      </c>
      <c r="H9" s="22"/>
      <c r="I9" s="22"/>
      <c r="J9" s="22"/>
      <c r="K9" s="185" t="s">
        <v>19</v>
      </c>
      <c r="L9" s="23">
        <f t="shared" ca="1" si="1"/>
        <v>13.2</v>
      </c>
      <c r="M9" s="23"/>
      <c r="N9" s="50">
        <v>46014</v>
      </c>
      <c r="O9" s="50">
        <v>46030</v>
      </c>
      <c r="P9" s="24">
        <f>SUM(O9-N9+1)</f>
        <v>17</v>
      </c>
      <c r="Q9" s="33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3"/>
      <c r="AJ9" s="23"/>
      <c r="AK9" s="23"/>
      <c r="AL9" s="23"/>
      <c r="AM9" s="23"/>
      <c r="AN9" s="23"/>
      <c r="AO9" s="23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40"/>
      <c r="BR9" s="41"/>
      <c r="BS9" s="26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26"/>
      <c r="CG9" s="26"/>
      <c r="CH9" s="26"/>
      <c r="CI9" s="26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42"/>
      <c r="HV9" s="42"/>
      <c r="HW9" s="42"/>
      <c r="HX9" s="42"/>
      <c r="HY9" s="42"/>
      <c r="HZ9" s="42"/>
      <c r="IA9" s="42"/>
      <c r="IB9" s="42"/>
      <c r="IC9" s="42"/>
      <c r="ID9" s="46"/>
      <c r="IE9" s="42"/>
      <c r="IF9" s="42"/>
      <c r="IG9" s="42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1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47"/>
      <c r="JY9" s="28"/>
      <c r="JZ9" s="28"/>
      <c r="KA9" s="28"/>
      <c r="KB9" s="29"/>
      <c r="KC9" s="29"/>
      <c r="KD9" s="48"/>
      <c r="KE9" s="48"/>
      <c r="KF9" s="26"/>
      <c r="KG9" s="26"/>
      <c r="KH9" s="28"/>
      <c r="KI9" s="28"/>
      <c r="KJ9" s="28"/>
      <c r="KK9" s="28"/>
      <c r="KL9" s="28"/>
      <c r="KM9" s="28"/>
      <c r="KN9" s="28"/>
      <c r="KO9" s="28"/>
      <c r="KP9" s="42"/>
      <c r="KQ9" s="42"/>
      <c r="KR9" s="42"/>
      <c r="KS9" s="42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28"/>
      <c r="ND9" s="28"/>
      <c r="NE9" s="28"/>
      <c r="NF9" s="28"/>
      <c r="NG9" s="28"/>
      <c r="NH9" s="28"/>
      <c r="NI9" s="28"/>
      <c r="NJ9" s="28"/>
      <c r="NK9" s="28"/>
      <c r="NL9" s="175"/>
      <c r="NM9" s="175"/>
      <c r="NN9" s="175"/>
      <c r="NO9" s="175"/>
      <c r="NP9" s="175"/>
      <c r="NQ9" s="175"/>
      <c r="NR9" s="175"/>
      <c r="NS9" s="175"/>
      <c r="NT9" s="175"/>
      <c r="NU9" s="175"/>
      <c r="NV9" s="175"/>
      <c r="NW9" s="175"/>
      <c r="NX9" s="175"/>
      <c r="NY9" s="175"/>
      <c r="NZ9" s="175"/>
      <c r="OA9" s="175"/>
      <c r="OB9" s="175"/>
      <c r="OC9" s="42"/>
      <c r="OD9" s="42"/>
      <c r="OE9" s="26"/>
      <c r="OF9" s="26"/>
      <c r="OG9" s="26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6"/>
      <c r="OX9" s="26"/>
      <c r="OY9" s="26"/>
      <c r="OZ9" s="26"/>
      <c r="PA9" s="26"/>
      <c r="PB9" s="42"/>
      <c r="PC9" s="42"/>
      <c r="PD9" s="42"/>
      <c r="PE9" s="42"/>
      <c r="PF9" s="42"/>
      <c r="PG9" s="42"/>
      <c r="PH9" s="26"/>
      <c r="PI9" s="26"/>
      <c r="PJ9" s="26"/>
      <c r="PK9" s="26"/>
      <c r="PL9" s="26"/>
      <c r="PM9" s="26"/>
      <c r="PN9" s="26"/>
      <c r="PO9" s="26"/>
      <c r="PP9" s="26"/>
      <c r="PQ9" s="26"/>
      <c r="PR9" s="26"/>
      <c r="PS9" s="26"/>
      <c r="PT9" s="26"/>
      <c r="PU9" s="26"/>
      <c r="PV9" s="26"/>
      <c r="PW9" s="26"/>
      <c r="PX9" s="26"/>
      <c r="PY9" s="26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170">
        <v>1</v>
      </c>
      <c r="TG9" s="170">
        <v>1</v>
      </c>
      <c r="TH9" s="170">
        <v>1</v>
      </c>
      <c r="TI9" s="170">
        <v>1</v>
      </c>
      <c r="TJ9" s="170">
        <v>1</v>
      </c>
      <c r="TK9" s="170">
        <v>1</v>
      </c>
      <c r="TL9" s="170">
        <v>1</v>
      </c>
      <c r="TM9" s="170">
        <v>1</v>
      </c>
      <c r="TN9" s="170">
        <v>1</v>
      </c>
      <c r="TO9" s="170">
        <v>1</v>
      </c>
      <c r="TP9" s="170">
        <v>1</v>
      </c>
      <c r="TQ9" s="170">
        <v>1</v>
      </c>
      <c r="TR9" s="170">
        <v>1</v>
      </c>
      <c r="TS9" s="170">
        <v>1</v>
      </c>
      <c r="TT9" s="170">
        <v>1</v>
      </c>
      <c r="TU9" s="170">
        <v>1</v>
      </c>
      <c r="TV9" s="170">
        <v>1</v>
      </c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42"/>
      <c r="VW9" s="42"/>
      <c r="VX9" s="42"/>
      <c r="VY9" s="42"/>
      <c r="VZ9" s="42"/>
      <c r="WA9" s="42"/>
      <c r="WB9" s="42"/>
      <c r="WC9" s="42"/>
      <c r="WD9" s="42"/>
      <c r="WE9" s="46"/>
      <c r="WF9" s="26"/>
      <c r="WG9" s="26"/>
      <c r="WH9" s="26"/>
      <c r="WI9" s="26"/>
      <c r="WJ9" s="26"/>
      <c r="WK9" s="26"/>
      <c r="WL9" s="26"/>
      <c r="WM9" s="26"/>
      <c r="WN9" s="26"/>
      <c r="WO9" s="26"/>
      <c r="WP9" s="26"/>
      <c r="WQ9" s="26"/>
      <c r="WR9" s="26"/>
      <c r="WS9" s="26"/>
      <c r="WT9" s="26"/>
      <c r="WU9" s="26"/>
      <c r="WV9" s="26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28"/>
      <c r="XL9" s="44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47"/>
      <c r="XZ9" s="28"/>
      <c r="YA9" s="28"/>
      <c r="YB9" s="28"/>
      <c r="YC9" s="29"/>
      <c r="YD9" s="29"/>
      <c r="YE9" s="48"/>
      <c r="YF9" s="48"/>
      <c r="YG9" s="26"/>
      <c r="YH9" s="26"/>
      <c r="YI9" s="28"/>
      <c r="YJ9" s="28"/>
      <c r="YK9" s="28"/>
      <c r="YL9" s="28"/>
      <c r="YM9" s="28"/>
      <c r="YN9" s="28"/>
      <c r="YO9" s="28"/>
      <c r="YP9" s="28"/>
      <c r="YQ9" s="42"/>
      <c r="YR9" s="42"/>
      <c r="YS9" s="42"/>
      <c r="YT9" s="42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</row>
    <row r="10" spans="1:746" customFormat="1" x14ac:dyDescent="0.3">
      <c r="A10" s="18">
        <v>7</v>
      </c>
      <c r="B10" s="2" t="s">
        <v>17</v>
      </c>
      <c r="C10" s="49" t="s">
        <v>27</v>
      </c>
      <c r="D10" s="49" t="s">
        <v>28</v>
      </c>
      <c r="E10" s="21">
        <v>45698</v>
      </c>
      <c r="F10" s="21">
        <v>45708</v>
      </c>
      <c r="G10" s="21">
        <f t="shared" si="0"/>
        <v>45798</v>
      </c>
      <c r="H10" s="22"/>
      <c r="I10" s="22"/>
      <c r="J10" s="22"/>
      <c r="K10" s="185" t="s">
        <v>101</v>
      </c>
      <c r="L10" s="23">
        <f t="shared" ca="1" si="1"/>
        <v>25</v>
      </c>
      <c r="M10" s="23">
        <f t="shared" ca="1" si="2"/>
        <v>24</v>
      </c>
      <c r="N10" s="174"/>
      <c r="O10" s="174"/>
      <c r="P10" s="24">
        <v>1</v>
      </c>
      <c r="Q10" s="33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3"/>
      <c r="AJ10" s="23"/>
      <c r="AK10" s="23"/>
      <c r="AL10" s="23"/>
      <c r="AM10" s="23"/>
      <c r="AN10" s="23"/>
      <c r="AO10" s="23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40"/>
      <c r="BR10" s="41"/>
      <c r="BS10" s="26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26"/>
      <c r="CG10" s="26"/>
      <c r="CH10" s="26"/>
      <c r="CI10" s="26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42"/>
      <c r="HV10" s="42"/>
      <c r="HW10" s="42"/>
      <c r="HX10" s="42"/>
      <c r="HY10" s="42"/>
      <c r="HZ10" s="42"/>
      <c r="IA10" s="42"/>
      <c r="IB10" s="42"/>
      <c r="IC10" s="42"/>
      <c r="ID10" s="46"/>
      <c r="IE10" s="42"/>
      <c r="IF10" s="42"/>
      <c r="IG10" s="42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1"/>
      <c r="JJ10" s="28"/>
      <c r="JK10" s="28"/>
      <c r="JL10" s="28"/>
      <c r="JM10" s="28"/>
      <c r="JN10" s="28"/>
      <c r="JO10" s="28"/>
      <c r="JP10" s="28"/>
      <c r="JQ10" s="28"/>
      <c r="JR10" s="28"/>
      <c r="JS10" s="28"/>
      <c r="JT10" s="28"/>
      <c r="JU10" s="28"/>
      <c r="JV10" s="28"/>
      <c r="JW10" s="28"/>
      <c r="JX10" s="47"/>
      <c r="JY10" s="28"/>
      <c r="JZ10" s="28"/>
      <c r="KA10" s="28"/>
      <c r="KB10" s="29"/>
      <c r="KC10" s="29"/>
      <c r="KD10" s="48"/>
      <c r="KE10" s="48"/>
      <c r="KF10" s="26"/>
      <c r="KG10" s="26"/>
      <c r="KH10" s="28"/>
      <c r="KI10" s="28"/>
      <c r="KJ10" s="28"/>
      <c r="KK10" s="28"/>
      <c r="KL10" s="28"/>
      <c r="KM10" s="28"/>
      <c r="KN10" s="28"/>
      <c r="KO10" s="28"/>
      <c r="KP10" s="42"/>
      <c r="KQ10" s="42"/>
      <c r="KR10" s="42"/>
      <c r="KS10" s="42"/>
      <c r="KT10" s="28"/>
      <c r="KU10" s="28"/>
      <c r="KV10" s="28"/>
      <c r="KW10" s="28"/>
      <c r="KX10" s="28"/>
      <c r="KY10" s="28"/>
      <c r="KZ10" s="28"/>
      <c r="LA10" s="28"/>
      <c r="LB10" s="28"/>
      <c r="LC10" s="28"/>
      <c r="LD10" s="28"/>
      <c r="LE10" s="28"/>
      <c r="LF10" s="28"/>
      <c r="LG10" s="28"/>
      <c r="LH10" s="28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28"/>
      <c r="LZ10" s="28"/>
      <c r="MA10" s="28"/>
      <c r="MB10" s="28"/>
      <c r="MC10" s="28"/>
      <c r="MD10" s="28"/>
      <c r="ME10" s="28"/>
      <c r="MF10" s="28"/>
      <c r="MG10" s="28"/>
      <c r="MH10" s="28"/>
      <c r="MI10" s="28"/>
      <c r="MJ10" s="28"/>
      <c r="MK10" s="28"/>
      <c r="ML10" s="28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28"/>
      <c r="ND10" s="28"/>
      <c r="NE10" s="28"/>
      <c r="NF10" s="28"/>
      <c r="NG10" s="28"/>
      <c r="NH10" s="28"/>
      <c r="NI10" s="28"/>
      <c r="NJ10" s="28"/>
      <c r="NK10" s="28"/>
      <c r="NL10" s="28"/>
      <c r="NM10" s="28"/>
      <c r="NN10" s="28"/>
      <c r="NO10" s="28"/>
      <c r="NP10" s="28"/>
      <c r="NQ10" s="28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26"/>
      <c r="OF10" s="26"/>
      <c r="OG10" s="26"/>
      <c r="OH10" s="28"/>
      <c r="OI10" s="28"/>
      <c r="OJ10" s="28"/>
      <c r="OK10" s="28"/>
      <c r="OL10" s="28"/>
      <c r="OM10" s="28"/>
      <c r="ON10" s="28"/>
      <c r="OO10" s="28"/>
      <c r="OP10" s="28"/>
      <c r="OQ10" s="28"/>
      <c r="OR10" s="28"/>
      <c r="OS10" s="28"/>
      <c r="OT10" s="28"/>
      <c r="OU10" s="28"/>
      <c r="OV10" s="28"/>
      <c r="OW10" s="26"/>
      <c r="OX10" s="26"/>
      <c r="OY10" s="26"/>
      <c r="OZ10" s="26"/>
      <c r="PA10" s="26"/>
      <c r="PB10" s="42"/>
      <c r="PC10" s="42"/>
      <c r="PD10" s="42"/>
      <c r="PE10" s="42"/>
      <c r="PF10" s="42"/>
      <c r="PG10" s="42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  <c r="PS10" s="26"/>
      <c r="PT10" s="26"/>
      <c r="PU10" s="26"/>
      <c r="PV10" s="26"/>
      <c r="PW10" s="26"/>
      <c r="PX10" s="26"/>
      <c r="PY10" s="26"/>
      <c r="PZ10" s="28"/>
      <c r="QA10" s="28"/>
      <c r="QB10" s="28"/>
      <c r="QC10" s="28"/>
      <c r="QD10" s="28"/>
      <c r="QE10" s="28"/>
      <c r="QF10" s="28"/>
      <c r="QG10" s="28"/>
      <c r="QH10" s="28"/>
      <c r="QI10" s="28"/>
      <c r="QJ10" s="28"/>
      <c r="QK10" s="28"/>
      <c r="QL10" s="28"/>
      <c r="QM10" s="28"/>
      <c r="QN10" s="28"/>
      <c r="QO10" s="28"/>
      <c r="QP10" s="28"/>
      <c r="QQ10" s="28"/>
      <c r="QR10" s="28"/>
      <c r="QS10" s="28"/>
      <c r="QT10" s="28"/>
      <c r="QU10" s="28"/>
      <c r="QV10" s="28"/>
      <c r="QW10" s="28"/>
      <c r="QX10" s="28"/>
      <c r="QY10" s="28"/>
      <c r="QZ10" s="28"/>
      <c r="RA10" s="28"/>
      <c r="RB10" s="28"/>
      <c r="RC10" s="28"/>
      <c r="RD10" s="28"/>
      <c r="RE10" s="28"/>
      <c r="RF10" s="28"/>
      <c r="RG10" s="28"/>
      <c r="RH10" s="28"/>
      <c r="RI10" s="28"/>
      <c r="RJ10" s="28"/>
      <c r="RK10" s="28"/>
      <c r="RL10" s="28"/>
      <c r="RM10" s="28"/>
      <c r="RN10" s="28"/>
      <c r="RO10" s="28"/>
      <c r="RP10" s="28"/>
      <c r="RQ10" s="28"/>
      <c r="RR10" s="28"/>
      <c r="RS10" s="28"/>
      <c r="RT10" s="28"/>
      <c r="RU10" s="28"/>
      <c r="RV10" s="28"/>
      <c r="RW10" s="28"/>
      <c r="RX10" s="28"/>
      <c r="RY10" s="28"/>
      <c r="RZ10" s="28"/>
      <c r="SA10" s="28"/>
      <c r="SB10" s="28"/>
      <c r="SC10" s="28"/>
      <c r="SD10" s="28"/>
      <c r="SE10" s="28"/>
      <c r="SF10" s="28"/>
      <c r="SG10" s="28"/>
      <c r="SH10" s="28"/>
      <c r="SI10" s="28"/>
      <c r="SJ10" s="28"/>
      <c r="SK10" s="28"/>
      <c r="SL10" s="28"/>
      <c r="SM10" s="28"/>
      <c r="SN10" s="28"/>
      <c r="SO10" s="28"/>
      <c r="SP10" s="28"/>
      <c r="SQ10" s="28"/>
      <c r="SR10" s="28"/>
      <c r="SS10" s="28"/>
      <c r="ST10" s="28"/>
      <c r="SU10" s="28"/>
      <c r="SV10" s="28"/>
      <c r="SW10" s="28"/>
      <c r="SX10" s="28"/>
      <c r="SY10" s="28"/>
      <c r="SZ10" s="28"/>
      <c r="TA10" s="28"/>
      <c r="TB10" s="28"/>
      <c r="TC10" s="28"/>
      <c r="TD10" s="28"/>
      <c r="TE10" s="28"/>
      <c r="TF10" s="28"/>
      <c r="TG10" s="28"/>
      <c r="TH10" s="28"/>
      <c r="TI10" s="28"/>
      <c r="TJ10" s="28"/>
      <c r="TK10" s="28"/>
      <c r="TL10" s="28"/>
      <c r="TM10" s="32"/>
      <c r="TN10" s="28"/>
      <c r="TO10" s="28"/>
      <c r="TP10" s="28"/>
      <c r="TQ10" s="28"/>
      <c r="TR10" s="28"/>
      <c r="TS10" s="28"/>
      <c r="TT10" s="28"/>
      <c r="TU10" s="28"/>
      <c r="TV10" s="28"/>
      <c r="TW10" s="28"/>
      <c r="TX10" s="28"/>
      <c r="TY10" s="28"/>
      <c r="TZ10" s="28"/>
      <c r="UA10" s="28"/>
      <c r="UB10" s="28"/>
      <c r="UC10" s="28"/>
      <c r="UD10" s="28"/>
      <c r="UE10" s="28"/>
      <c r="UF10" s="28"/>
      <c r="UG10" s="28"/>
      <c r="UH10" s="28"/>
      <c r="UI10" s="28"/>
      <c r="UJ10" s="28"/>
      <c r="UK10" s="28"/>
      <c r="UL10" s="28"/>
      <c r="UM10" s="28"/>
      <c r="UN10" s="28"/>
      <c r="UO10" s="28"/>
      <c r="UP10" s="28"/>
      <c r="UQ10" s="28"/>
      <c r="UR10" s="28"/>
      <c r="US10" s="28"/>
      <c r="UT10" s="28"/>
      <c r="UU10" s="28"/>
      <c r="UV10" s="28"/>
      <c r="UW10" s="28"/>
      <c r="UX10" s="28"/>
      <c r="UY10" s="28"/>
      <c r="UZ10" s="28"/>
      <c r="VA10" s="28"/>
      <c r="VB10" s="28"/>
      <c r="VC10" s="28"/>
      <c r="VD10" s="28"/>
      <c r="VE10" s="28"/>
      <c r="VF10" s="28"/>
      <c r="VG10" s="28"/>
      <c r="VH10" s="28"/>
      <c r="VI10" s="28"/>
      <c r="VJ10" s="28"/>
      <c r="VK10" s="28"/>
      <c r="VL10" s="28"/>
      <c r="VM10" s="28"/>
      <c r="VN10" s="28"/>
      <c r="VO10" s="28"/>
      <c r="VP10" s="28"/>
      <c r="VQ10" s="28"/>
      <c r="VR10" s="28"/>
      <c r="VS10" s="28"/>
      <c r="VT10" s="28"/>
      <c r="VU10" s="28"/>
      <c r="VV10" s="42"/>
      <c r="VW10" s="42"/>
      <c r="VX10" s="42"/>
      <c r="VY10" s="42"/>
      <c r="VZ10" s="42"/>
      <c r="WA10" s="42"/>
      <c r="WB10" s="42"/>
      <c r="WC10" s="42"/>
      <c r="WD10" s="42"/>
      <c r="WE10" s="46"/>
      <c r="WF10" s="26"/>
      <c r="WG10" s="26"/>
      <c r="WH10" s="26"/>
      <c r="WI10" s="26"/>
      <c r="WJ10" s="26"/>
      <c r="WK10" s="26"/>
      <c r="WL10" s="26"/>
      <c r="WM10" s="26"/>
      <c r="WN10" s="26"/>
      <c r="WO10" s="26"/>
      <c r="WP10" s="26"/>
      <c r="WQ10" s="26"/>
      <c r="WR10" s="26"/>
      <c r="WS10" s="26"/>
      <c r="WT10" s="26"/>
      <c r="WU10" s="26"/>
      <c r="WV10" s="26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28"/>
      <c r="XL10" s="44"/>
      <c r="XM10" s="28"/>
      <c r="XN10" s="28"/>
      <c r="XO10" s="28"/>
      <c r="XP10" s="28"/>
      <c r="XQ10" s="28"/>
      <c r="XR10" s="28"/>
      <c r="XS10" s="28"/>
      <c r="XT10" s="28"/>
      <c r="XU10" s="28"/>
      <c r="XV10" s="28"/>
      <c r="XW10" s="28"/>
      <c r="XX10" s="28"/>
      <c r="XY10" s="47"/>
      <c r="XZ10" s="28"/>
      <c r="YA10" s="28"/>
      <c r="YB10" s="28"/>
      <c r="YC10" s="29"/>
      <c r="YD10" s="29"/>
      <c r="YE10" s="48"/>
      <c r="YF10" s="48"/>
      <c r="YG10" s="26"/>
      <c r="YH10" s="26"/>
      <c r="YI10" s="28"/>
      <c r="YJ10" s="28"/>
      <c r="YK10" s="28"/>
      <c r="YL10" s="28"/>
      <c r="YM10" s="28"/>
      <c r="YN10" s="28"/>
      <c r="YO10" s="28"/>
      <c r="YP10" s="28"/>
      <c r="YQ10" s="42"/>
      <c r="YR10" s="42"/>
      <c r="YS10" s="42"/>
      <c r="YT10" s="42"/>
      <c r="YU10" s="28"/>
      <c r="YV10" s="28"/>
      <c r="YW10" s="28"/>
      <c r="YX10" s="28"/>
      <c r="YY10" s="28"/>
      <c r="YZ10" s="28"/>
      <c r="ZA10" s="28"/>
      <c r="ZB10" s="28"/>
      <c r="ZC10" s="28"/>
      <c r="ZD10" s="28"/>
      <c r="ZE10" s="28"/>
      <c r="ZF10" s="28"/>
      <c r="ZG10" s="28"/>
      <c r="ZH10" s="28"/>
      <c r="ZI10" s="28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28"/>
      <c r="AAA10" s="28"/>
      <c r="AAB10" s="28"/>
      <c r="AAC10" s="28"/>
      <c r="AAD10" s="28"/>
      <c r="AAE10" s="28"/>
      <c r="AAF10" s="28"/>
      <c r="AAG10" s="28"/>
      <c r="AAH10" s="28"/>
      <c r="AAI10" s="28"/>
      <c r="AAJ10" s="28"/>
      <c r="AAK10" s="28"/>
      <c r="AAL10" s="28"/>
      <c r="AAM10" s="28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28"/>
      <c r="ABE10" s="28"/>
      <c r="ABF10" s="28"/>
      <c r="ABG10" s="28"/>
      <c r="ABH10" s="28"/>
      <c r="ABI10" s="28"/>
      <c r="ABJ10" s="28"/>
      <c r="ABK10" s="28"/>
      <c r="ABL10" s="28"/>
      <c r="ABM10" s="28"/>
      <c r="ABN10" s="28"/>
      <c r="ABO10" s="28"/>
      <c r="ABP10" s="28"/>
      <c r="ABQ10" s="28"/>
      <c r="ABR10" s="28"/>
    </row>
    <row r="11" spans="1:746" customFormat="1" x14ac:dyDescent="0.3">
      <c r="A11" s="18">
        <v>8</v>
      </c>
      <c r="B11" s="2" t="s">
        <v>17</v>
      </c>
      <c r="C11" s="38" t="s">
        <v>29</v>
      </c>
      <c r="D11" s="38" t="s">
        <v>30</v>
      </c>
      <c r="E11" s="21">
        <v>45698</v>
      </c>
      <c r="F11" s="21">
        <v>45708</v>
      </c>
      <c r="G11" s="21">
        <f t="shared" si="0"/>
        <v>45798</v>
      </c>
      <c r="H11" s="22">
        <v>45851</v>
      </c>
      <c r="I11" s="22"/>
      <c r="J11" s="22"/>
      <c r="K11" s="191" t="s">
        <v>19</v>
      </c>
      <c r="L11" s="23">
        <f ca="1">IF(F11=0,"NA",ROUND(($L$1-F11+1)/365*30,1))</f>
        <v>25</v>
      </c>
      <c r="M11" s="23">
        <f ca="1">IF(L11="NA",0,L11-P11)</f>
        <v>8</v>
      </c>
      <c r="N11" s="96">
        <v>45975</v>
      </c>
      <c r="O11" s="96">
        <v>45991</v>
      </c>
      <c r="P11" s="97">
        <f>SUM(O11-N11+1)</f>
        <v>17</v>
      </c>
      <c r="Q11" s="33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3"/>
      <c r="AJ11" s="23"/>
      <c r="AK11" s="23"/>
      <c r="AL11" s="23"/>
      <c r="AM11" s="23"/>
      <c r="AN11" s="23"/>
      <c r="AO11" s="23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40"/>
      <c r="BR11" s="41"/>
      <c r="BS11" s="26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26"/>
      <c r="CG11" s="26"/>
      <c r="CH11" s="26"/>
      <c r="CI11" s="26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42"/>
      <c r="HV11" s="42"/>
      <c r="HW11" s="42"/>
      <c r="HX11" s="42"/>
      <c r="HY11" s="42"/>
      <c r="HZ11" s="42"/>
      <c r="IA11" s="42"/>
      <c r="IB11" s="42"/>
      <c r="IC11" s="42"/>
      <c r="ID11" s="46"/>
      <c r="IE11" s="42"/>
      <c r="IF11" s="42"/>
      <c r="IG11" s="42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1"/>
      <c r="JJ11" s="28"/>
      <c r="JK11" s="28"/>
      <c r="JL11" s="28"/>
      <c r="JM11" s="28"/>
      <c r="JN11" s="28"/>
      <c r="JO11" s="28"/>
      <c r="JP11" s="28"/>
      <c r="JQ11" s="28"/>
      <c r="JR11" s="28"/>
      <c r="JS11" s="28"/>
      <c r="JT11" s="28"/>
      <c r="JU11" s="28"/>
      <c r="JV11" s="28"/>
      <c r="JW11" s="28"/>
      <c r="JX11" s="47"/>
      <c r="JY11" s="28"/>
      <c r="JZ11" s="28"/>
      <c r="KA11" s="28"/>
      <c r="KB11" s="29"/>
      <c r="KC11" s="29"/>
      <c r="KD11" s="48"/>
      <c r="KE11" s="48"/>
      <c r="KF11" s="26"/>
      <c r="KG11" s="26"/>
      <c r="KH11" s="28"/>
      <c r="KI11" s="28"/>
      <c r="KJ11" s="28"/>
      <c r="KK11" s="28"/>
      <c r="KL11" s="28"/>
      <c r="KM11" s="28"/>
      <c r="KN11" s="28"/>
      <c r="KO11" s="28"/>
      <c r="KP11" s="42"/>
      <c r="KQ11" s="42"/>
      <c r="KR11" s="42"/>
      <c r="KS11" s="42"/>
      <c r="KT11" s="28"/>
      <c r="KU11" s="28"/>
      <c r="KV11" s="28"/>
      <c r="KW11" s="28"/>
      <c r="KX11" s="28"/>
      <c r="KY11" s="28"/>
      <c r="KZ11" s="28"/>
      <c r="LA11" s="28"/>
      <c r="LB11" s="28"/>
      <c r="LC11" s="28"/>
      <c r="LD11" s="28"/>
      <c r="LE11" s="28"/>
      <c r="LF11" s="28"/>
      <c r="LG11" s="28"/>
      <c r="LH11" s="28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28"/>
      <c r="LZ11" s="28"/>
      <c r="MA11" s="28"/>
      <c r="MB11" s="28"/>
      <c r="MC11" s="28"/>
      <c r="MD11" s="28"/>
      <c r="ME11" s="28"/>
      <c r="MF11" s="28"/>
      <c r="MG11" s="28"/>
      <c r="MH11" s="28"/>
      <c r="MI11" s="52">
        <v>1</v>
      </c>
      <c r="MJ11" s="52">
        <v>1</v>
      </c>
      <c r="MK11" s="52">
        <v>1</v>
      </c>
      <c r="ML11" s="52">
        <v>1</v>
      </c>
      <c r="MM11" s="52">
        <v>1</v>
      </c>
      <c r="MN11" s="52">
        <v>1</v>
      </c>
      <c r="MO11" s="52">
        <v>1</v>
      </c>
      <c r="MP11" s="52">
        <v>1</v>
      </c>
      <c r="MQ11" s="52">
        <v>1</v>
      </c>
      <c r="MR11" s="52">
        <v>1</v>
      </c>
      <c r="MS11" s="52">
        <v>1</v>
      </c>
      <c r="MT11" s="52">
        <v>1</v>
      </c>
      <c r="MU11" s="52">
        <v>1</v>
      </c>
      <c r="MV11" s="52">
        <v>1</v>
      </c>
      <c r="MW11" s="52">
        <v>1</v>
      </c>
      <c r="MX11" s="52">
        <v>1</v>
      </c>
      <c r="MY11" s="52">
        <v>1</v>
      </c>
      <c r="MZ11" s="42"/>
      <c r="NA11" s="42"/>
      <c r="NB11" s="42"/>
      <c r="NC11" s="28"/>
      <c r="ND11" s="28"/>
      <c r="NE11" s="28"/>
      <c r="NF11" s="28"/>
      <c r="NG11" s="28"/>
      <c r="NH11" s="28"/>
      <c r="NI11" s="28"/>
      <c r="NJ11" s="28"/>
      <c r="NK11" s="28"/>
      <c r="NL11" s="28"/>
      <c r="NM11" s="28"/>
      <c r="NN11" s="28"/>
      <c r="NO11" s="28"/>
      <c r="NP11" s="28"/>
      <c r="NQ11" s="28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26"/>
      <c r="OF11" s="26"/>
      <c r="OG11" s="26"/>
      <c r="OH11" s="28"/>
      <c r="OI11" s="28"/>
      <c r="OJ11" s="28"/>
      <c r="OK11" s="28"/>
      <c r="OL11" s="28"/>
      <c r="OM11" s="28"/>
      <c r="ON11" s="28"/>
      <c r="OO11" s="28"/>
      <c r="OP11" s="28"/>
      <c r="OQ11" s="28"/>
      <c r="OR11" s="28"/>
      <c r="OS11" s="28"/>
      <c r="OT11" s="28"/>
      <c r="OU11" s="28"/>
      <c r="OV11" s="28"/>
      <c r="OW11" s="26"/>
      <c r="OX11" s="26"/>
      <c r="OY11" s="26"/>
      <c r="OZ11" s="26"/>
      <c r="PA11" s="26"/>
      <c r="PB11" s="42"/>
      <c r="PC11" s="42"/>
      <c r="PD11" s="42"/>
      <c r="PE11" s="42"/>
      <c r="PF11" s="42"/>
      <c r="PG11" s="42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  <c r="PS11" s="26"/>
      <c r="PT11" s="26"/>
      <c r="PU11" s="26"/>
      <c r="PV11" s="26"/>
      <c r="PW11" s="26"/>
      <c r="PX11" s="26"/>
      <c r="PY11" s="26"/>
      <c r="PZ11" s="28"/>
      <c r="QA11" s="28"/>
      <c r="QB11" s="28"/>
      <c r="QC11" s="28"/>
      <c r="QD11" s="28"/>
      <c r="QE11" s="28"/>
      <c r="QF11" s="28"/>
      <c r="QG11" s="28"/>
      <c r="QH11" s="28"/>
      <c r="QI11" s="28"/>
      <c r="QJ11" s="28"/>
      <c r="QK11" s="28"/>
      <c r="QL11" s="28"/>
      <c r="QM11" s="28"/>
      <c r="QN11" s="28"/>
      <c r="QO11" s="28"/>
      <c r="QP11" s="28"/>
      <c r="QQ11" s="28"/>
      <c r="QR11" s="28"/>
      <c r="QS11" s="28"/>
      <c r="QT11" s="28"/>
      <c r="QU11" s="28"/>
      <c r="QV11" s="28"/>
      <c r="QW11" s="28"/>
      <c r="QX11" s="28"/>
      <c r="QY11" s="28"/>
      <c r="QZ11" s="28"/>
      <c r="RA11" s="28"/>
      <c r="RB11" s="28"/>
      <c r="RC11" s="28"/>
      <c r="RD11" s="28"/>
      <c r="RE11" s="28"/>
      <c r="RF11" s="28"/>
      <c r="RG11" s="28"/>
      <c r="RH11" s="28"/>
      <c r="RI11" s="28"/>
      <c r="RJ11" s="28"/>
      <c r="RK11" s="28"/>
      <c r="RL11" s="28"/>
      <c r="RM11" s="28"/>
      <c r="RN11" s="28"/>
      <c r="RO11" s="28"/>
      <c r="RP11" s="28"/>
      <c r="RQ11" s="28"/>
      <c r="RR11" s="28"/>
      <c r="RS11" s="172">
        <v>1</v>
      </c>
      <c r="RT11" s="172">
        <v>1</v>
      </c>
      <c r="RU11" s="172">
        <v>1</v>
      </c>
      <c r="RV11" s="172">
        <v>1</v>
      </c>
      <c r="RW11" s="172">
        <v>1</v>
      </c>
      <c r="RX11" s="172">
        <v>1</v>
      </c>
      <c r="RY11" s="172">
        <v>1</v>
      </c>
      <c r="RZ11" s="172">
        <v>1</v>
      </c>
      <c r="SA11" s="172">
        <v>1</v>
      </c>
      <c r="SB11" s="172">
        <v>1</v>
      </c>
      <c r="SC11" s="172">
        <v>1</v>
      </c>
      <c r="SD11" s="172">
        <v>1</v>
      </c>
      <c r="SE11" s="172">
        <v>1</v>
      </c>
      <c r="SF11" s="172">
        <v>1</v>
      </c>
      <c r="SG11" s="172">
        <v>1</v>
      </c>
      <c r="SH11" s="172">
        <v>1</v>
      </c>
      <c r="SI11" s="172">
        <v>1</v>
      </c>
      <c r="SJ11" s="28"/>
      <c r="SK11" s="28"/>
      <c r="SL11" s="28"/>
      <c r="SM11" s="28"/>
      <c r="SN11" s="28"/>
      <c r="SO11" s="28"/>
      <c r="SP11" s="28"/>
      <c r="SQ11" s="28"/>
      <c r="SR11" s="28"/>
      <c r="SS11" s="28"/>
      <c r="ST11" s="28"/>
      <c r="SU11" s="28"/>
      <c r="SV11" s="28"/>
      <c r="SW11" s="28"/>
      <c r="SX11" s="28"/>
      <c r="SY11" s="28"/>
      <c r="SZ11" s="28"/>
      <c r="TA11" s="28"/>
      <c r="TB11" s="28"/>
      <c r="TC11" s="28"/>
      <c r="TD11" s="28"/>
      <c r="TE11" s="28"/>
      <c r="TF11" s="28"/>
      <c r="TG11" s="28"/>
      <c r="TH11" s="28"/>
      <c r="TI11" s="28"/>
      <c r="TJ11" s="28"/>
      <c r="TK11" s="28"/>
      <c r="TL11" s="28"/>
      <c r="TM11" s="32"/>
      <c r="TN11" s="28"/>
      <c r="TO11" s="28"/>
      <c r="TP11" s="28"/>
      <c r="TQ11" s="28"/>
      <c r="TR11" s="28"/>
      <c r="TS11" s="28"/>
      <c r="TT11" s="28"/>
      <c r="TU11" s="28"/>
      <c r="TV11" s="28"/>
      <c r="TW11" s="28"/>
      <c r="TX11" s="28"/>
      <c r="TY11" s="28"/>
      <c r="TZ11" s="28"/>
      <c r="UA11" s="28"/>
      <c r="UB11" s="28"/>
      <c r="UC11" s="28"/>
      <c r="UD11" s="28"/>
      <c r="UE11" s="28"/>
      <c r="UF11" s="28"/>
      <c r="UG11" s="28"/>
      <c r="UH11" s="28"/>
      <c r="UI11" s="28"/>
      <c r="UJ11" s="28"/>
      <c r="UK11" s="28"/>
      <c r="UL11" s="28"/>
      <c r="UM11" s="28"/>
      <c r="UN11" s="28"/>
      <c r="UO11" s="28"/>
      <c r="UP11" s="28"/>
      <c r="UQ11" s="28"/>
      <c r="UR11" s="28"/>
      <c r="US11" s="28"/>
      <c r="UT11" s="28"/>
      <c r="UU11" s="28"/>
      <c r="UV11" s="28"/>
      <c r="UW11" s="28"/>
      <c r="UX11" s="28"/>
      <c r="UY11" s="28"/>
      <c r="UZ11" s="28"/>
      <c r="VA11" s="28"/>
      <c r="VB11" s="28"/>
      <c r="VC11" s="28"/>
      <c r="VD11" s="28"/>
      <c r="VE11" s="28"/>
      <c r="VF11" s="28"/>
      <c r="VG11" s="28"/>
      <c r="VH11" s="28"/>
      <c r="VI11" s="28"/>
      <c r="VJ11" s="28"/>
      <c r="VK11" s="28"/>
      <c r="VL11" s="28"/>
      <c r="VM11" s="28"/>
      <c r="VN11" s="28"/>
      <c r="VO11" s="28"/>
      <c r="VP11" s="28"/>
      <c r="VQ11" s="28"/>
      <c r="VR11" s="28"/>
      <c r="VS11" s="28"/>
      <c r="VT11" s="28"/>
      <c r="VU11" s="28"/>
      <c r="VV11" s="42"/>
      <c r="VW11" s="42"/>
      <c r="VX11" s="42"/>
      <c r="VY11" s="42"/>
      <c r="VZ11" s="42"/>
      <c r="WA11" s="42"/>
      <c r="WB11" s="42"/>
      <c r="WC11" s="42"/>
      <c r="WD11" s="42"/>
      <c r="WE11" s="46"/>
      <c r="WF11" s="26"/>
      <c r="WG11" s="26"/>
      <c r="WH11" s="26"/>
      <c r="WI11" s="26"/>
      <c r="WJ11" s="26"/>
      <c r="WK11" s="26"/>
      <c r="WL11" s="26"/>
      <c r="WM11" s="26"/>
      <c r="WN11" s="26"/>
      <c r="WO11" s="26"/>
      <c r="WP11" s="26"/>
      <c r="WQ11" s="26"/>
      <c r="WR11" s="26"/>
      <c r="WS11" s="26"/>
      <c r="WT11" s="26"/>
      <c r="WU11" s="26"/>
      <c r="WV11" s="26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28"/>
      <c r="XL11" s="44"/>
      <c r="XM11" s="28"/>
      <c r="XN11" s="28"/>
      <c r="XO11" s="28"/>
      <c r="XP11" s="28"/>
      <c r="XQ11" s="28"/>
      <c r="XR11" s="28"/>
      <c r="XS11" s="28"/>
      <c r="XT11" s="28"/>
      <c r="XU11" s="28"/>
      <c r="XV11" s="28"/>
      <c r="XW11" s="28"/>
      <c r="XX11" s="28"/>
      <c r="XY11" s="47"/>
      <c r="XZ11" s="28"/>
      <c r="YA11" s="28"/>
      <c r="YB11" s="28"/>
      <c r="YC11" s="29"/>
      <c r="YD11" s="29"/>
      <c r="YE11" s="48"/>
      <c r="YF11" s="48"/>
      <c r="YG11" s="26"/>
      <c r="YH11" s="26"/>
      <c r="YI11" s="28"/>
      <c r="YJ11" s="28"/>
      <c r="YK11" s="28"/>
      <c r="YL11" s="28"/>
      <c r="YM11" s="28"/>
      <c r="YN11" s="28"/>
      <c r="YO11" s="28"/>
      <c r="YP11" s="28"/>
      <c r="YQ11" s="42"/>
      <c r="YR11" s="42"/>
      <c r="YS11" s="42"/>
      <c r="YT11" s="42"/>
      <c r="YU11" s="28"/>
      <c r="YV11" s="28"/>
      <c r="YW11" s="28"/>
      <c r="YX11" s="28"/>
      <c r="YY11" s="28"/>
      <c r="YZ11" s="28"/>
      <c r="ZA11" s="28"/>
      <c r="ZB11" s="28"/>
      <c r="ZC11" s="28"/>
      <c r="ZD11" s="28"/>
      <c r="ZE11" s="28"/>
      <c r="ZF11" s="28"/>
      <c r="ZG11" s="28"/>
      <c r="ZH11" s="28"/>
      <c r="ZI11" s="28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28"/>
      <c r="AAA11" s="28"/>
      <c r="AAB11" s="28"/>
      <c r="AAC11" s="28"/>
      <c r="AAD11" s="28"/>
      <c r="AAE11" s="28"/>
      <c r="AAF11" s="28"/>
      <c r="AAG11" s="28"/>
      <c r="AAH11" s="28"/>
      <c r="AAI11" s="28"/>
      <c r="AAJ11" s="28"/>
      <c r="AAK11" s="28"/>
      <c r="AAL11" s="28"/>
      <c r="AAM11" s="28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28"/>
      <c r="ABE11" s="28"/>
      <c r="ABF11" s="28"/>
      <c r="ABG11" s="28"/>
      <c r="ABH11" s="28"/>
      <c r="ABI11" s="28"/>
      <c r="ABJ11" s="28"/>
      <c r="ABK11" s="28"/>
      <c r="ABL11" s="28"/>
      <c r="ABM11" s="28"/>
      <c r="ABN11" s="28"/>
      <c r="ABO11" s="28"/>
      <c r="ABP11" s="28"/>
      <c r="ABQ11" s="28"/>
      <c r="ABR11" s="28"/>
    </row>
    <row r="12" spans="1:746" customFormat="1" x14ac:dyDescent="0.3">
      <c r="A12" s="18">
        <v>9</v>
      </c>
      <c r="B12" s="2" t="s">
        <v>17</v>
      </c>
      <c r="C12" s="38" t="s">
        <v>32</v>
      </c>
      <c r="D12" s="38" t="s">
        <v>33</v>
      </c>
      <c r="E12" s="21">
        <v>45708</v>
      </c>
      <c r="F12" s="21">
        <v>45739</v>
      </c>
      <c r="G12" s="21">
        <f t="shared" si="0"/>
        <v>45829</v>
      </c>
      <c r="H12" s="22">
        <v>45851</v>
      </c>
      <c r="I12" s="22"/>
      <c r="J12" s="22"/>
      <c r="K12" s="23" t="s">
        <v>19</v>
      </c>
      <c r="L12" s="23">
        <f ca="1">IF(F12=0,"NA",ROUND(($L$1-F12+1)/365*30,1))</f>
        <v>22.4</v>
      </c>
      <c r="M12" s="23">
        <f ca="1">IF(L12="NA",0,L12-P12)</f>
        <v>5.3999999999999986</v>
      </c>
      <c r="N12" s="171">
        <v>45988</v>
      </c>
      <c r="O12" s="171">
        <v>46004</v>
      </c>
      <c r="P12" s="24">
        <f>SUM(O12-N12+1)</f>
        <v>17</v>
      </c>
      <c r="Q12" s="33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3"/>
      <c r="AJ12" s="23"/>
      <c r="AK12" s="23"/>
      <c r="AL12" s="23"/>
      <c r="AM12" s="23"/>
      <c r="AN12" s="23"/>
      <c r="AO12" s="23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40"/>
      <c r="BR12" s="41"/>
      <c r="BS12" s="26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26"/>
      <c r="CG12" s="26"/>
      <c r="CH12" s="26"/>
      <c r="CI12" s="26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42"/>
      <c r="HV12" s="42"/>
      <c r="HW12" s="42"/>
      <c r="HX12" s="42"/>
      <c r="HY12" s="42"/>
      <c r="HZ12" s="42"/>
      <c r="IA12" s="42"/>
      <c r="IB12" s="42"/>
      <c r="IC12" s="42"/>
      <c r="ID12" s="46"/>
      <c r="IE12" s="42"/>
      <c r="IF12" s="42"/>
      <c r="IG12" s="42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32"/>
      <c r="IZ12" s="32"/>
      <c r="JA12" s="32"/>
      <c r="JB12" s="32"/>
      <c r="JC12" s="32"/>
      <c r="JD12" s="32"/>
      <c r="JE12" s="32"/>
      <c r="JF12" s="32"/>
      <c r="JG12" s="32"/>
      <c r="JH12" s="32"/>
      <c r="JI12" s="31"/>
      <c r="JJ12" s="28"/>
      <c r="JK12" s="28"/>
      <c r="JL12" s="28"/>
      <c r="JM12" s="28"/>
      <c r="JN12" s="28"/>
      <c r="JO12" s="28"/>
      <c r="JP12" s="28"/>
      <c r="JQ12" s="28"/>
      <c r="JR12" s="28"/>
      <c r="JS12" s="28"/>
      <c r="JT12" s="28"/>
      <c r="JU12" s="28"/>
      <c r="JV12" s="28"/>
      <c r="JW12" s="28"/>
      <c r="JX12" s="47"/>
      <c r="JY12" s="28"/>
      <c r="JZ12" s="28"/>
      <c r="KA12" s="28"/>
      <c r="KB12" s="29"/>
      <c r="KC12" s="29"/>
      <c r="KD12" s="48"/>
      <c r="KE12" s="48"/>
      <c r="KF12" s="26"/>
      <c r="KG12" s="26"/>
      <c r="KH12" s="28"/>
      <c r="KI12" s="28"/>
      <c r="KJ12" s="28"/>
      <c r="KK12" s="28"/>
      <c r="KL12" s="28"/>
      <c r="KM12" s="28"/>
      <c r="KN12" s="28"/>
      <c r="KO12" s="28"/>
      <c r="KP12" s="42"/>
      <c r="KQ12" s="42"/>
      <c r="KR12" s="42"/>
      <c r="KS12" s="42"/>
      <c r="KT12" s="28"/>
      <c r="KU12" s="28"/>
      <c r="KV12" s="28"/>
      <c r="KW12" s="28"/>
      <c r="KX12" s="28"/>
      <c r="KY12" s="28"/>
      <c r="KZ12" s="28"/>
      <c r="LA12" s="28"/>
      <c r="LB12" s="28"/>
      <c r="LC12" s="28"/>
      <c r="LD12" s="28"/>
      <c r="LE12" s="28"/>
      <c r="LF12" s="28"/>
      <c r="LG12" s="28"/>
      <c r="LH12" s="28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28"/>
      <c r="LZ12" s="28"/>
      <c r="MA12" s="28"/>
      <c r="MB12" s="28"/>
      <c r="MC12" s="28"/>
      <c r="MD12" s="179"/>
      <c r="ME12" s="179"/>
      <c r="MF12" s="179"/>
      <c r="MG12" s="179"/>
      <c r="MH12" s="179"/>
      <c r="MI12" s="52">
        <v>1</v>
      </c>
      <c r="MJ12" s="52">
        <v>1</v>
      </c>
      <c r="MK12" s="52">
        <v>1</v>
      </c>
      <c r="ML12" s="52">
        <v>1</v>
      </c>
      <c r="MM12" s="52">
        <v>1</v>
      </c>
      <c r="MN12" s="52">
        <v>1</v>
      </c>
      <c r="MO12" s="52">
        <v>1</v>
      </c>
      <c r="MP12" s="52">
        <v>1</v>
      </c>
      <c r="MQ12" s="52">
        <v>1</v>
      </c>
      <c r="MR12" s="52">
        <v>1</v>
      </c>
      <c r="MS12" s="52">
        <v>1</v>
      </c>
      <c r="MT12" s="52">
        <v>1</v>
      </c>
      <c r="MU12" s="177">
        <v>1</v>
      </c>
      <c r="MV12" s="177">
        <v>1</v>
      </c>
      <c r="MW12" s="177">
        <v>1</v>
      </c>
      <c r="MX12" s="177">
        <v>1</v>
      </c>
      <c r="MY12" s="177">
        <v>1</v>
      </c>
      <c r="MZ12" s="42"/>
      <c r="NA12" s="42"/>
      <c r="NB12" s="42"/>
      <c r="NC12" s="28"/>
      <c r="ND12" s="28"/>
      <c r="NE12" s="28"/>
      <c r="NF12" s="28"/>
      <c r="NG12" s="28"/>
      <c r="NH12" s="28"/>
      <c r="NI12" s="28"/>
      <c r="NJ12" s="28"/>
      <c r="NK12" s="28"/>
      <c r="NL12" s="28"/>
      <c r="NM12" s="28"/>
      <c r="NN12" s="28"/>
      <c r="NO12" s="28"/>
      <c r="NP12" s="28"/>
      <c r="NQ12" s="28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26"/>
      <c r="OF12" s="26"/>
      <c r="OG12" s="26"/>
      <c r="OH12" s="28"/>
      <c r="OI12" s="28"/>
      <c r="OJ12" s="28"/>
      <c r="OK12" s="28"/>
      <c r="OL12" s="28"/>
      <c r="OM12" s="28"/>
      <c r="ON12" s="28"/>
      <c r="OO12" s="28"/>
      <c r="OP12" s="28"/>
      <c r="OQ12" s="28"/>
      <c r="OR12" s="28"/>
      <c r="OS12" s="28"/>
      <c r="OT12" s="28"/>
      <c r="OU12" s="28"/>
      <c r="OV12" s="28"/>
      <c r="OW12" s="26"/>
      <c r="OX12" s="26"/>
      <c r="OY12" s="26"/>
      <c r="OZ12" s="26"/>
      <c r="PA12" s="26"/>
      <c r="PB12" s="42"/>
      <c r="PC12" s="42"/>
      <c r="PD12" s="42"/>
      <c r="PE12" s="42"/>
      <c r="PF12" s="42"/>
      <c r="PG12" s="42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  <c r="PS12" s="26"/>
      <c r="PT12" s="26"/>
      <c r="PU12" s="26"/>
      <c r="PV12" s="26"/>
      <c r="PW12" s="26"/>
      <c r="PX12" s="26"/>
      <c r="PY12" s="26"/>
      <c r="PZ12" s="28"/>
      <c r="QA12" s="28"/>
      <c r="QB12" s="28"/>
      <c r="QC12" s="28"/>
      <c r="QD12" s="28"/>
      <c r="QE12" s="28"/>
      <c r="QF12" s="28"/>
      <c r="QG12" s="28"/>
      <c r="QH12" s="28"/>
      <c r="QI12" s="28"/>
      <c r="QJ12" s="28"/>
      <c r="QK12" s="28"/>
      <c r="QL12" s="28"/>
      <c r="QM12" s="28"/>
      <c r="QN12" s="28"/>
      <c r="QO12" s="28"/>
      <c r="QP12" s="28"/>
      <c r="QQ12" s="28"/>
      <c r="QR12" s="28"/>
      <c r="QS12" s="28"/>
      <c r="QT12" s="28"/>
      <c r="QU12" s="28"/>
      <c r="QV12" s="28"/>
      <c r="QW12" s="28"/>
      <c r="QX12" s="28"/>
      <c r="QY12" s="28"/>
      <c r="QZ12" s="28"/>
      <c r="RA12" s="28"/>
      <c r="RB12" s="28"/>
      <c r="RC12" s="28"/>
      <c r="RD12" s="28"/>
      <c r="RE12" s="28"/>
      <c r="RF12" s="28"/>
      <c r="RG12" s="28"/>
      <c r="RH12" s="28"/>
      <c r="RI12" s="28"/>
      <c r="RJ12" s="28"/>
      <c r="RK12" s="28"/>
      <c r="RL12" s="28"/>
      <c r="RM12" s="28"/>
      <c r="RN12" s="28"/>
      <c r="RO12" s="28"/>
      <c r="RP12" s="28"/>
      <c r="RQ12" s="28"/>
      <c r="RR12" s="28"/>
      <c r="RS12" s="28"/>
      <c r="RT12" s="28"/>
      <c r="RU12" s="28"/>
      <c r="RV12" s="28"/>
      <c r="RW12" s="28"/>
      <c r="RX12" s="28"/>
      <c r="RY12" s="28"/>
      <c r="RZ12" s="28"/>
      <c r="SA12" s="28"/>
      <c r="SB12" s="28"/>
      <c r="SC12" s="28"/>
      <c r="SD12" s="28"/>
      <c r="SE12" s="28"/>
      <c r="SF12" s="172">
        <v>1</v>
      </c>
      <c r="SG12" s="172">
        <v>1</v>
      </c>
      <c r="SH12" s="172">
        <v>1</v>
      </c>
      <c r="SI12" s="172">
        <v>1</v>
      </c>
      <c r="SJ12" s="172">
        <v>1</v>
      </c>
      <c r="SK12" s="172">
        <v>1</v>
      </c>
      <c r="SL12" s="172">
        <v>1</v>
      </c>
      <c r="SM12" s="172">
        <v>1</v>
      </c>
      <c r="SN12" s="172">
        <v>1</v>
      </c>
      <c r="SO12" s="172">
        <v>1</v>
      </c>
      <c r="SP12" s="172">
        <v>1</v>
      </c>
      <c r="SQ12" s="172">
        <v>1</v>
      </c>
      <c r="SR12" s="172">
        <v>1</v>
      </c>
      <c r="SS12" s="172">
        <v>1</v>
      </c>
      <c r="ST12" s="172">
        <v>1</v>
      </c>
      <c r="SU12" s="172">
        <v>1</v>
      </c>
      <c r="SV12" s="172">
        <v>1</v>
      </c>
      <c r="SW12" s="28"/>
      <c r="SX12" s="28"/>
      <c r="SY12" s="28"/>
      <c r="SZ12" s="28"/>
      <c r="TA12" s="28"/>
      <c r="TB12" s="28"/>
      <c r="TC12" s="28"/>
      <c r="TD12" s="28"/>
      <c r="TE12" s="28"/>
      <c r="TF12" s="28"/>
      <c r="TG12" s="28"/>
      <c r="TH12" s="28"/>
      <c r="TI12" s="28"/>
      <c r="TJ12" s="28"/>
      <c r="TK12" s="28"/>
      <c r="TL12" s="28"/>
      <c r="TM12" s="32"/>
      <c r="TN12" s="28"/>
      <c r="TO12" s="28"/>
      <c r="TP12" s="28"/>
      <c r="TQ12" s="28"/>
      <c r="TR12" s="28"/>
      <c r="TS12" s="28"/>
      <c r="TT12" s="28"/>
      <c r="TU12" s="28"/>
      <c r="TV12" s="28"/>
      <c r="TW12" s="28"/>
      <c r="TX12" s="28"/>
      <c r="TY12" s="28"/>
      <c r="TZ12" s="28"/>
      <c r="UA12" s="28"/>
      <c r="UB12" s="28"/>
      <c r="UC12" s="28"/>
      <c r="UD12" s="28"/>
      <c r="UE12" s="28"/>
      <c r="UF12" s="28"/>
      <c r="UG12" s="28"/>
      <c r="UH12" s="28"/>
      <c r="UI12" s="28"/>
      <c r="UJ12" s="28"/>
      <c r="UK12" s="28"/>
      <c r="UL12" s="28"/>
      <c r="UM12" s="28"/>
      <c r="UN12" s="28"/>
      <c r="UO12" s="28"/>
      <c r="UP12" s="28"/>
      <c r="UQ12" s="28"/>
      <c r="UR12" s="28"/>
      <c r="US12" s="28"/>
      <c r="UT12" s="28"/>
      <c r="UU12" s="28"/>
      <c r="UV12" s="28"/>
      <c r="UW12" s="28"/>
      <c r="UX12" s="28"/>
      <c r="UY12" s="28"/>
      <c r="UZ12" s="28"/>
      <c r="VA12" s="28"/>
      <c r="VB12" s="28"/>
      <c r="VC12" s="28"/>
      <c r="VD12" s="28"/>
      <c r="VE12" s="28"/>
      <c r="VF12" s="28"/>
      <c r="VG12" s="28"/>
      <c r="VH12" s="28"/>
      <c r="VI12" s="28"/>
      <c r="VJ12" s="28"/>
      <c r="VK12" s="28"/>
      <c r="VL12" s="28"/>
      <c r="VM12" s="28"/>
      <c r="VN12" s="28"/>
      <c r="VO12" s="28"/>
      <c r="VP12" s="28"/>
      <c r="VQ12" s="28"/>
      <c r="VR12" s="28"/>
      <c r="VS12" s="28"/>
      <c r="VT12" s="28"/>
      <c r="VU12" s="28"/>
      <c r="VV12" s="42"/>
      <c r="VW12" s="42"/>
      <c r="VX12" s="42"/>
      <c r="VY12" s="42"/>
      <c r="VZ12" s="42"/>
      <c r="WA12" s="42"/>
      <c r="WB12" s="42"/>
      <c r="WC12" s="42"/>
      <c r="WD12" s="42"/>
      <c r="WE12" s="46"/>
      <c r="WF12" s="26"/>
      <c r="WG12" s="26"/>
      <c r="WH12" s="26"/>
      <c r="WI12" s="26"/>
      <c r="WJ12" s="26"/>
      <c r="WK12" s="26"/>
      <c r="WL12" s="26"/>
      <c r="WM12" s="26"/>
      <c r="WN12" s="26"/>
      <c r="WO12" s="26"/>
      <c r="WP12" s="26"/>
      <c r="WQ12" s="26"/>
      <c r="WR12" s="26"/>
      <c r="WS12" s="26"/>
      <c r="WT12" s="26"/>
      <c r="WU12" s="26"/>
      <c r="WV12" s="26"/>
      <c r="WW12" s="32"/>
      <c r="WX12" s="32"/>
      <c r="WY12" s="32"/>
      <c r="WZ12" s="32"/>
      <c r="XA12" s="32"/>
      <c r="XB12" s="32"/>
      <c r="XC12" s="32"/>
      <c r="XD12" s="32"/>
      <c r="XE12" s="32"/>
      <c r="XF12" s="32"/>
      <c r="XG12" s="32"/>
      <c r="XH12" s="32"/>
      <c r="XI12" s="32"/>
      <c r="XJ12" s="32"/>
      <c r="XK12" s="28"/>
      <c r="XL12" s="44"/>
      <c r="XM12" s="28"/>
      <c r="XN12" s="28"/>
      <c r="XO12" s="28"/>
      <c r="XP12" s="28"/>
      <c r="XQ12" s="28"/>
      <c r="XR12" s="28"/>
      <c r="XS12" s="28"/>
      <c r="XT12" s="28"/>
      <c r="XU12" s="28"/>
      <c r="XV12" s="28"/>
      <c r="XW12" s="28"/>
      <c r="XX12" s="28"/>
      <c r="XY12" s="47"/>
      <c r="XZ12" s="28"/>
      <c r="YA12" s="28"/>
      <c r="YB12" s="28"/>
      <c r="YC12" s="29"/>
      <c r="YD12" s="29"/>
      <c r="YE12" s="48"/>
      <c r="YF12" s="48"/>
      <c r="YG12" s="26"/>
      <c r="YH12" s="26"/>
      <c r="YI12" s="28"/>
      <c r="YJ12" s="28"/>
      <c r="YK12" s="28"/>
      <c r="YL12" s="28"/>
      <c r="YM12" s="28"/>
      <c r="YN12" s="28"/>
      <c r="YO12" s="28"/>
      <c r="YP12" s="28"/>
      <c r="YQ12" s="42"/>
      <c r="YR12" s="42"/>
      <c r="YS12" s="42"/>
      <c r="YT12" s="42"/>
      <c r="YU12" s="28"/>
      <c r="YV12" s="28"/>
      <c r="YW12" s="28"/>
      <c r="YX12" s="28"/>
      <c r="YY12" s="28"/>
      <c r="YZ12" s="28"/>
      <c r="ZA12" s="28"/>
      <c r="ZB12" s="28"/>
      <c r="ZC12" s="28"/>
      <c r="ZD12" s="28"/>
      <c r="ZE12" s="28"/>
      <c r="ZF12" s="28"/>
      <c r="ZG12" s="28"/>
      <c r="ZH12" s="28"/>
      <c r="ZI12" s="28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2"/>
      <c r="ZW12" s="42"/>
      <c r="ZX12" s="42"/>
      <c r="ZY12" s="42"/>
      <c r="ZZ12" s="28"/>
      <c r="AAA12" s="28"/>
      <c r="AAB12" s="28"/>
      <c r="AAC12" s="28"/>
      <c r="AAD12" s="28"/>
      <c r="AAE12" s="28"/>
      <c r="AAF12" s="28"/>
      <c r="AAG12" s="28"/>
      <c r="AAH12" s="28"/>
      <c r="AAI12" s="28"/>
      <c r="AAJ12" s="28"/>
      <c r="AAK12" s="28"/>
      <c r="AAL12" s="28"/>
      <c r="AAM12" s="28"/>
      <c r="AAN12" s="42"/>
      <c r="AAO12" s="42"/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28"/>
      <c r="ABE12" s="28"/>
      <c r="ABF12" s="28"/>
      <c r="ABG12" s="28"/>
      <c r="ABH12" s="28"/>
      <c r="ABI12" s="28"/>
      <c r="ABJ12" s="28"/>
      <c r="ABK12" s="28"/>
      <c r="ABL12" s="28"/>
      <c r="ABM12" s="28"/>
      <c r="ABN12" s="28"/>
      <c r="ABO12" s="28"/>
      <c r="ABP12" s="28"/>
      <c r="ABQ12" s="28"/>
      <c r="ABR12" s="28"/>
    </row>
    <row r="13" spans="1:746" customFormat="1" x14ac:dyDescent="0.3">
      <c r="A13" s="18">
        <v>10</v>
      </c>
      <c r="B13" s="2" t="s">
        <v>17</v>
      </c>
      <c r="C13" s="53" t="s">
        <v>34</v>
      </c>
      <c r="D13" s="53" t="s">
        <v>35</v>
      </c>
      <c r="E13" s="21">
        <v>45492</v>
      </c>
      <c r="F13" s="21">
        <v>45492</v>
      </c>
      <c r="G13" s="21">
        <f t="shared" si="0"/>
        <v>45582</v>
      </c>
      <c r="H13" s="22">
        <v>45864</v>
      </c>
      <c r="I13" s="54"/>
      <c r="J13" s="22"/>
      <c r="K13" s="23" t="s">
        <v>102</v>
      </c>
      <c r="L13" s="23">
        <f t="shared" ca="1" si="1"/>
        <v>42.7</v>
      </c>
      <c r="M13" s="23">
        <f t="shared" ca="1" si="2"/>
        <v>25.700000000000003</v>
      </c>
      <c r="N13" s="171">
        <v>46079</v>
      </c>
      <c r="O13" s="171">
        <v>46095</v>
      </c>
      <c r="P13" s="24">
        <f t="shared" ref="P13:P14" si="13">SUM(O13-N13+1)</f>
        <v>17</v>
      </c>
      <c r="Q13" s="25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8"/>
      <c r="CS13" s="28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43">
        <v>1</v>
      </c>
      <c r="FO13" s="43">
        <v>1</v>
      </c>
      <c r="FP13" s="43">
        <v>1</v>
      </c>
      <c r="FQ13" s="43">
        <v>1</v>
      </c>
      <c r="FR13" s="43">
        <v>1</v>
      </c>
      <c r="FS13" s="43">
        <v>1</v>
      </c>
      <c r="FT13" s="43">
        <v>1</v>
      </c>
      <c r="FU13" s="43">
        <v>1</v>
      </c>
      <c r="FV13" s="55">
        <v>1</v>
      </c>
      <c r="FW13" s="55">
        <v>1</v>
      </c>
      <c r="FX13" s="55">
        <v>1</v>
      </c>
      <c r="FY13" s="55">
        <v>1</v>
      </c>
      <c r="FZ13" s="43">
        <v>1</v>
      </c>
      <c r="GA13" s="43">
        <v>1</v>
      </c>
      <c r="GB13" s="43">
        <v>1</v>
      </c>
      <c r="GC13" s="43">
        <v>1</v>
      </c>
      <c r="GD13" s="43">
        <v>1</v>
      </c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44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  <c r="IW13" s="28"/>
      <c r="IX13" s="28"/>
      <c r="IY13" s="28"/>
      <c r="IZ13" s="28"/>
      <c r="JA13" s="28"/>
      <c r="JB13" s="28"/>
      <c r="JC13" s="28"/>
      <c r="JD13" s="28"/>
      <c r="JE13" s="28"/>
      <c r="JF13" s="28"/>
      <c r="JG13" s="28"/>
      <c r="JH13" s="28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47"/>
      <c r="JY13" s="28"/>
      <c r="JZ13" s="28"/>
      <c r="KA13" s="28"/>
      <c r="KB13" s="29"/>
      <c r="KC13" s="29"/>
      <c r="KD13" s="29"/>
      <c r="KE13" s="29"/>
      <c r="KF13" s="28"/>
      <c r="KG13" s="28"/>
      <c r="KH13" s="28"/>
      <c r="KI13" s="28"/>
      <c r="KJ13" s="28"/>
      <c r="KK13" s="28"/>
      <c r="KL13" s="28"/>
      <c r="KM13" s="28"/>
      <c r="KN13" s="28"/>
      <c r="KO13" s="28"/>
      <c r="KP13" s="28"/>
      <c r="KQ13" s="28"/>
      <c r="KR13" s="28"/>
      <c r="KS13" s="28"/>
      <c r="KT13" s="28"/>
      <c r="KU13" s="28"/>
      <c r="KV13" s="28"/>
      <c r="KW13" s="28"/>
      <c r="KX13" s="28"/>
      <c r="KY13" s="28"/>
      <c r="KZ13" s="28"/>
      <c r="LA13" s="28"/>
      <c r="LB13" s="28"/>
      <c r="LC13" s="28"/>
      <c r="LD13" s="28"/>
      <c r="LE13" s="28"/>
      <c r="LF13" s="28"/>
      <c r="LG13" s="28"/>
      <c r="LH13" s="28"/>
      <c r="LI13" s="28"/>
      <c r="LJ13" s="28"/>
      <c r="LK13" s="28"/>
      <c r="LL13" s="28"/>
      <c r="LM13" s="28"/>
      <c r="LN13" s="28"/>
      <c r="LO13" s="28"/>
      <c r="LP13" s="28"/>
      <c r="LQ13" s="28"/>
      <c r="LR13" s="28"/>
      <c r="LS13" s="28"/>
      <c r="LT13" s="28"/>
      <c r="LU13" s="28"/>
      <c r="LV13" s="28"/>
      <c r="LW13" s="28"/>
      <c r="LX13" s="28"/>
      <c r="LY13" s="28"/>
      <c r="LZ13" s="28"/>
      <c r="MA13" s="28"/>
      <c r="MB13" s="28"/>
      <c r="MC13" s="28"/>
      <c r="MD13" s="28"/>
      <c r="ME13" s="28"/>
      <c r="MF13" s="28"/>
      <c r="MG13" s="28"/>
      <c r="MH13" s="28"/>
      <c r="MI13" s="28"/>
      <c r="MJ13" s="28"/>
      <c r="MK13" s="28"/>
      <c r="ML13" s="28"/>
      <c r="MM13" s="28"/>
      <c r="MN13" s="28"/>
      <c r="MO13" s="28"/>
      <c r="MP13" s="28"/>
      <c r="MQ13" s="28"/>
      <c r="MR13" s="28"/>
      <c r="MS13" s="28"/>
      <c r="MT13" s="28"/>
      <c r="MU13" s="28"/>
      <c r="MV13" s="43">
        <v>1</v>
      </c>
      <c r="MW13" s="43">
        <v>1</v>
      </c>
      <c r="MX13" s="43">
        <v>1</v>
      </c>
      <c r="MY13" s="43">
        <v>1</v>
      </c>
      <c r="MZ13" s="43">
        <v>1</v>
      </c>
      <c r="NA13" s="43">
        <v>1</v>
      </c>
      <c r="NB13" s="43">
        <v>1</v>
      </c>
      <c r="NC13" s="43">
        <v>1</v>
      </c>
      <c r="ND13" s="43">
        <v>1</v>
      </c>
      <c r="NE13" s="43">
        <v>1</v>
      </c>
      <c r="NF13" s="43">
        <v>1</v>
      </c>
      <c r="NG13" s="43">
        <v>1</v>
      </c>
      <c r="NH13" s="43">
        <v>1</v>
      </c>
      <c r="NI13" s="43">
        <v>1</v>
      </c>
      <c r="NJ13" s="43">
        <v>1</v>
      </c>
      <c r="NK13" s="43">
        <v>1</v>
      </c>
      <c r="NL13" s="43">
        <v>1</v>
      </c>
      <c r="NM13" s="28"/>
      <c r="NN13" s="28"/>
      <c r="NO13" s="28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28"/>
      <c r="OA13" s="28"/>
      <c r="OB13" s="28"/>
      <c r="OC13" s="28"/>
      <c r="OD13" s="28"/>
      <c r="OE13" s="28"/>
      <c r="OF13" s="28"/>
      <c r="OG13" s="28"/>
      <c r="OH13" s="28"/>
      <c r="OI13" s="28"/>
      <c r="OJ13" s="28"/>
      <c r="OK13" s="28"/>
      <c r="OL13" s="28"/>
      <c r="OM13" s="28"/>
      <c r="ON13" s="28"/>
      <c r="OO13" s="28"/>
      <c r="OP13" s="28"/>
      <c r="OQ13" s="28"/>
      <c r="OR13" s="28"/>
      <c r="OS13" s="28"/>
      <c r="OT13" s="28"/>
      <c r="OU13" s="28"/>
      <c r="OV13" s="28"/>
      <c r="OW13" s="28"/>
      <c r="OX13" s="28"/>
      <c r="OY13" s="28"/>
      <c r="OZ13" s="28"/>
      <c r="PA13" s="28"/>
      <c r="PB13" s="28"/>
      <c r="PC13" s="28"/>
      <c r="PD13" s="28"/>
      <c r="PE13" s="28"/>
      <c r="PF13" s="28"/>
      <c r="PG13" s="28"/>
      <c r="PH13" s="28"/>
      <c r="PI13" s="28"/>
      <c r="PJ13" s="28"/>
      <c r="PK13" s="28"/>
      <c r="PL13" s="28"/>
      <c r="PM13" s="28"/>
      <c r="PN13" s="28"/>
      <c r="PO13" s="28"/>
      <c r="PP13" s="28"/>
      <c r="PQ13" s="28"/>
      <c r="PR13" s="28"/>
      <c r="PS13" s="28"/>
      <c r="PT13" s="28"/>
      <c r="PU13" s="28"/>
      <c r="PV13" s="28"/>
      <c r="PW13" s="28"/>
      <c r="PX13" s="28"/>
      <c r="PY13" s="28"/>
      <c r="PZ13" s="28"/>
      <c r="QA13" s="28"/>
      <c r="QB13" s="28"/>
      <c r="QC13" s="28"/>
      <c r="QD13" s="28"/>
      <c r="QE13" s="28"/>
      <c r="QF13" s="28"/>
      <c r="QG13" s="28"/>
      <c r="QH13" s="28"/>
      <c r="QI13" s="28"/>
      <c r="QJ13" s="28"/>
      <c r="QK13" s="28"/>
      <c r="QL13" s="28"/>
      <c r="QM13" s="28"/>
      <c r="QN13" s="28"/>
      <c r="QO13" s="28"/>
      <c r="QP13" s="28"/>
      <c r="QQ13" s="28"/>
      <c r="QR13" s="28"/>
      <c r="QS13" s="28"/>
      <c r="QT13" s="28"/>
      <c r="QU13" s="28"/>
      <c r="QV13" s="28"/>
      <c r="QW13" s="28"/>
      <c r="QX13" s="28"/>
      <c r="QY13" s="28"/>
      <c r="QZ13" s="28"/>
      <c r="RA13" s="28"/>
      <c r="RB13" s="28"/>
      <c r="RC13" s="28"/>
      <c r="RD13" s="28"/>
      <c r="RE13" s="28"/>
      <c r="RF13" s="28"/>
      <c r="RG13" s="28"/>
      <c r="RH13" s="28"/>
      <c r="RI13" s="28"/>
      <c r="RJ13" s="28"/>
      <c r="RK13" s="28"/>
      <c r="RL13" s="28"/>
      <c r="RM13" s="28"/>
      <c r="RN13" s="28"/>
      <c r="RO13" s="28"/>
      <c r="RP13" s="28"/>
      <c r="RQ13" s="28"/>
      <c r="RR13" s="28"/>
      <c r="RS13" s="28"/>
      <c r="RT13" s="28"/>
      <c r="RU13" s="28"/>
      <c r="RV13" s="28"/>
      <c r="RW13" s="28"/>
      <c r="RX13" s="28"/>
      <c r="RY13" s="28"/>
      <c r="RZ13" s="28"/>
      <c r="SA13" s="28"/>
      <c r="SB13" s="28"/>
      <c r="SC13" s="28"/>
      <c r="SD13" s="28"/>
      <c r="SE13" s="28"/>
      <c r="SF13" s="28"/>
      <c r="SG13" s="28"/>
      <c r="SH13" s="28"/>
      <c r="SI13" s="28"/>
      <c r="SJ13" s="28"/>
      <c r="SK13" s="28"/>
      <c r="SL13" s="28"/>
      <c r="SM13" s="28"/>
      <c r="SN13" s="28"/>
      <c r="SO13" s="28"/>
      <c r="SP13" s="28"/>
      <c r="SQ13" s="28"/>
      <c r="SR13" s="28"/>
      <c r="SS13" s="28"/>
      <c r="ST13" s="28"/>
      <c r="SU13" s="28"/>
      <c r="SV13" s="28"/>
      <c r="SW13" s="28"/>
      <c r="SX13" s="28"/>
      <c r="SY13" s="28"/>
      <c r="SZ13" s="28"/>
      <c r="TA13" s="28"/>
      <c r="TB13" s="28"/>
      <c r="TC13" s="28"/>
      <c r="TD13" s="28"/>
      <c r="TE13" s="28"/>
      <c r="TF13" s="28"/>
      <c r="TG13" s="28"/>
      <c r="TH13" s="28"/>
      <c r="TI13" s="28"/>
      <c r="TJ13" s="28"/>
      <c r="TK13" s="28"/>
      <c r="TL13" s="28"/>
      <c r="TM13" s="32"/>
      <c r="TN13" s="28"/>
      <c r="TO13" s="28"/>
      <c r="TP13" s="28"/>
      <c r="TQ13" s="28"/>
      <c r="TR13" s="28"/>
      <c r="TS13" s="28"/>
      <c r="TT13" s="28"/>
      <c r="TU13" s="28"/>
      <c r="TV13" s="28"/>
      <c r="TW13" s="28"/>
      <c r="TX13" s="28"/>
      <c r="TY13" s="28"/>
      <c r="TZ13" s="28"/>
      <c r="UA13" s="28"/>
      <c r="UB13" s="28"/>
      <c r="UC13" s="28"/>
      <c r="UD13" s="28"/>
      <c r="UE13" s="28"/>
      <c r="UF13" s="28"/>
      <c r="UG13" s="28"/>
      <c r="UH13" s="28"/>
      <c r="UI13" s="28"/>
      <c r="UJ13" s="28"/>
      <c r="UK13" s="28"/>
      <c r="UL13" s="28"/>
      <c r="UM13" s="28"/>
      <c r="UN13" s="28"/>
      <c r="UO13" s="28"/>
      <c r="UP13" s="28"/>
      <c r="UQ13" s="28"/>
      <c r="UR13" s="28"/>
      <c r="US13" s="28"/>
      <c r="UT13" s="28"/>
      <c r="UU13" s="28"/>
      <c r="UV13" s="28"/>
      <c r="UW13" s="28"/>
      <c r="UX13" s="28"/>
      <c r="UY13" s="28"/>
      <c r="UZ13" s="28"/>
      <c r="VA13" s="28"/>
      <c r="VB13" s="28"/>
      <c r="VC13" s="28"/>
      <c r="VD13" s="28"/>
      <c r="VE13" s="28"/>
      <c r="VF13" s="28"/>
      <c r="VG13" s="28"/>
      <c r="VH13" s="28"/>
      <c r="VI13" s="28"/>
      <c r="VJ13" s="28"/>
      <c r="VK13" s="28"/>
      <c r="VL13" s="28"/>
      <c r="VM13" s="28"/>
      <c r="VN13" s="28"/>
      <c r="VO13" s="28"/>
      <c r="VP13" s="28"/>
      <c r="VQ13" s="28"/>
      <c r="VR13" s="28"/>
      <c r="VS13" s="172">
        <v>1</v>
      </c>
      <c r="VT13" s="172">
        <v>1</v>
      </c>
      <c r="VU13" s="172">
        <v>1</v>
      </c>
      <c r="VV13" s="177">
        <v>1</v>
      </c>
      <c r="VW13" s="177">
        <v>1</v>
      </c>
      <c r="VX13" s="177">
        <v>1</v>
      </c>
      <c r="VY13" s="177">
        <v>1</v>
      </c>
      <c r="VZ13" s="177">
        <v>1</v>
      </c>
      <c r="WA13" s="177">
        <v>1</v>
      </c>
      <c r="WB13" s="177">
        <v>1</v>
      </c>
      <c r="WC13" s="177">
        <v>1</v>
      </c>
      <c r="WD13" s="177">
        <v>1</v>
      </c>
      <c r="WE13" s="211">
        <v>1</v>
      </c>
      <c r="WF13" s="172">
        <v>1</v>
      </c>
      <c r="WG13" s="172">
        <v>1</v>
      </c>
      <c r="WH13" s="172">
        <v>1</v>
      </c>
      <c r="WI13" s="172">
        <v>1</v>
      </c>
      <c r="WJ13" s="28"/>
      <c r="WK13" s="28"/>
      <c r="WL13" s="28"/>
      <c r="WM13" s="28"/>
      <c r="WN13" s="28"/>
      <c r="WO13" s="28"/>
      <c r="WP13" s="28"/>
      <c r="WQ13" s="28"/>
      <c r="WR13" s="28"/>
      <c r="WS13" s="28"/>
      <c r="WT13" s="28"/>
      <c r="WU13" s="28"/>
      <c r="WV13" s="28"/>
      <c r="WW13" s="28"/>
      <c r="WX13" s="28"/>
      <c r="WY13" s="28"/>
      <c r="WZ13" s="28"/>
      <c r="XA13" s="28"/>
      <c r="XB13" s="28"/>
      <c r="XC13" s="28"/>
      <c r="XD13" s="28"/>
      <c r="XE13" s="28"/>
      <c r="XF13" s="28"/>
      <c r="XG13" s="28"/>
      <c r="XH13" s="28"/>
      <c r="XI13" s="28"/>
      <c r="XJ13" s="28"/>
      <c r="XK13" s="28"/>
      <c r="XL13" s="28"/>
      <c r="XM13" s="28"/>
      <c r="XN13" s="28"/>
      <c r="XO13" s="28"/>
      <c r="XP13" s="28"/>
      <c r="XQ13" s="28"/>
      <c r="XR13" s="28"/>
      <c r="XS13" s="28"/>
      <c r="XT13" s="28"/>
      <c r="XU13" s="28"/>
      <c r="XV13" s="28"/>
      <c r="XW13" s="28"/>
      <c r="XX13" s="28"/>
      <c r="XY13" s="47"/>
      <c r="XZ13" s="28"/>
      <c r="YA13" s="28"/>
      <c r="YB13" s="28"/>
      <c r="YC13" s="29"/>
      <c r="YD13" s="29"/>
      <c r="YE13" s="29"/>
      <c r="YF13" s="29"/>
      <c r="YG13" s="28"/>
      <c r="YH13" s="28"/>
      <c r="YI13" s="28"/>
      <c r="YJ13" s="28"/>
      <c r="YK13" s="28"/>
      <c r="YL13" s="28"/>
      <c r="YM13" s="28"/>
      <c r="YN13" s="28"/>
      <c r="YO13" s="28"/>
      <c r="YP13" s="28"/>
      <c r="YQ13" s="28"/>
      <c r="YR13" s="28"/>
      <c r="YS13" s="28"/>
      <c r="YT13" s="28"/>
      <c r="YU13" s="28"/>
      <c r="YV13" s="28"/>
      <c r="YW13" s="28"/>
      <c r="YX13" s="28"/>
      <c r="YY13" s="28"/>
      <c r="YZ13" s="28"/>
      <c r="ZA13" s="28"/>
      <c r="ZB13" s="28"/>
      <c r="ZC13" s="28"/>
      <c r="ZD13" s="28"/>
      <c r="ZE13" s="28"/>
      <c r="ZF13" s="28"/>
      <c r="ZG13" s="28"/>
      <c r="ZH13" s="28"/>
      <c r="ZI13" s="28"/>
      <c r="ZJ13" s="28"/>
      <c r="ZK13" s="28"/>
      <c r="ZL13" s="28"/>
      <c r="ZM13" s="28"/>
      <c r="ZN13" s="28"/>
      <c r="ZO13" s="28"/>
      <c r="ZP13" s="28"/>
      <c r="ZQ13" s="28"/>
      <c r="ZR13" s="28"/>
      <c r="ZS13" s="28"/>
      <c r="ZT13" s="28"/>
      <c r="ZU13" s="28"/>
      <c r="ZV13" s="28"/>
      <c r="ZW13" s="28"/>
      <c r="ZX13" s="28"/>
      <c r="ZY13" s="28"/>
      <c r="ZZ13" s="28"/>
      <c r="AAA13" s="28"/>
      <c r="AAB13" s="28"/>
      <c r="AAC13" s="28"/>
      <c r="AAD13" s="28"/>
      <c r="AAE13" s="28"/>
      <c r="AAF13" s="28"/>
      <c r="AAG13" s="28"/>
      <c r="AAH13" s="28"/>
      <c r="AAI13" s="28"/>
      <c r="AAJ13" s="28"/>
      <c r="AAK13" s="28"/>
      <c r="AAL13" s="28"/>
      <c r="AAM13" s="28"/>
      <c r="AAN13" s="28"/>
      <c r="AAO13" s="28"/>
      <c r="AAP13" s="28"/>
      <c r="AAQ13" s="28"/>
      <c r="AAR13" s="28"/>
      <c r="AAS13" s="28"/>
      <c r="AAT13" s="28"/>
      <c r="AAU13" s="28"/>
      <c r="AAV13" s="28"/>
      <c r="AAW13" s="28"/>
      <c r="AAX13" s="28"/>
      <c r="AAY13" s="28"/>
      <c r="AAZ13" s="28"/>
      <c r="ABA13" s="28"/>
      <c r="ABB13" s="28"/>
      <c r="ABC13" s="28"/>
      <c r="ABD13" s="28"/>
      <c r="ABE13" s="28"/>
      <c r="ABF13" s="28"/>
      <c r="ABG13" s="28"/>
      <c r="ABH13" s="28"/>
      <c r="ABI13" s="28"/>
      <c r="ABJ13" s="28"/>
      <c r="ABK13" s="28"/>
      <c r="ABL13" s="28"/>
      <c r="ABM13" s="28"/>
      <c r="ABN13" s="28"/>
      <c r="ABO13" s="28"/>
      <c r="ABP13" s="28"/>
      <c r="ABQ13" s="32"/>
      <c r="ABR13" s="32"/>
    </row>
    <row r="14" spans="1:746" customFormat="1" x14ac:dyDescent="0.3">
      <c r="A14" s="18">
        <v>11</v>
      </c>
      <c r="B14" s="2" t="s">
        <v>17</v>
      </c>
      <c r="C14" s="53" t="s">
        <v>118</v>
      </c>
      <c r="D14" s="53" t="s">
        <v>119</v>
      </c>
      <c r="E14" s="21">
        <v>45962</v>
      </c>
      <c r="F14" s="21">
        <v>45950</v>
      </c>
      <c r="G14" s="21">
        <f t="shared" si="0"/>
        <v>46040</v>
      </c>
      <c r="H14" s="22"/>
      <c r="I14" s="54"/>
      <c r="J14" s="57"/>
      <c r="K14" s="23" t="s">
        <v>101</v>
      </c>
      <c r="L14" s="23">
        <f t="shared" ref="L14" ca="1" si="14">IF(F14=0,"NA",ROUND(($L$1-F14+1)/365*30,1))</f>
        <v>5.0999999999999996</v>
      </c>
      <c r="M14" s="23">
        <f t="shared" ref="M14" ca="1" si="15">IF(L14="NA",0,L14-P14)</f>
        <v>-11.9</v>
      </c>
      <c r="N14" s="171">
        <v>46137</v>
      </c>
      <c r="O14" s="171">
        <v>46153</v>
      </c>
      <c r="P14" s="24">
        <f t="shared" si="13"/>
        <v>17</v>
      </c>
      <c r="Q14" s="2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8"/>
      <c r="CS14" s="28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43"/>
      <c r="FO14" s="43"/>
      <c r="FP14" s="43"/>
      <c r="FQ14" s="43"/>
      <c r="FR14" s="43"/>
      <c r="FS14" s="43"/>
      <c r="FT14" s="43"/>
      <c r="FU14" s="43"/>
      <c r="FV14" s="55"/>
      <c r="FW14" s="55"/>
      <c r="FX14" s="55"/>
      <c r="FY14" s="55"/>
      <c r="FZ14" s="43"/>
      <c r="GA14" s="43"/>
      <c r="GB14" s="43"/>
      <c r="GC14" s="43"/>
      <c r="GD14" s="43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44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47"/>
      <c r="JY14" s="28"/>
      <c r="JZ14" s="28"/>
      <c r="KA14" s="28"/>
      <c r="KB14" s="29"/>
      <c r="KC14" s="29"/>
      <c r="KD14" s="29"/>
      <c r="KE14" s="29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9"/>
      <c r="LP14" s="29"/>
      <c r="LQ14" s="29"/>
      <c r="LR14" s="29"/>
      <c r="LS14" s="29"/>
      <c r="LT14" s="29"/>
      <c r="LU14" s="29"/>
      <c r="LV14" s="29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8"/>
      <c r="MR14" s="28"/>
      <c r="MS14" s="28"/>
      <c r="MT14" s="28"/>
      <c r="MU14" s="28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28"/>
      <c r="NN14" s="28"/>
      <c r="NO14" s="28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28"/>
      <c r="OA14" s="28"/>
      <c r="OB14" s="28"/>
      <c r="OC14" s="28"/>
      <c r="OD14" s="28"/>
      <c r="OE14" s="28"/>
      <c r="OF14" s="28"/>
      <c r="OG14" s="28"/>
      <c r="OH14" s="28"/>
      <c r="OI14" s="28"/>
      <c r="OJ14" s="28"/>
      <c r="OK14" s="28"/>
      <c r="OL14" s="28"/>
      <c r="OM14" s="28"/>
      <c r="ON14" s="28"/>
      <c r="OO14" s="28"/>
      <c r="OP14" s="28"/>
      <c r="OQ14" s="28"/>
      <c r="OR14" s="28"/>
      <c r="OS14" s="28"/>
      <c r="OT14" s="28"/>
      <c r="OU14" s="28"/>
      <c r="OV14" s="28"/>
      <c r="OW14" s="28"/>
      <c r="OX14" s="28"/>
      <c r="OY14" s="28"/>
      <c r="OZ14" s="28"/>
      <c r="PA14" s="28"/>
      <c r="PB14" s="28"/>
      <c r="PC14" s="28"/>
      <c r="PD14" s="28"/>
      <c r="PE14" s="28"/>
      <c r="PF14" s="28"/>
      <c r="PG14" s="28"/>
      <c r="PH14" s="28"/>
      <c r="PI14" s="28"/>
      <c r="PJ14" s="28"/>
      <c r="PK14" s="28"/>
      <c r="PL14" s="28"/>
      <c r="PM14" s="28"/>
      <c r="PN14" s="28"/>
      <c r="PO14" s="28"/>
      <c r="PP14" s="28"/>
      <c r="PQ14" s="28"/>
      <c r="PR14" s="28"/>
      <c r="PS14" s="28"/>
      <c r="PT14" s="28"/>
      <c r="PU14" s="28"/>
      <c r="PV14" s="28"/>
      <c r="PW14" s="28"/>
      <c r="PX14" s="28"/>
      <c r="PY14" s="28"/>
      <c r="PZ14" s="28"/>
      <c r="QA14" s="28"/>
      <c r="QB14" s="28"/>
      <c r="QC14" s="28"/>
      <c r="QD14" s="28"/>
      <c r="QE14" s="28"/>
      <c r="QF14" s="28"/>
      <c r="QG14" s="28"/>
      <c r="QH14" s="28"/>
      <c r="QI14" s="28"/>
      <c r="QJ14" s="28"/>
      <c r="QK14" s="28"/>
      <c r="QL14" s="28"/>
      <c r="QM14" s="28"/>
      <c r="QN14" s="28"/>
      <c r="QO14" s="28"/>
      <c r="QP14" s="28"/>
      <c r="QQ14" s="28"/>
      <c r="QR14" s="28"/>
      <c r="QS14" s="28"/>
      <c r="QT14" s="28"/>
      <c r="QU14" s="28"/>
      <c r="QV14" s="28"/>
      <c r="QW14" s="28"/>
      <c r="QX14" s="28"/>
      <c r="QY14" s="28"/>
      <c r="QZ14" s="28"/>
      <c r="RA14" s="28"/>
      <c r="RB14" s="28"/>
      <c r="RC14" s="28"/>
      <c r="RD14" s="28"/>
      <c r="RE14" s="28"/>
      <c r="RF14" s="28"/>
      <c r="RG14" s="28"/>
      <c r="RH14" s="28"/>
      <c r="RI14" s="28"/>
      <c r="RJ14" s="28"/>
      <c r="RK14" s="28"/>
      <c r="RL14" s="28"/>
      <c r="RM14" s="28"/>
      <c r="RN14" s="28"/>
      <c r="RO14" s="28"/>
      <c r="RP14" s="28"/>
      <c r="RQ14" s="28"/>
      <c r="RR14" s="28"/>
      <c r="RS14" s="28"/>
      <c r="RT14" s="28"/>
      <c r="RU14" s="28"/>
      <c r="RV14" s="28"/>
      <c r="RW14" s="28"/>
      <c r="RX14" s="28"/>
      <c r="RY14" s="28"/>
      <c r="RZ14" s="28"/>
      <c r="SA14" s="28"/>
      <c r="SB14" s="28"/>
      <c r="SC14" s="28"/>
      <c r="SD14" s="28"/>
      <c r="SE14" s="28"/>
      <c r="SF14" s="28"/>
      <c r="SG14" s="28"/>
      <c r="SH14" s="28"/>
      <c r="SI14" s="28"/>
      <c r="SJ14" s="28"/>
      <c r="SK14" s="28"/>
      <c r="SL14" s="28"/>
      <c r="SM14" s="28"/>
      <c r="SN14" s="28"/>
      <c r="SO14" s="28"/>
      <c r="SP14" s="28"/>
      <c r="SQ14" s="28"/>
      <c r="SR14" s="28"/>
      <c r="SS14" s="28"/>
      <c r="ST14" s="28"/>
      <c r="SU14" s="28"/>
      <c r="SV14" s="28"/>
      <c r="SW14" s="28"/>
      <c r="SX14" s="28"/>
      <c r="SY14" s="28"/>
      <c r="SZ14" s="28"/>
      <c r="TA14" s="28"/>
      <c r="TB14" s="28"/>
      <c r="TC14" s="28"/>
      <c r="TD14" s="28"/>
      <c r="TE14" s="28"/>
      <c r="TF14" s="28"/>
      <c r="TG14" s="28"/>
      <c r="TH14" s="28"/>
      <c r="TI14" s="28"/>
      <c r="TJ14" s="28"/>
      <c r="TK14" s="28"/>
      <c r="TL14" s="28"/>
      <c r="TM14" s="32"/>
      <c r="TN14" s="28"/>
      <c r="TO14" s="28"/>
      <c r="TP14" s="28"/>
      <c r="TQ14" s="28"/>
      <c r="TR14" s="28"/>
      <c r="TS14" s="28"/>
      <c r="TT14" s="28"/>
      <c r="TU14" s="28"/>
      <c r="TV14" s="28"/>
      <c r="TW14" s="28"/>
      <c r="TX14" s="28"/>
      <c r="TY14" s="28"/>
      <c r="TZ14" s="28"/>
      <c r="UA14" s="28"/>
      <c r="UB14" s="28"/>
      <c r="UC14" s="28"/>
      <c r="UD14" s="28"/>
      <c r="UE14" s="28"/>
      <c r="UF14" s="28"/>
      <c r="UG14" s="28"/>
      <c r="UH14" s="28"/>
      <c r="UI14" s="28"/>
      <c r="UJ14" s="28"/>
      <c r="UK14" s="28"/>
      <c r="UL14" s="28"/>
      <c r="UM14" s="28"/>
      <c r="UN14" s="28"/>
      <c r="UO14" s="28"/>
      <c r="UP14" s="28"/>
      <c r="UQ14" s="28"/>
      <c r="UR14" s="28"/>
      <c r="US14" s="28"/>
      <c r="UT14" s="28"/>
      <c r="UU14" s="28"/>
      <c r="UV14" s="28"/>
      <c r="UW14" s="28"/>
      <c r="UX14" s="28"/>
      <c r="UY14" s="28"/>
      <c r="UZ14" s="28"/>
      <c r="VA14" s="28"/>
      <c r="VB14" s="28"/>
      <c r="VC14" s="28"/>
      <c r="VD14" s="28"/>
      <c r="VE14" s="28"/>
      <c r="VF14" s="28"/>
      <c r="VG14" s="28"/>
      <c r="VH14" s="28"/>
      <c r="VI14" s="28"/>
      <c r="VJ14" s="28"/>
      <c r="VK14" s="28"/>
      <c r="VL14" s="28"/>
      <c r="VM14" s="28"/>
      <c r="VN14" s="28"/>
      <c r="VO14" s="28"/>
      <c r="VP14" s="28"/>
      <c r="VQ14" s="28"/>
      <c r="VR14" s="28"/>
      <c r="VS14" s="23"/>
      <c r="VT14" s="23"/>
      <c r="VU14" s="23"/>
      <c r="VV14" s="80"/>
      <c r="VW14" s="80"/>
      <c r="VX14" s="80"/>
      <c r="VY14" s="80"/>
      <c r="VZ14" s="80"/>
      <c r="WA14" s="80"/>
      <c r="WB14" s="80"/>
      <c r="WC14" s="80"/>
      <c r="WD14" s="80"/>
      <c r="WE14" s="116"/>
      <c r="WF14" s="23"/>
      <c r="WG14" s="23"/>
      <c r="WH14" s="23"/>
      <c r="WI14" s="23"/>
      <c r="WJ14" s="28"/>
      <c r="WK14" s="28"/>
      <c r="WL14" s="28"/>
      <c r="WM14" s="28"/>
      <c r="WN14" s="28"/>
      <c r="WO14" s="28"/>
      <c r="WP14" s="28"/>
      <c r="WQ14" s="28"/>
      <c r="WR14" s="28"/>
      <c r="WS14" s="28"/>
      <c r="WT14" s="28"/>
      <c r="WU14" s="28"/>
      <c r="WV14" s="28"/>
      <c r="WW14" s="28"/>
      <c r="WX14" s="28"/>
      <c r="WY14" s="28"/>
      <c r="WZ14" s="28"/>
      <c r="XA14" s="28"/>
      <c r="XB14" s="28"/>
      <c r="XC14" s="28"/>
      <c r="XD14" s="28"/>
      <c r="XE14" s="28"/>
      <c r="XF14" s="28"/>
      <c r="XG14" s="28"/>
      <c r="XH14" s="28"/>
      <c r="XI14" s="28"/>
      <c r="XJ14" s="28"/>
      <c r="XK14" s="28"/>
      <c r="XL14" s="28"/>
      <c r="XM14" s="28"/>
      <c r="XN14" s="28"/>
      <c r="XO14" s="28"/>
      <c r="XP14" s="28"/>
      <c r="XQ14" s="28"/>
      <c r="XR14" s="28"/>
      <c r="XS14" s="28"/>
      <c r="XT14" s="28"/>
      <c r="XU14" s="28"/>
      <c r="XV14" s="28"/>
      <c r="XW14" s="28"/>
      <c r="XX14" s="28"/>
      <c r="XY14" s="222">
        <v>1</v>
      </c>
      <c r="XZ14" s="172">
        <v>1</v>
      </c>
      <c r="YA14" s="172">
        <v>1</v>
      </c>
      <c r="YB14" s="172">
        <v>1</v>
      </c>
      <c r="YC14" s="223">
        <v>1</v>
      </c>
      <c r="YD14" s="223">
        <v>1</v>
      </c>
      <c r="YE14" s="223">
        <v>1</v>
      </c>
      <c r="YF14" s="223">
        <v>1</v>
      </c>
      <c r="YG14" s="172">
        <v>1</v>
      </c>
      <c r="YH14" s="172">
        <v>1</v>
      </c>
      <c r="YI14" s="172">
        <v>1</v>
      </c>
      <c r="YJ14" s="172">
        <v>1</v>
      </c>
      <c r="YK14" s="172">
        <v>1</v>
      </c>
      <c r="YL14" s="172">
        <v>1</v>
      </c>
      <c r="YM14" s="172">
        <v>1</v>
      </c>
      <c r="YN14" s="172">
        <v>1</v>
      </c>
      <c r="YO14" s="172">
        <v>1</v>
      </c>
      <c r="YP14" s="28"/>
      <c r="YQ14" s="28"/>
      <c r="YR14" s="28"/>
      <c r="YS14" s="28"/>
      <c r="YT14" s="28"/>
      <c r="YU14" s="28"/>
      <c r="YV14" s="28"/>
      <c r="YW14" s="33"/>
      <c r="YX14" s="28"/>
      <c r="YY14" s="28"/>
      <c r="YZ14" s="28"/>
      <c r="ZA14" s="28"/>
      <c r="ZB14" s="28"/>
      <c r="ZC14" s="28"/>
      <c r="ZD14" s="28"/>
      <c r="ZE14" s="28"/>
      <c r="ZF14" s="28"/>
      <c r="ZG14" s="28"/>
      <c r="ZH14" s="28"/>
      <c r="ZI14" s="28"/>
      <c r="ZJ14" s="28"/>
      <c r="ZK14" s="28"/>
      <c r="ZL14" s="28"/>
      <c r="ZM14" s="28"/>
      <c r="ZN14" s="28"/>
      <c r="ZO14" s="28"/>
      <c r="ZP14" s="28"/>
      <c r="ZQ14" s="28"/>
      <c r="ZR14" s="28"/>
      <c r="ZS14" s="28"/>
      <c r="ZT14" s="28"/>
      <c r="ZU14" s="28"/>
      <c r="ZV14" s="28"/>
      <c r="ZW14" s="28"/>
      <c r="ZX14" s="28"/>
      <c r="ZY14" s="28"/>
      <c r="ZZ14" s="28"/>
      <c r="AAA14" s="28"/>
      <c r="AAB14" s="28"/>
      <c r="AAC14" s="28"/>
      <c r="AAD14" s="28"/>
      <c r="AAE14" s="28"/>
      <c r="AAF14" s="28"/>
      <c r="AAG14" s="28"/>
      <c r="AAH14" s="28"/>
      <c r="AAI14" s="28"/>
      <c r="AAJ14" s="28"/>
      <c r="AAK14" s="28"/>
      <c r="AAL14" s="28"/>
      <c r="AAM14" s="28"/>
      <c r="AAN14" s="28"/>
      <c r="AAO14" s="28"/>
      <c r="AAP14" s="28"/>
      <c r="AAQ14" s="28"/>
      <c r="AAR14" s="28"/>
      <c r="AAS14" s="28"/>
      <c r="AAT14" s="28"/>
      <c r="AAU14" s="28"/>
      <c r="AAV14" s="28"/>
      <c r="AAW14" s="28"/>
      <c r="AAX14" s="28"/>
      <c r="AAY14" s="28"/>
      <c r="AAZ14" s="28"/>
      <c r="ABA14" s="28"/>
      <c r="ABB14" s="28"/>
      <c r="ABC14" s="28"/>
      <c r="ABD14" s="28"/>
      <c r="ABE14" s="28"/>
      <c r="ABF14" s="28"/>
      <c r="ABG14" s="28"/>
      <c r="ABH14" s="28"/>
      <c r="ABI14" s="28"/>
      <c r="ABJ14" s="28"/>
      <c r="ABK14" s="28"/>
      <c r="ABL14" s="28"/>
      <c r="ABM14" s="28"/>
      <c r="ABN14" s="28"/>
      <c r="ABO14" s="28"/>
      <c r="ABP14" s="28"/>
      <c r="ABQ14" s="32"/>
      <c r="ABR14" s="32"/>
    </row>
    <row r="15" spans="1:746" customFormat="1" x14ac:dyDescent="0.3">
      <c r="A15" s="18">
        <v>12</v>
      </c>
      <c r="B15" s="182" t="s">
        <v>17</v>
      </c>
      <c r="C15" s="183" t="s">
        <v>103</v>
      </c>
      <c r="D15" s="183" t="s">
        <v>104</v>
      </c>
      <c r="E15" s="21">
        <v>45842</v>
      </c>
      <c r="F15" s="21">
        <v>45858</v>
      </c>
      <c r="G15" s="21">
        <f t="shared" si="0"/>
        <v>45948</v>
      </c>
      <c r="H15" s="22"/>
      <c r="I15" s="54"/>
      <c r="J15" s="57"/>
      <c r="K15" s="185" t="s">
        <v>31</v>
      </c>
      <c r="L15" s="23">
        <f t="shared" ca="1" si="1"/>
        <v>12.7</v>
      </c>
      <c r="M15" s="23">
        <f t="shared" ca="1" si="2"/>
        <v>-4.3000000000000007</v>
      </c>
      <c r="N15" s="171">
        <v>46111</v>
      </c>
      <c r="O15" s="171">
        <v>46127</v>
      </c>
      <c r="P15" s="24">
        <f t="shared" ref="P15" si="16">SUM(O15-N15+1)</f>
        <v>17</v>
      </c>
      <c r="Q15" s="25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8"/>
      <c r="CS15" s="28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175"/>
      <c r="FO15" s="175"/>
      <c r="FP15" s="175"/>
      <c r="FQ15" s="175"/>
      <c r="FR15" s="175"/>
      <c r="FS15" s="175"/>
      <c r="FT15" s="175"/>
      <c r="FU15" s="175"/>
      <c r="FV15" s="193"/>
      <c r="FW15" s="193"/>
      <c r="FX15" s="193"/>
      <c r="FY15" s="193"/>
      <c r="FZ15" s="175"/>
      <c r="GA15" s="175"/>
      <c r="GB15" s="175"/>
      <c r="GC15" s="175"/>
      <c r="GD15" s="175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44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47"/>
      <c r="JY15" s="28"/>
      <c r="JZ15" s="28"/>
      <c r="KA15" s="28"/>
      <c r="KB15" s="29"/>
      <c r="KC15" s="29"/>
      <c r="KD15" s="29"/>
      <c r="KE15" s="29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9"/>
      <c r="LP15" s="29"/>
      <c r="LQ15" s="29"/>
      <c r="LR15" s="29"/>
      <c r="LS15" s="29"/>
      <c r="LT15" s="29"/>
      <c r="LU15" s="29"/>
      <c r="LV15" s="29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175"/>
      <c r="MW15" s="175"/>
      <c r="MX15" s="175"/>
      <c r="MY15" s="175"/>
      <c r="MZ15" s="175"/>
      <c r="NA15" s="175"/>
      <c r="NB15" s="175"/>
      <c r="NC15" s="175"/>
      <c r="ND15" s="175"/>
      <c r="NE15" s="175"/>
      <c r="NF15" s="175"/>
      <c r="NG15" s="175"/>
      <c r="NH15" s="175"/>
      <c r="NI15" s="175"/>
      <c r="NJ15" s="175"/>
      <c r="NK15" s="175"/>
      <c r="NL15" s="175"/>
      <c r="NM15" s="28"/>
      <c r="NN15" s="28"/>
      <c r="NO15" s="28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  <c r="PG15" s="28"/>
      <c r="PH15" s="28"/>
      <c r="PI15" s="28"/>
      <c r="PJ15" s="28"/>
      <c r="PK15" s="28"/>
      <c r="PL15" s="28"/>
      <c r="PM15" s="28"/>
      <c r="PN15" s="28"/>
      <c r="PO15" s="28"/>
      <c r="PP15" s="28"/>
      <c r="PQ15" s="28"/>
      <c r="PR15" s="28"/>
      <c r="PS15" s="28"/>
      <c r="PT15" s="28"/>
      <c r="PU15" s="28"/>
      <c r="PV15" s="28"/>
      <c r="PW15" s="28"/>
      <c r="PX15" s="28"/>
      <c r="PY15" s="28"/>
      <c r="PZ15" s="28"/>
      <c r="QA15" s="28"/>
      <c r="QB15" s="28"/>
      <c r="QC15" s="28"/>
      <c r="QD15" s="28"/>
      <c r="QE15" s="28"/>
      <c r="QF15" s="28"/>
      <c r="QG15" s="28"/>
      <c r="QH15" s="28"/>
      <c r="QI15" s="28"/>
      <c r="QJ15" s="28"/>
      <c r="QK15" s="28"/>
      <c r="QL15" s="28"/>
      <c r="QM15" s="28"/>
      <c r="QN15" s="28"/>
      <c r="QO15" s="28"/>
      <c r="QP15" s="28"/>
      <c r="QQ15" s="28"/>
      <c r="QR15" s="28"/>
      <c r="QS15" s="28"/>
      <c r="QT15" s="28"/>
      <c r="QU15" s="28"/>
      <c r="QV15" s="28"/>
      <c r="QW15" s="28"/>
      <c r="QX15" s="28"/>
      <c r="QY15" s="28"/>
      <c r="QZ15" s="28"/>
      <c r="RA15" s="28"/>
      <c r="RB15" s="28"/>
      <c r="RC15" s="28"/>
      <c r="RD15" s="28"/>
      <c r="RE15" s="28"/>
      <c r="RF15" s="28"/>
      <c r="RG15" s="28"/>
      <c r="RH15" s="28"/>
      <c r="RI15" s="28"/>
      <c r="RJ15" s="28"/>
      <c r="RK15" s="28"/>
      <c r="RL15" s="28"/>
      <c r="RM15" s="28"/>
      <c r="RN15" s="28"/>
      <c r="RO15" s="28"/>
      <c r="RP15" s="28"/>
      <c r="RQ15" s="28"/>
      <c r="RR15" s="28"/>
      <c r="RS15" s="28"/>
      <c r="RT15" s="28"/>
      <c r="RU15" s="28"/>
      <c r="RV15" s="28"/>
      <c r="RW15" s="28"/>
      <c r="RX15" s="28"/>
      <c r="RY15" s="28"/>
      <c r="RZ15" s="28"/>
      <c r="SA15" s="28"/>
      <c r="SB15" s="28"/>
      <c r="SC15" s="28"/>
      <c r="SD15" s="28"/>
      <c r="SE15" s="28"/>
      <c r="SF15" s="28"/>
      <c r="SG15" s="28"/>
      <c r="SH15" s="28"/>
      <c r="SI15" s="28"/>
      <c r="SJ15" s="28"/>
      <c r="SK15" s="28"/>
      <c r="SL15" s="28"/>
      <c r="SM15" s="28"/>
      <c r="SN15" s="28"/>
      <c r="SO15" s="28"/>
      <c r="SP15" s="28"/>
      <c r="SQ15" s="28"/>
      <c r="SR15" s="28"/>
      <c r="SS15" s="28"/>
      <c r="ST15" s="28"/>
      <c r="SU15" s="28"/>
      <c r="SV15" s="28"/>
      <c r="SW15" s="28"/>
      <c r="SX15" s="28"/>
      <c r="SY15" s="28"/>
      <c r="SZ15" s="28"/>
      <c r="TA15" s="28"/>
      <c r="TB15" s="28"/>
      <c r="TC15" s="28"/>
      <c r="TD15" s="28"/>
      <c r="TE15" s="28"/>
      <c r="TF15" s="28"/>
      <c r="TG15" s="28"/>
      <c r="TH15" s="28"/>
      <c r="TI15" s="28"/>
      <c r="TJ15" s="28"/>
      <c r="TK15" s="28"/>
      <c r="TL15" s="28"/>
      <c r="TM15" s="32"/>
      <c r="TN15" s="28"/>
      <c r="TO15" s="28"/>
      <c r="TP15" s="28"/>
      <c r="TQ15" s="28"/>
      <c r="TR15" s="28"/>
      <c r="TS15" s="28"/>
      <c r="TT15" s="28"/>
      <c r="TU15" s="28"/>
      <c r="TV15" s="28"/>
      <c r="TW15" s="28"/>
      <c r="TX15" s="28"/>
      <c r="TY15" s="28"/>
      <c r="TZ15" s="28"/>
      <c r="UA15" s="28"/>
      <c r="UB15" s="28"/>
      <c r="UC15" s="28"/>
      <c r="UD15" s="28"/>
      <c r="UE15" s="28"/>
      <c r="UF15" s="28"/>
      <c r="UG15" s="28"/>
      <c r="UH15" s="28"/>
      <c r="UI15" s="28"/>
      <c r="UJ15" s="28"/>
      <c r="UK15" s="28"/>
      <c r="UL15" s="28"/>
      <c r="UM15" s="28"/>
      <c r="UN15" s="28"/>
      <c r="UO15" s="28"/>
      <c r="UP15" s="28"/>
      <c r="UQ15" s="28"/>
      <c r="UR15" s="28"/>
      <c r="US15" s="28"/>
      <c r="UT15" s="28"/>
      <c r="UU15" s="28"/>
      <c r="UV15" s="28"/>
      <c r="UW15" s="28"/>
      <c r="UX15" s="28"/>
      <c r="UY15" s="28"/>
      <c r="UZ15" s="28"/>
      <c r="VA15" s="28"/>
      <c r="VB15" s="28"/>
      <c r="VC15" s="28"/>
      <c r="VD15" s="28"/>
      <c r="VE15" s="28"/>
      <c r="VF15" s="28"/>
      <c r="VG15" s="28"/>
      <c r="VH15" s="28"/>
      <c r="VI15" s="28"/>
      <c r="VJ15" s="28"/>
      <c r="VK15" s="28"/>
      <c r="VL15" s="28"/>
      <c r="VM15" s="28"/>
      <c r="VN15" s="28"/>
      <c r="VO15" s="28"/>
      <c r="VP15" s="28"/>
      <c r="VQ15" s="28"/>
      <c r="VR15" s="28"/>
      <c r="VS15" s="28"/>
      <c r="VT15" s="28"/>
      <c r="VU15" s="28"/>
      <c r="VV15" s="26"/>
      <c r="VW15" s="26"/>
      <c r="VX15" s="26"/>
      <c r="VY15" s="26"/>
      <c r="VZ15" s="26"/>
      <c r="WA15" s="26"/>
      <c r="WB15" s="26"/>
      <c r="WC15" s="26"/>
      <c r="WD15" s="26"/>
      <c r="WE15" s="44"/>
      <c r="WF15" s="28"/>
      <c r="WG15" s="28"/>
      <c r="WH15" s="28"/>
      <c r="WI15" s="28"/>
      <c r="WJ15" s="28"/>
      <c r="WK15" s="28"/>
      <c r="WL15" s="28"/>
      <c r="WM15" s="28"/>
      <c r="WN15" s="28"/>
      <c r="WO15" s="28"/>
      <c r="WP15" s="28"/>
      <c r="WQ15" s="28"/>
      <c r="WR15" s="28"/>
      <c r="WS15" s="28"/>
      <c r="WT15" s="28"/>
      <c r="WU15" s="28"/>
      <c r="WV15" s="28"/>
      <c r="WW15" s="28"/>
      <c r="WX15" s="28"/>
      <c r="WY15" s="172">
        <v>1</v>
      </c>
      <c r="WZ15" s="172">
        <v>1</v>
      </c>
      <c r="XA15" s="172">
        <v>1</v>
      </c>
      <c r="XB15" s="172">
        <v>1</v>
      </c>
      <c r="XC15" s="172">
        <v>1</v>
      </c>
      <c r="XD15" s="172">
        <v>1</v>
      </c>
      <c r="XE15" s="172">
        <v>1</v>
      </c>
      <c r="XF15" s="172">
        <v>1</v>
      </c>
      <c r="XG15" s="172">
        <v>1</v>
      </c>
      <c r="XH15" s="172">
        <v>1</v>
      </c>
      <c r="XI15" s="172">
        <v>1</v>
      </c>
      <c r="XJ15" s="172">
        <v>1</v>
      </c>
      <c r="XK15" s="172">
        <v>1</v>
      </c>
      <c r="XL15" s="172">
        <v>1</v>
      </c>
      <c r="XM15" s="172">
        <v>1</v>
      </c>
      <c r="XN15" s="172">
        <v>1</v>
      </c>
      <c r="XO15" s="172">
        <v>1</v>
      </c>
      <c r="XP15" s="28"/>
      <c r="XQ15" s="28"/>
      <c r="XR15" s="28"/>
      <c r="XS15" s="28"/>
      <c r="XT15" s="28"/>
      <c r="XU15" s="28"/>
      <c r="XV15" s="28"/>
      <c r="XW15" s="28"/>
      <c r="XX15" s="28"/>
      <c r="XY15" s="47"/>
      <c r="XZ15" s="28"/>
      <c r="YA15" s="28"/>
      <c r="YB15" s="28"/>
      <c r="YC15" s="29"/>
      <c r="YD15" s="29"/>
      <c r="YE15" s="29"/>
      <c r="YF15" s="29"/>
      <c r="YG15" s="28"/>
      <c r="YH15" s="28"/>
      <c r="YI15" s="28"/>
      <c r="YJ15" s="28"/>
      <c r="YK15" s="28"/>
      <c r="YL15" s="28"/>
      <c r="YM15" s="28"/>
      <c r="YN15" s="28"/>
      <c r="YO15" s="28"/>
      <c r="YP15" s="28"/>
      <c r="YQ15" s="28"/>
      <c r="YR15" s="28"/>
      <c r="YS15" s="28"/>
      <c r="YT15" s="28"/>
      <c r="YU15" s="28"/>
      <c r="YV15" s="28"/>
      <c r="YW15" s="33"/>
      <c r="YX15" s="28"/>
      <c r="YY15" s="28"/>
      <c r="YZ15" s="28"/>
      <c r="ZA15" s="28"/>
      <c r="ZB15" s="28"/>
      <c r="ZC15" s="28"/>
      <c r="ZD15" s="28"/>
      <c r="ZE15" s="28"/>
      <c r="ZF15" s="28"/>
      <c r="ZG15" s="28"/>
      <c r="ZH15" s="28"/>
      <c r="ZI15" s="28"/>
      <c r="ZJ15" s="28"/>
      <c r="ZK15" s="28"/>
      <c r="ZL15" s="28"/>
      <c r="ZM15" s="28"/>
      <c r="ZN15" s="28"/>
      <c r="ZO15" s="28"/>
      <c r="ZP15" s="28"/>
      <c r="ZQ15" s="28"/>
      <c r="ZR15" s="28"/>
      <c r="ZS15" s="28"/>
      <c r="ZT15" s="28"/>
      <c r="ZU15" s="28"/>
      <c r="ZV15" s="28"/>
      <c r="ZW15" s="28"/>
      <c r="ZX15" s="28"/>
      <c r="ZY15" s="28"/>
      <c r="ZZ15" s="28"/>
      <c r="AAA15" s="28"/>
      <c r="AAB15" s="28"/>
      <c r="AAC15" s="28"/>
      <c r="AAD15" s="28"/>
      <c r="AAE15" s="28"/>
      <c r="AAF15" s="28"/>
      <c r="AAG15" s="28"/>
      <c r="AAH15" s="28"/>
      <c r="AAI15" s="28"/>
      <c r="AAJ15" s="28"/>
      <c r="AAK15" s="28"/>
      <c r="AAL15" s="28"/>
      <c r="AAM15" s="28"/>
      <c r="AAN15" s="28"/>
      <c r="AAO15" s="28"/>
      <c r="AAP15" s="28"/>
      <c r="AAQ15" s="28"/>
      <c r="AAR15" s="28"/>
      <c r="AAS15" s="28"/>
      <c r="AAT15" s="28"/>
      <c r="AAU15" s="28"/>
      <c r="AAV15" s="28"/>
      <c r="AAW15" s="28"/>
      <c r="AAX15" s="28"/>
      <c r="AAY15" s="28"/>
      <c r="AAZ15" s="28"/>
      <c r="ABA15" s="28"/>
      <c r="ABB15" s="28"/>
      <c r="ABC15" s="28"/>
      <c r="ABD15" s="28"/>
      <c r="ABE15" s="28"/>
      <c r="ABF15" s="28"/>
      <c r="ABG15" s="28"/>
      <c r="ABH15" s="28"/>
      <c r="ABI15" s="28"/>
      <c r="ABJ15" s="28"/>
      <c r="ABK15" s="28"/>
      <c r="ABL15" s="28"/>
      <c r="ABM15" s="28"/>
      <c r="ABN15" s="28"/>
      <c r="ABO15" s="28"/>
      <c r="ABP15" s="28"/>
      <c r="ABQ15" s="32"/>
      <c r="ABR15" s="32"/>
    </row>
    <row r="16" spans="1:746" customFormat="1" x14ac:dyDescent="0.3">
      <c r="A16" s="18"/>
      <c r="B16" s="2" t="s">
        <v>17</v>
      </c>
      <c r="C16" s="195" t="s">
        <v>37</v>
      </c>
      <c r="D16" s="195" t="s">
        <v>38</v>
      </c>
      <c r="E16" s="196">
        <v>45422</v>
      </c>
      <c r="F16" s="196">
        <v>45424</v>
      </c>
      <c r="G16" s="196">
        <f t="shared" si="0"/>
        <v>45514</v>
      </c>
      <c r="H16" s="197">
        <v>45793</v>
      </c>
      <c r="I16" s="197"/>
      <c r="J16" s="198"/>
      <c r="K16" s="199" t="s">
        <v>108</v>
      </c>
      <c r="L16" s="200">
        <f ca="1">IF(F16=0,"NA",ROUND(($L$1-F16+1)/365*30,1))</f>
        <v>48.3</v>
      </c>
      <c r="M16" s="200">
        <f t="shared" ca="1" si="2"/>
        <v>48.3</v>
      </c>
      <c r="N16" s="201"/>
      <c r="O16" s="201"/>
      <c r="P16" s="24"/>
      <c r="Q16" s="33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32"/>
      <c r="DS16" s="32"/>
      <c r="DT16" s="32"/>
      <c r="DU16" s="32"/>
      <c r="DV16" s="32"/>
      <c r="DW16" s="32"/>
      <c r="DX16" s="28"/>
      <c r="DY16" s="28"/>
      <c r="DZ16" s="28"/>
      <c r="EA16" s="28"/>
      <c r="EB16" s="28"/>
      <c r="EC16" s="28"/>
      <c r="ED16" s="27">
        <v>1</v>
      </c>
      <c r="EE16" s="27">
        <v>1</v>
      </c>
      <c r="EF16" s="27">
        <v>1</v>
      </c>
      <c r="EG16" s="27">
        <v>1</v>
      </c>
      <c r="EH16" s="27">
        <v>1</v>
      </c>
      <c r="EI16" s="27">
        <v>1</v>
      </c>
      <c r="EJ16" s="27">
        <v>1</v>
      </c>
      <c r="EK16" s="27">
        <v>1</v>
      </c>
      <c r="EL16" s="27">
        <v>1</v>
      </c>
      <c r="EM16" s="27">
        <v>1</v>
      </c>
      <c r="EN16" s="27">
        <v>1</v>
      </c>
      <c r="EO16" s="27">
        <v>1</v>
      </c>
      <c r="EP16" s="27">
        <v>1</v>
      </c>
      <c r="EQ16" s="27">
        <v>1</v>
      </c>
      <c r="ER16" s="27">
        <v>1</v>
      </c>
      <c r="ES16" s="27">
        <v>1</v>
      </c>
      <c r="ET16" s="27">
        <v>1</v>
      </c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42"/>
      <c r="HV16" s="42"/>
      <c r="HW16" s="42"/>
      <c r="HX16" s="42"/>
      <c r="HY16" s="42"/>
      <c r="HZ16" s="42"/>
      <c r="IA16" s="42"/>
      <c r="IB16" s="42"/>
      <c r="IC16" s="42"/>
      <c r="ID16" s="42"/>
      <c r="IE16" s="42"/>
      <c r="IF16" s="42"/>
      <c r="IG16" s="42"/>
      <c r="IH16" s="4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28"/>
      <c r="JV16" s="28"/>
      <c r="JW16" s="28"/>
      <c r="JX16" s="28"/>
      <c r="JY16" s="28"/>
      <c r="JZ16" s="28"/>
      <c r="KA16" s="28"/>
      <c r="KB16" s="28"/>
      <c r="KC16" s="30">
        <v>1</v>
      </c>
      <c r="KD16" s="30">
        <v>1</v>
      </c>
      <c r="KE16" s="30">
        <v>1</v>
      </c>
      <c r="KF16" s="30">
        <v>1</v>
      </c>
      <c r="KG16" s="30">
        <v>1</v>
      </c>
      <c r="KH16" s="30">
        <v>1</v>
      </c>
      <c r="KI16" s="30">
        <v>1</v>
      </c>
      <c r="KJ16" s="30">
        <v>1</v>
      </c>
      <c r="KK16" s="30">
        <v>1</v>
      </c>
      <c r="KL16" s="30">
        <v>1</v>
      </c>
      <c r="KM16" s="30">
        <v>1</v>
      </c>
      <c r="KN16" s="30">
        <v>1</v>
      </c>
      <c r="KO16" s="30">
        <v>1</v>
      </c>
      <c r="KP16" s="30">
        <v>1</v>
      </c>
      <c r="KQ16" s="30">
        <v>1</v>
      </c>
      <c r="KR16" s="30">
        <v>1</v>
      </c>
      <c r="KS16" s="30">
        <v>1</v>
      </c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42"/>
      <c r="LJ16" s="42"/>
      <c r="LK16" s="42"/>
      <c r="LL16" s="42"/>
      <c r="LM16" s="42"/>
      <c r="LN16" s="42"/>
      <c r="LO16" s="58"/>
      <c r="LP16" s="58"/>
      <c r="LQ16" s="58"/>
      <c r="LR16" s="58"/>
      <c r="LS16" s="58"/>
      <c r="LT16" s="58"/>
      <c r="LU16" s="58"/>
      <c r="LV16" s="58"/>
      <c r="LW16" s="42"/>
      <c r="LX16" s="42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42"/>
      <c r="MN16" s="42"/>
      <c r="MO16" s="42"/>
      <c r="MP16" s="42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8"/>
      <c r="NO16" s="28"/>
      <c r="NP16" s="28"/>
      <c r="NQ16" s="28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2"/>
      <c r="OF16" s="42"/>
      <c r="OG16" s="42"/>
      <c r="OH16" s="28"/>
      <c r="OI16" s="28"/>
      <c r="OJ16" s="28"/>
      <c r="OK16" s="28"/>
      <c r="OL16" s="28"/>
      <c r="OM16" s="28"/>
      <c r="ON16" s="28"/>
      <c r="OO16" s="28"/>
      <c r="OP16" s="28"/>
      <c r="OQ16" s="28"/>
      <c r="OR16" s="28"/>
      <c r="OS16" s="28"/>
      <c r="OT16" s="28"/>
      <c r="OU16" s="28"/>
      <c r="OV16" s="28"/>
      <c r="OW16" s="26"/>
      <c r="OX16" s="26"/>
      <c r="OY16" s="26"/>
      <c r="OZ16" s="26"/>
      <c r="PA16" s="26"/>
      <c r="PB16" s="42"/>
      <c r="PC16" s="42"/>
      <c r="PD16" s="42"/>
      <c r="PE16" s="42"/>
      <c r="PF16" s="42"/>
      <c r="PG16" s="42"/>
      <c r="PH16" s="26"/>
      <c r="PI16" s="26"/>
      <c r="PJ16" s="26"/>
      <c r="PK16" s="26"/>
      <c r="PL16" s="26"/>
      <c r="PM16" s="26"/>
      <c r="PN16" s="26"/>
      <c r="PO16" s="26"/>
      <c r="PP16" s="26"/>
      <c r="PQ16" s="26"/>
      <c r="PR16" s="26"/>
      <c r="PS16" s="26"/>
      <c r="PT16" s="26"/>
      <c r="PU16" s="26"/>
      <c r="PV16" s="26"/>
      <c r="PW16" s="26"/>
      <c r="PX16" s="26"/>
      <c r="PY16" s="26"/>
      <c r="PZ16" s="28"/>
      <c r="QA16" s="28"/>
      <c r="QB16" s="28"/>
      <c r="QC16" s="28"/>
      <c r="QD16" s="28"/>
      <c r="QE16" s="28"/>
      <c r="QF16" s="28"/>
      <c r="QG16" s="28"/>
      <c r="QH16" s="28"/>
      <c r="QI16" s="28"/>
      <c r="QJ16" s="28"/>
      <c r="QK16" s="28"/>
      <c r="QL16" s="28"/>
      <c r="QM16" s="28"/>
      <c r="QN16" s="28"/>
      <c r="QO16" s="28"/>
      <c r="QP16" s="28"/>
      <c r="QQ16" s="28"/>
      <c r="QR16" s="28"/>
      <c r="QS16" s="28"/>
      <c r="QT16" s="28"/>
      <c r="QU16" s="28"/>
      <c r="QV16" s="28"/>
      <c r="QW16" s="28"/>
      <c r="QX16" s="28"/>
      <c r="QY16" s="28"/>
      <c r="QZ16" s="28"/>
      <c r="RA16" s="28"/>
      <c r="RB16" s="28"/>
      <c r="RC16" s="28"/>
      <c r="RD16" s="28"/>
      <c r="RE16" s="28"/>
      <c r="RF16" s="28"/>
      <c r="RG16" s="28"/>
      <c r="RH16" s="28"/>
      <c r="RI16" s="28"/>
      <c r="RJ16" s="28"/>
      <c r="RK16" s="28"/>
      <c r="RL16" s="28"/>
      <c r="RM16" s="28"/>
      <c r="RN16" s="28"/>
      <c r="RO16" s="28"/>
      <c r="RP16" s="28"/>
      <c r="RQ16" s="28"/>
      <c r="RR16" s="28"/>
      <c r="RS16" s="28"/>
      <c r="RT16" s="28"/>
      <c r="RU16" s="28"/>
      <c r="RV16" s="28"/>
      <c r="RW16" s="28"/>
      <c r="RX16" s="28"/>
      <c r="RY16" s="28"/>
      <c r="RZ16" s="28"/>
      <c r="SA16" s="28"/>
      <c r="SB16" s="28"/>
      <c r="SC16" s="28"/>
      <c r="SD16" s="28"/>
      <c r="SE16" s="28"/>
      <c r="SF16" s="28"/>
      <c r="SG16" s="28"/>
      <c r="SH16" s="28"/>
      <c r="SI16" s="28"/>
      <c r="SJ16" s="28"/>
      <c r="SK16" s="28"/>
      <c r="SL16" s="28"/>
      <c r="SM16" s="28"/>
      <c r="SN16" s="28"/>
      <c r="SO16" s="28"/>
      <c r="SP16" s="28"/>
      <c r="SQ16" s="28"/>
      <c r="SR16" s="28"/>
      <c r="SS16" s="28"/>
      <c r="ST16" s="28"/>
      <c r="SU16" s="28"/>
      <c r="SV16" s="28"/>
      <c r="SW16" s="28"/>
      <c r="SX16" s="28"/>
      <c r="SY16" s="28"/>
      <c r="SZ16" s="28"/>
      <c r="TA16" s="28"/>
      <c r="TB16" s="28"/>
      <c r="TC16" s="28"/>
      <c r="TD16" s="28"/>
      <c r="TE16" s="28"/>
      <c r="TF16" s="28"/>
      <c r="TG16" s="28"/>
      <c r="TH16" s="28"/>
      <c r="TI16" s="28"/>
      <c r="TJ16" s="28"/>
      <c r="TK16" s="28"/>
      <c r="TL16" s="28"/>
      <c r="TM16" s="32"/>
      <c r="TN16" s="28"/>
      <c r="TO16" s="28"/>
      <c r="TP16" s="28"/>
      <c r="TQ16" s="28"/>
      <c r="TR16" s="28"/>
      <c r="TS16" s="28"/>
      <c r="TT16" s="28"/>
      <c r="TU16" s="28"/>
      <c r="TV16" s="28"/>
      <c r="TW16" s="28"/>
      <c r="TX16" s="28"/>
      <c r="TY16" s="28"/>
      <c r="TZ16" s="28"/>
      <c r="UA16" s="28"/>
      <c r="UB16" s="28"/>
      <c r="UC16" s="28"/>
      <c r="UD16" s="28"/>
      <c r="UE16" s="28"/>
      <c r="UF16" s="28"/>
      <c r="UG16" s="28"/>
      <c r="UH16" s="28"/>
      <c r="UI16" s="28"/>
      <c r="UJ16" s="28"/>
      <c r="UK16" s="28"/>
      <c r="UL16" s="28"/>
      <c r="UM16" s="28"/>
      <c r="UN16" s="28"/>
      <c r="UO16" s="28"/>
      <c r="UP16" s="28"/>
      <c r="UQ16" s="28"/>
      <c r="UR16" s="28"/>
      <c r="US16" s="28"/>
      <c r="UT16" s="28"/>
      <c r="UU16" s="28"/>
      <c r="UV16" s="28"/>
      <c r="UW16" s="28"/>
      <c r="UX16" s="28"/>
      <c r="UY16" s="28"/>
      <c r="UZ16" s="28"/>
      <c r="VA16" s="28"/>
      <c r="VB16" s="28"/>
      <c r="VC16" s="28"/>
      <c r="VD16" s="28"/>
      <c r="VE16" s="28"/>
      <c r="VF16" s="28"/>
      <c r="VG16" s="28"/>
      <c r="VH16" s="28"/>
      <c r="VI16" s="28"/>
      <c r="VJ16" s="28"/>
      <c r="VK16" s="28"/>
      <c r="VL16" s="28"/>
      <c r="VM16" s="28"/>
      <c r="VN16" s="28"/>
      <c r="VO16" s="28"/>
      <c r="VP16" s="28"/>
      <c r="VQ16" s="28"/>
      <c r="VR16" s="28"/>
      <c r="VS16" s="28"/>
      <c r="VT16" s="28"/>
      <c r="VU16" s="28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28"/>
      <c r="XH16" s="28"/>
      <c r="XI16" s="28"/>
      <c r="XJ16" s="28"/>
      <c r="XK16" s="28"/>
      <c r="XL16" s="28"/>
      <c r="XM16" s="28"/>
      <c r="XN16" s="28"/>
      <c r="XO16" s="28"/>
      <c r="XP16" s="28"/>
      <c r="XQ16" s="28"/>
      <c r="XR16" s="28"/>
      <c r="XS16" s="28"/>
      <c r="XT16" s="28"/>
      <c r="XU16" s="28"/>
      <c r="XV16" s="28"/>
      <c r="XW16" s="28"/>
      <c r="XX16" s="28"/>
      <c r="XY16" s="28"/>
      <c r="XZ16" s="28"/>
      <c r="YA16" s="28"/>
      <c r="YB16" s="28"/>
      <c r="YC16" s="28"/>
      <c r="YD16" s="28"/>
      <c r="YE16" s="26"/>
      <c r="YF16" s="26"/>
      <c r="YG16" s="26"/>
      <c r="YH16" s="26"/>
      <c r="YI16" s="28"/>
      <c r="YJ16" s="28"/>
      <c r="YK16" s="28"/>
      <c r="YL16" s="28"/>
      <c r="YM16" s="28"/>
      <c r="YN16" s="28"/>
      <c r="YO16" s="28"/>
      <c r="YP16" s="28"/>
      <c r="YQ16" s="42"/>
      <c r="YR16" s="42"/>
      <c r="YS16" s="42"/>
      <c r="YT16" s="42"/>
      <c r="YU16" s="28"/>
      <c r="YV16" s="28"/>
      <c r="YW16" s="33"/>
      <c r="YX16" s="28"/>
      <c r="YY16" s="28"/>
      <c r="YZ16" s="28"/>
      <c r="ZA16" s="28"/>
      <c r="ZB16" s="28"/>
      <c r="ZC16" s="28"/>
      <c r="ZD16" s="28"/>
      <c r="ZE16" s="28"/>
      <c r="ZF16" s="28"/>
      <c r="ZG16" s="28"/>
      <c r="ZH16" s="28"/>
      <c r="ZI16" s="28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2"/>
      <c r="ZW16" s="42"/>
      <c r="ZX16" s="42"/>
      <c r="ZY16" s="42"/>
      <c r="ZZ16" s="28"/>
      <c r="AAA16" s="28"/>
      <c r="AAB16" s="28"/>
      <c r="AAC16" s="28"/>
      <c r="AAD16" s="28"/>
      <c r="AAE16" s="28"/>
      <c r="AAF16" s="28"/>
      <c r="AAG16" s="28"/>
      <c r="AAH16" s="28"/>
      <c r="AAI16" s="28"/>
      <c r="AAJ16" s="28"/>
      <c r="AAK16" s="28"/>
      <c r="AAL16" s="28"/>
      <c r="AAM16" s="28"/>
      <c r="AAN16" s="42"/>
      <c r="AAO16" s="42"/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28"/>
      <c r="ABE16" s="28"/>
      <c r="ABF16" s="28"/>
      <c r="ABG16" s="28"/>
      <c r="ABH16" s="28"/>
      <c r="ABI16" s="28"/>
      <c r="ABJ16" s="28"/>
      <c r="ABK16" s="28"/>
      <c r="ABL16" s="28"/>
      <c r="ABM16" s="28"/>
      <c r="ABN16" s="28"/>
      <c r="ABO16" s="28"/>
      <c r="ABP16" s="28"/>
      <c r="ABQ16" s="28"/>
      <c r="ABR16" s="28"/>
    </row>
    <row r="17" spans="1:1822" customFormat="1" x14ac:dyDescent="0.3">
      <c r="A17" s="18">
        <v>13</v>
      </c>
      <c r="B17" s="2" t="s">
        <v>17</v>
      </c>
      <c r="C17" s="209" t="s">
        <v>39</v>
      </c>
      <c r="D17" s="209" t="s">
        <v>109</v>
      </c>
      <c r="E17" s="21">
        <v>45839</v>
      </c>
      <c r="F17" s="21">
        <v>45867</v>
      </c>
      <c r="G17" s="21">
        <f t="shared" si="0"/>
        <v>45957</v>
      </c>
      <c r="H17" s="22"/>
      <c r="I17" s="22"/>
      <c r="J17" s="57"/>
      <c r="K17" s="185" t="s">
        <v>31</v>
      </c>
      <c r="L17" s="23">
        <f ca="1">IF(F17=0,"NA",ROUND(($L$1-F17+1)/365*30,1))</f>
        <v>11.9</v>
      </c>
      <c r="M17" s="23">
        <f ca="1">IF(L17="NA",0,L17-P17)</f>
        <v>-5.0999999999999996</v>
      </c>
      <c r="N17" s="171">
        <v>46041</v>
      </c>
      <c r="O17" s="171">
        <v>46057</v>
      </c>
      <c r="P17" s="24">
        <f t="shared" si="3"/>
        <v>17</v>
      </c>
      <c r="Q17" s="33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32"/>
      <c r="DS17" s="32"/>
      <c r="DT17" s="32"/>
      <c r="DU17" s="32"/>
      <c r="DV17" s="32"/>
      <c r="DW17" s="32"/>
      <c r="DX17" s="28"/>
      <c r="DY17" s="28"/>
      <c r="DZ17" s="28"/>
      <c r="EA17" s="28"/>
      <c r="EB17" s="28"/>
      <c r="EC17" s="28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32"/>
      <c r="IJ17" s="32"/>
      <c r="IK17" s="32"/>
      <c r="IL17" s="32"/>
      <c r="IM17" s="32"/>
      <c r="IN17" s="32"/>
      <c r="IO17" s="32"/>
      <c r="IP17" s="32"/>
      <c r="IQ17" s="32"/>
      <c r="IR17" s="32"/>
      <c r="IS17" s="32"/>
      <c r="IT17" s="32"/>
      <c r="IU17" s="32"/>
      <c r="IV17" s="32"/>
      <c r="IW17" s="32"/>
      <c r="IX17" s="32"/>
      <c r="IY17" s="32"/>
      <c r="IZ17" s="32"/>
      <c r="JA17" s="32"/>
      <c r="JB17" s="32"/>
      <c r="JC17" s="32"/>
      <c r="JD17" s="32"/>
      <c r="JE17" s="32"/>
      <c r="JF17" s="32"/>
      <c r="JG17" s="32"/>
      <c r="JH17" s="32"/>
      <c r="JI17" s="32"/>
      <c r="JJ17" s="32"/>
      <c r="JK17" s="32"/>
      <c r="JL17" s="32"/>
      <c r="JM17" s="32"/>
      <c r="JN17" s="32"/>
      <c r="JO17" s="32"/>
      <c r="JP17" s="32"/>
      <c r="JQ17" s="32"/>
      <c r="JR17" s="32"/>
      <c r="JS17" s="32"/>
      <c r="JT17" s="32"/>
      <c r="JU17" s="28"/>
      <c r="JV17" s="28"/>
      <c r="JW17" s="28"/>
      <c r="JX17" s="28"/>
      <c r="JY17" s="28"/>
      <c r="JZ17" s="28"/>
      <c r="KA17" s="28"/>
      <c r="KB17" s="28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/>
      <c r="LF17" s="28"/>
      <c r="LG17" s="28"/>
      <c r="LH17" s="28"/>
      <c r="LI17" s="42"/>
      <c r="LJ17" s="42"/>
      <c r="LK17" s="42"/>
      <c r="LL17" s="42"/>
      <c r="LM17" s="42"/>
      <c r="LN17" s="46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2"/>
      <c r="MO17" s="42"/>
      <c r="MP17" s="42"/>
      <c r="MQ17" s="42"/>
      <c r="MR17" s="42"/>
      <c r="MS17" s="42"/>
      <c r="MT17" s="42"/>
      <c r="MU17" s="42"/>
      <c r="MV17" s="42"/>
      <c r="MW17" s="42"/>
      <c r="MX17" s="42"/>
      <c r="MY17" s="42"/>
      <c r="MZ17" s="42"/>
      <c r="NA17" s="42"/>
      <c r="NB17" s="42"/>
      <c r="NC17" s="28"/>
      <c r="ND17" s="28"/>
      <c r="NE17" s="44"/>
      <c r="NF17" s="60"/>
      <c r="NG17" s="60"/>
      <c r="NH17" s="60"/>
      <c r="NI17" s="60"/>
      <c r="NJ17" s="60"/>
      <c r="NK17" s="60"/>
      <c r="NL17" s="60"/>
      <c r="NM17" s="60"/>
      <c r="NN17" s="60"/>
      <c r="NO17" s="60"/>
      <c r="NP17" s="60"/>
      <c r="NQ17" s="60"/>
      <c r="NR17" s="60"/>
      <c r="NS17" s="60"/>
      <c r="NT17" s="60"/>
      <c r="NU17" s="60"/>
      <c r="NV17" s="60"/>
      <c r="NW17" s="210"/>
      <c r="NX17" s="42"/>
      <c r="NY17" s="42"/>
      <c r="NZ17" s="42"/>
      <c r="OA17" s="42"/>
      <c r="OB17" s="42"/>
      <c r="OC17" s="42"/>
      <c r="OD17" s="42"/>
      <c r="OE17" s="42"/>
      <c r="OF17" s="42"/>
      <c r="OG17" s="42"/>
      <c r="OH17" s="28"/>
      <c r="OI17" s="28"/>
      <c r="OJ17" s="28"/>
      <c r="OK17" s="28"/>
      <c r="OL17" s="28"/>
      <c r="OM17" s="28"/>
      <c r="ON17" s="28"/>
      <c r="OO17" s="28"/>
      <c r="OP17" s="28"/>
      <c r="OQ17" s="28"/>
      <c r="OR17" s="28"/>
      <c r="OS17" s="28"/>
      <c r="OT17" s="28"/>
      <c r="OU17" s="28"/>
      <c r="OV17" s="28"/>
      <c r="OW17" s="48"/>
      <c r="OX17" s="48"/>
      <c r="OY17" s="48"/>
      <c r="OZ17" s="48"/>
      <c r="PA17" s="48"/>
      <c r="PB17" s="58"/>
      <c r="PC17" s="58"/>
      <c r="PD17" s="58"/>
      <c r="PE17" s="58"/>
      <c r="PF17" s="42"/>
      <c r="PG17" s="42"/>
      <c r="PH17" s="26"/>
      <c r="PI17" s="26"/>
      <c r="PJ17" s="26"/>
      <c r="PK17" s="26"/>
      <c r="PL17" s="26"/>
      <c r="PM17" s="26"/>
      <c r="PN17" s="26"/>
      <c r="PO17" s="26"/>
      <c r="PP17" s="26"/>
      <c r="PQ17" s="26"/>
      <c r="PR17" s="26"/>
      <c r="PS17" s="26"/>
      <c r="PT17" s="26"/>
      <c r="PU17" s="26"/>
      <c r="PV17" s="26"/>
      <c r="PW17" s="26"/>
      <c r="PX17" s="26"/>
      <c r="PY17" s="26"/>
      <c r="PZ17" s="28"/>
      <c r="QA17" s="28"/>
      <c r="QB17" s="28"/>
      <c r="QC17" s="28"/>
      <c r="QD17" s="28"/>
      <c r="QE17" s="28"/>
      <c r="QF17" s="28"/>
      <c r="QG17" s="28"/>
      <c r="QH17" s="28"/>
      <c r="QI17" s="28"/>
      <c r="QJ17" s="28"/>
      <c r="QK17" s="28"/>
      <c r="QL17" s="28"/>
      <c r="QM17" s="28"/>
      <c r="QN17" s="28"/>
      <c r="QO17" s="28"/>
      <c r="QP17" s="28"/>
      <c r="QQ17" s="28"/>
      <c r="QR17" s="28"/>
      <c r="QS17" s="28"/>
      <c r="QT17" s="28"/>
      <c r="QU17" s="28"/>
      <c r="QV17" s="28"/>
      <c r="QW17" s="28"/>
      <c r="QX17" s="28"/>
      <c r="QY17" s="28"/>
      <c r="QZ17" s="28"/>
      <c r="RA17" s="28"/>
      <c r="RB17" s="28"/>
      <c r="RC17" s="28"/>
      <c r="RD17" s="28"/>
      <c r="RE17" s="28"/>
      <c r="RF17" s="28"/>
      <c r="RG17" s="28"/>
      <c r="RH17" s="28"/>
      <c r="RI17" s="28"/>
      <c r="RJ17" s="28"/>
      <c r="RK17" s="28"/>
      <c r="RL17" s="28"/>
      <c r="RM17" s="28"/>
      <c r="RN17" s="28"/>
      <c r="RO17" s="28"/>
      <c r="RP17" s="28"/>
      <c r="RQ17" s="28"/>
      <c r="RR17" s="28"/>
      <c r="RS17" s="28"/>
      <c r="RT17" s="28"/>
      <c r="RU17" s="28"/>
      <c r="RV17" s="28"/>
      <c r="RW17" s="28"/>
      <c r="RX17" s="28"/>
      <c r="RY17" s="28"/>
      <c r="RZ17" s="28"/>
      <c r="SA17" s="28"/>
      <c r="SB17" s="28"/>
      <c r="SC17" s="28"/>
      <c r="SD17" s="28"/>
      <c r="SE17" s="28"/>
      <c r="SF17" s="28"/>
      <c r="SG17" s="28"/>
      <c r="SH17" s="28"/>
      <c r="SI17" s="28"/>
      <c r="SJ17" s="28"/>
      <c r="SK17" s="28"/>
      <c r="SL17" s="28"/>
      <c r="SM17" s="28"/>
      <c r="SN17" s="28"/>
      <c r="SO17" s="28"/>
      <c r="SP17" s="28"/>
      <c r="SQ17" s="28"/>
      <c r="SR17" s="28"/>
      <c r="SS17" s="28"/>
      <c r="ST17" s="28"/>
      <c r="SU17" s="28"/>
      <c r="SV17" s="28"/>
      <c r="SW17" s="28"/>
      <c r="SX17" s="28"/>
      <c r="SY17" s="28"/>
      <c r="SZ17" s="28"/>
      <c r="TA17" s="28"/>
      <c r="TB17" s="28"/>
      <c r="TC17" s="28"/>
      <c r="TD17" s="28"/>
      <c r="TE17" s="28"/>
      <c r="TF17" s="28"/>
      <c r="TG17" s="28"/>
      <c r="TH17" s="28"/>
      <c r="TI17" s="28"/>
      <c r="TJ17" s="28"/>
      <c r="TK17" s="28"/>
      <c r="TL17" s="28"/>
      <c r="TM17" s="32"/>
      <c r="TN17" s="28"/>
      <c r="TO17" s="28"/>
      <c r="TP17" s="28"/>
      <c r="TQ17" s="28"/>
      <c r="TR17" s="28"/>
      <c r="TS17" s="28"/>
      <c r="TT17" s="28"/>
      <c r="TU17" s="28"/>
      <c r="TV17" s="28"/>
      <c r="TW17" s="28"/>
      <c r="TX17" s="28"/>
      <c r="TY17" s="28"/>
      <c r="TZ17" s="28"/>
      <c r="UA17" s="28"/>
      <c r="UB17" s="28"/>
      <c r="UC17" s="28"/>
      <c r="UD17" s="28"/>
      <c r="UE17" s="28"/>
      <c r="UF17" s="28"/>
      <c r="UG17" s="170">
        <v>1</v>
      </c>
      <c r="UH17" s="170">
        <v>1</v>
      </c>
      <c r="UI17" s="170">
        <v>1</v>
      </c>
      <c r="UJ17" s="170">
        <v>1</v>
      </c>
      <c r="UK17" s="170">
        <v>1</v>
      </c>
      <c r="UL17" s="170">
        <v>1</v>
      </c>
      <c r="UM17" s="170">
        <v>1</v>
      </c>
      <c r="UN17" s="170">
        <v>1</v>
      </c>
      <c r="UO17" s="170">
        <v>1</v>
      </c>
      <c r="UP17" s="170">
        <v>1</v>
      </c>
      <c r="UQ17" s="170">
        <v>1</v>
      </c>
      <c r="UR17" s="170">
        <v>1</v>
      </c>
      <c r="US17" s="170">
        <v>1</v>
      </c>
      <c r="UT17" s="170">
        <v>1</v>
      </c>
      <c r="UU17" s="170">
        <v>1</v>
      </c>
      <c r="UV17" s="170">
        <v>1</v>
      </c>
      <c r="UW17" s="170">
        <v>1</v>
      </c>
      <c r="UX17" s="28"/>
      <c r="UY17" s="28"/>
      <c r="UZ17" s="28"/>
      <c r="VA17" s="28"/>
      <c r="VB17" s="28"/>
      <c r="VC17" s="28"/>
      <c r="VD17" s="28"/>
      <c r="VE17" s="28"/>
      <c r="VF17" s="28"/>
      <c r="VG17" s="28"/>
      <c r="VH17" s="28"/>
      <c r="VI17" s="28"/>
      <c r="VJ17" s="28"/>
      <c r="VK17" s="28"/>
      <c r="VL17" s="28"/>
      <c r="VM17" s="28"/>
      <c r="VN17" s="28"/>
      <c r="VO17" s="28"/>
      <c r="VP17" s="28"/>
      <c r="VQ17" s="28"/>
      <c r="VR17" s="28"/>
      <c r="VS17" s="28"/>
      <c r="VT17" s="28"/>
      <c r="VU17" s="28"/>
      <c r="VV17" s="42"/>
      <c r="VW17" s="42"/>
      <c r="VX17" s="42"/>
      <c r="VY17" s="42"/>
      <c r="VZ17" s="42"/>
      <c r="WA17" s="42"/>
      <c r="WB17" s="42"/>
      <c r="WC17" s="42"/>
      <c r="WD17" s="42"/>
      <c r="WE17" s="42"/>
      <c r="WF17" s="42"/>
      <c r="WG17" s="42"/>
      <c r="WH17" s="42"/>
      <c r="WI17" s="42"/>
      <c r="WJ17" s="32"/>
      <c r="WK17" s="32"/>
      <c r="WL17" s="32"/>
      <c r="WM17" s="32"/>
      <c r="WN17" s="32"/>
      <c r="WO17" s="32"/>
      <c r="WP17" s="32"/>
      <c r="WQ17" s="32"/>
      <c r="WR17" s="32"/>
      <c r="WS17" s="32"/>
      <c r="WT17" s="32"/>
      <c r="WU17" s="32"/>
      <c r="WV17" s="32"/>
      <c r="WW17" s="32"/>
      <c r="WX17" s="32"/>
      <c r="WY17" s="32"/>
      <c r="WZ17" s="32"/>
      <c r="XA17" s="32"/>
      <c r="XB17" s="32"/>
      <c r="XC17" s="32"/>
      <c r="XD17" s="32"/>
      <c r="XE17" s="32"/>
      <c r="XF17" s="32"/>
      <c r="XG17" s="28"/>
      <c r="XH17" s="28"/>
      <c r="XI17" s="28"/>
      <c r="XJ17" s="28"/>
      <c r="XK17" s="28"/>
      <c r="XL17" s="28"/>
      <c r="XM17" s="28"/>
      <c r="XN17" s="28"/>
      <c r="XO17" s="28"/>
      <c r="XP17" s="28"/>
      <c r="XQ17" s="28"/>
      <c r="XR17" s="28"/>
      <c r="XS17" s="28"/>
      <c r="XT17" s="28"/>
      <c r="XU17" s="28"/>
      <c r="XV17" s="28"/>
      <c r="XW17" s="28"/>
      <c r="XX17" s="28"/>
      <c r="XY17" s="28"/>
      <c r="XZ17" s="28"/>
      <c r="YA17" s="28"/>
      <c r="YB17" s="28"/>
      <c r="YC17" s="28"/>
      <c r="YD17" s="28"/>
      <c r="YE17" s="26"/>
      <c r="YF17" s="26"/>
      <c r="YG17" s="26"/>
      <c r="YH17" s="26"/>
      <c r="YI17" s="28"/>
      <c r="YJ17" s="28"/>
      <c r="YK17" s="28"/>
      <c r="YL17" s="28"/>
      <c r="YM17" s="28"/>
      <c r="YN17" s="28"/>
      <c r="YO17" s="28"/>
      <c r="YP17" s="28"/>
      <c r="YQ17" s="42"/>
      <c r="YR17" s="42"/>
      <c r="YS17" s="42"/>
      <c r="YT17" s="42"/>
      <c r="YU17" s="28"/>
      <c r="YV17" s="28"/>
      <c r="YW17" s="33"/>
      <c r="YX17" s="28"/>
      <c r="YY17" s="28"/>
      <c r="YZ17" s="28"/>
      <c r="ZA17" s="28"/>
      <c r="ZB17" s="28"/>
      <c r="ZC17" s="28"/>
      <c r="ZD17" s="28"/>
      <c r="ZE17" s="28"/>
      <c r="ZF17" s="28"/>
      <c r="ZG17" s="28"/>
      <c r="ZH17" s="28"/>
      <c r="ZI17" s="28"/>
      <c r="ZJ17" s="42"/>
      <c r="ZK17" s="42"/>
      <c r="ZL17" s="42"/>
      <c r="ZM17" s="42"/>
      <c r="ZN17" s="42"/>
      <c r="ZO17" s="42"/>
      <c r="ZP17" s="42"/>
      <c r="ZQ17" s="42"/>
      <c r="ZR17" s="42"/>
      <c r="ZS17" s="42"/>
      <c r="ZT17" s="42"/>
      <c r="ZU17" s="42"/>
      <c r="ZV17" s="42"/>
      <c r="ZW17" s="42"/>
      <c r="ZX17" s="42"/>
      <c r="ZY17" s="42"/>
      <c r="ZZ17" s="28"/>
      <c r="AAA17" s="28"/>
      <c r="AAB17" s="28"/>
      <c r="AAC17" s="28"/>
      <c r="AAD17" s="28"/>
      <c r="AAE17" s="28"/>
      <c r="AAF17" s="28"/>
      <c r="AAG17" s="28"/>
      <c r="AAH17" s="28"/>
      <c r="AAI17" s="28"/>
      <c r="AAJ17" s="28"/>
      <c r="AAK17" s="28"/>
      <c r="AAL17" s="28"/>
      <c r="AAM17" s="28"/>
      <c r="AAN17" s="42"/>
      <c r="AAO17" s="42"/>
      <c r="AAP17" s="42"/>
      <c r="AAQ17" s="42"/>
      <c r="AAR17" s="42"/>
      <c r="AAS17" s="42"/>
      <c r="AAT17" s="42"/>
      <c r="AAU17" s="42"/>
      <c r="AAV17" s="42"/>
      <c r="AAW17" s="42"/>
      <c r="AAX17" s="42"/>
      <c r="AAY17" s="42"/>
      <c r="AAZ17" s="42"/>
      <c r="ABA17" s="42"/>
      <c r="ABB17" s="42"/>
      <c r="ABC17" s="42"/>
      <c r="ABD17" s="28"/>
      <c r="ABE17" s="28"/>
      <c r="ABF17" s="28"/>
      <c r="ABG17" s="28"/>
      <c r="ABH17" s="28"/>
      <c r="ABI17" s="28"/>
      <c r="ABJ17" s="28"/>
      <c r="ABK17" s="28"/>
      <c r="ABL17" s="28"/>
      <c r="ABM17" s="28"/>
      <c r="ABN17" s="28"/>
      <c r="ABO17" s="28"/>
      <c r="ABP17" s="28"/>
      <c r="ABQ17" s="28"/>
      <c r="ABR17" s="28"/>
    </row>
    <row r="18" spans="1:1822" customFormat="1" x14ac:dyDescent="0.3">
      <c r="A18" s="18">
        <v>14</v>
      </c>
      <c r="B18" s="2" t="s">
        <v>17</v>
      </c>
      <c r="C18" s="56" t="s">
        <v>40</v>
      </c>
      <c r="D18" s="56" t="s">
        <v>41</v>
      </c>
      <c r="E18" s="21">
        <v>45492</v>
      </c>
      <c r="F18" s="21">
        <v>45492</v>
      </c>
      <c r="G18" s="21">
        <f t="shared" si="0"/>
        <v>45582</v>
      </c>
      <c r="H18" s="22">
        <v>45969</v>
      </c>
      <c r="I18" s="22"/>
      <c r="J18" s="22"/>
      <c r="K18" s="23" t="s">
        <v>123</v>
      </c>
      <c r="L18" s="23">
        <f ca="1">IF(F18=0,"NA",ROUND(($L$1-F18+1)/365*30,1))</f>
        <v>42.7</v>
      </c>
      <c r="M18" s="23">
        <f t="shared" ref="M18:M32" ca="1" si="17">IF(L18="NA",0,L18-P18)</f>
        <v>25.700000000000003</v>
      </c>
      <c r="N18" s="171">
        <v>46156</v>
      </c>
      <c r="O18" s="171">
        <v>46172</v>
      </c>
      <c r="P18" s="24">
        <f t="shared" si="3"/>
        <v>17</v>
      </c>
      <c r="Q18" s="33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7">
        <v>1</v>
      </c>
      <c r="DS18" s="27">
        <v>1</v>
      </c>
      <c r="DT18" s="27">
        <v>1</v>
      </c>
      <c r="DU18" s="27">
        <v>1</v>
      </c>
      <c r="DV18" s="27">
        <v>1</v>
      </c>
      <c r="DW18" s="27">
        <v>1</v>
      </c>
      <c r="DX18" s="27">
        <v>1</v>
      </c>
      <c r="DY18" s="27">
        <v>1</v>
      </c>
      <c r="DZ18" s="27">
        <v>1</v>
      </c>
      <c r="EA18" s="27">
        <v>1</v>
      </c>
      <c r="EB18" s="27">
        <v>1</v>
      </c>
      <c r="EC18" s="27">
        <v>1</v>
      </c>
      <c r="ED18" s="27">
        <v>1</v>
      </c>
      <c r="EE18" s="27">
        <v>1</v>
      </c>
      <c r="EF18" s="27">
        <v>1</v>
      </c>
      <c r="EG18" s="27">
        <v>1</v>
      </c>
      <c r="EH18" s="27">
        <v>1</v>
      </c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32"/>
      <c r="IJ18" s="32"/>
      <c r="IK18" s="32"/>
      <c r="IL18" s="32"/>
      <c r="IM18" s="32"/>
      <c r="IN18" s="32"/>
      <c r="IO18" s="32"/>
      <c r="IP18" s="32"/>
      <c r="IQ18" s="32"/>
      <c r="IR18" s="32"/>
      <c r="IS18" s="32"/>
      <c r="IT18" s="32"/>
      <c r="IU18" s="32"/>
      <c r="IV18" s="32"/>
      <c r="IW18" s="32"/>
      <c r="IX18" s="32"/>
      <c r="IY18" s="32"/>
      <c r="IZ18" s="32"/>
      <c r="JA18" s="32"/>
      <c r="JB18" s="32"/>
      <c r="JC18" s="32"/>
      <c r="JD18" s="32"/>
      <c r="JE18" s="32"/>
      <c r="JF18" s="32"/>
      <c r="JG18" s="32"/>
      <c r="JH18" s="32"/>
      <c r="JI18" s="32"/>
      <c r="JJ18" s="32"/>
      <c r="JK18" s="32"/>
      <c r="JL18" s="32"/>
      <c r="JM18" s="32"/>
      <c r="JN18" s="32"/>
      <c r="JO18" s="32"/>
      <c r="JP18" s="32"/>
      <c r="JQ18" s="32"/>
      <c r="JR18" s="32"/>
      <c r="JS18" s="32"/>
      <c r="JT18" s="32"/>
      <c r="JU18" s="28"/>
      <c r="JV18" s="28"/>
      <c r="JW18" s="28"/>
      <c r="JX18" s="28"/>
      <c r="JY18" s="28"/>
      <c r="JZ18" s="28"/>
      <c r="KA18" s="28"/>
      <c r="KB18" s="28"/>
      <c r="KC18" s="28"/>
      <c r="KD18" s="26"/>
      <c r="KE18" s="26"/>
      <c r="KF18" s="26"/>
      <c r="KG18" s="26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30">
        <v>1</v>
      </c>
      <c r="LG18" s="30">
        <v>1</v>
      </c>
      <c r="LH18" s="30">
        <v>1</v>
      </c>
      <c r="LI18" s="30">
        <v>1</v>
      </c>
      <c r="LJ18" s="30">
        <v>1</v>
      </c>
      <c r="LK18" s="30">
        <v>1</v>
      </c>
      <c r="LL18" s="30">
        <v>1</v>
      </c>
      <c r="LM18" s="30">
        <v>1</v>
      </c>
      <c r="LN18" s="30">
        <v>1</v>
      </c>
      <c r="LO18" s="62">
        <v>1</v>
      </c>
      <c r="LP18" s="62">
        <v>1</v>
      </c>
      <c r="LQ18" s="62">
        <v>1</v>
      </c>
      <c r="LR18" s="62">
        <v>1</v>
      </c>
      <c r="LS18" s="62">
        <v>1</v>
      </c>
      <c r="LT18" s="62">
        <v>1</v>
      </c>
      <c r="LU18" s="62">
        <v>1</v>
      </c>
      <c r="LV18" s="62">
        <v>1</v>
      </c>
      <c r="LW18" s="42"/>
      <c r="LX18" s="42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42"/>
      <c r="MN18" s="42"/>
      <c r="MO18" s="42"/>
      <c r="MP18" s="42"/>
      <c r="MQ18" s="42"/>
      <c r="MR18" s="42"/>
      <c r="MS18" s="42"/>
      <c r="MT18" s="42"/>
      <c r="MU18" s="42"/>
      <c r="MV18" s="42"/>
      <c r="MW18" s="42"/>
      <c r="MX18" s="42"/>
      <c r="MY18" s="42"/>
      <c r="MZ18" s="42"/>
      <c r="NA18" s="42"/>
      <c r="NB18" s="42"/>
      <c r="NC18" s="28"/>
      <c r="ND18" s="28"/>
      <c r="NE18" s="44"/>
      <c r="NF18" s="92"/>
      <c r="NG18" s="92"/>
      <c r="NH18" s="92"/>
      <c r="NI18" s="92"/>
      <c r="NJ18" s="92"/>
      <c r="NK18" s="92"/>
      <c r="NL18" s="92"/>
      <c r="NM18" s="92"/>
      <c r="NN18" s="92"/>
      <c r="NO18" s="92"/>
      <c r="NP18" s="92"/>
      <c r="NQ18" s="92"/>
      <c r="NR18" s="100"/>
      <c r="NS18" s="100"/>
      <c r="NT18" s="100"/>
      <c r="NU18" s="100"/>
      <c r="NV18" s="100"/>
      <c r="NW18" s="210"/>
      <c r="NX18" s="42"/>
      <c r="NY18" s="42"/>
      <c r="NZ18" s="42"/>
      <c r="OA18" s="42"/>
      <c r="OB18" s="42"/>
      <c r="OC18" s="42"/>
      <c r="OD18" s="42"/>
      <c r="OE18" s="42"/>
      <c r="OF18" s="42"/>
      <c r="OG18" s="42"/>
      <c r="OH18" s="28"/>
      <c r="OI18" s="28"/>
      <c r="OJ18" s="28"/>
      <c r="OK18" s="28"/>
      <c r="OL18" s="28"/>
      <c r="OM18" s="28"/>
      <c r="ON18" s="28"/>
      <c r="OO18" s="28"/>
      <c r="OP18" s="28"/>
      <c r="OQ18" s="28"/>
      <c r="OR18" s="28"/>
      <c r="OS18" s="28"/>
      <c r="OT18" s="28"/>
      <c r="OU18" s="28"/>
      <c r="OV18" s="28"/>
      <c r="OW18" s="48"/>
      <c r="OX18" s="48"/>
      <c r="OY18" s="48"/>
      <c r="OZ18" s="48"/>
      <c r="PA18" s="48"/>
      <c r="PB18" s="58"/>
      <c r="PC18" s="58"/>
      <c r="PD18" s="58"/>
      <c r="PE18" s="58"/>
      <c r="PF18" s="42"/>
      <c r="PG18" s="42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  <c r="PS18" s="26"/>
      <c r="PT18" s="26"/>
      <c r="PU18" s="26"/>
      <c r="PV18" s="26"/>
      <c r="PW18" s="26"/>
      <c r="PX18" s="26"/>
      <c r="PY18" s="26"/>
      <c r="PZ18" s="28"/>
      <c r="QA18" s="28"/>
      <c r="QB18" s="28"/>
      <c r="QC18" s="28"/>
      <c r="QD18" s="28"/>
      <c r="QE18" s="28"/>
      <c r="QF18" s="28"/>
      <c r="QG18" s="28"/>
      <c r="QH18" s="28"/>
      <c r="QI18" s="28"/>
      <c r="QJ18" s="28"/>
      <c r="QK18" s="28"/>
      <c r="QL18" s="28"/>
      <c r="QM18" s="28"/>
      <c r="QN18" s="28"/>
      <c r="QO18" s="28"/>
      <c r="QP18" s="28"/>
      <c r="QQ18" s="28"/>
      <c r="QR18" s="28"/>
      <c r="QS18" s="28"/>
      <c r="QT18" s="28"/>
      <c r="QU18" s="28"/>
      <c r="QV18" s="28"/>
      <c r="QW18" s="170">
        <v>1</v>
      </c>
      <c r="QX18" s="170">
        <v>1</v>
      </c>
      <c r="QY18" s="170">
        <v>1</v>
      </c>
      <c r="QZ18" s="170">
        <v>1</v>
      </c>
      <c r="RA18" s="170">
        <v>1</v>
      </c>
      <c r="RB18" s="170">
        <v>1</v>
      </c>
      <c r="RC18" s="170">
        <v>1</v>
      </c>
      <c r="RD18" s="170">
        <v>1</v>
      </c>
      <c r="RE18" s="170">
        <v>1</v>
      </c>
      <c r="RF18" s="170">
        <v>1</v>
      </c>
      <c r="RG18" s="170">
        <v>1</v>
      </c>
      <c r="RH18" s="170">
        <v>1</v>
      </c>
      <c r="RI18" s="170">
        <v>1</v>
      </c>
      <c r="RJ18" s="170">
        <v>1</v>
      </c>
      <c r="RK18" s="170">
        <v>1</v>
      </c>
      <c r="RL18" s="170">
        <v>1</v>
      </c>
      <c r="RM18" s="170">
        <v>1</v>
      </c>
      <c r="RN18" s="28"/>
      <c r="RO18" s="28"/>
      <c r="RP18" s="28"/>
      <c r="RQ18" s="28"/>
      <c r="RR18" s="28"/>
      <c r="RS18" s="28"/>
      <c r="RT18" s="28"/>
      <c r="RU18" s="28"/>
      <c r="RV18" s="28"/>
      <c r="RW18" s="28"/>
      <c r="RX18" s="28"/>
      <c r="RY18" s="28"/>
      <c r="RZ18" s="28"/>
      <c r="SA18" s="28"/>
      <c r="SB18" s="28"/>
      <c r="SC18" s="28"/>
      <c r="SD18" s="28"/>
      <c r="SE18" s="28"/>
      <c r="SF18" s="28"/>
      <c r="SG18" s="28"/>
      <c r="SH18" s="28"/>
      <c r="SI18" s="28"/>
      <c r="SJ18" s="28"/>
      <c r="SK18" s="28"/>
      <c r="SL18" s="28"/>
      <c r="SM18" s="28"/>
      <c r="SN18" s="28"/>
      <c r="SO18" s="28"/>
      <c r="SP18" s="28"/>
      <c r="SQ18" s="28"/>
      <c r="SR18" s="28"/>
      <c r="SS18" s="28"/>
      <c r="ST18" s="28"/>
      <c r="SU18" s="28"/>
      <c r="SV18" s="28"/>
      <c r="SW18" s="28"/>
      <c r="SX18" s="28"/>
      <c r="SY18" s="28"/>
      <c r="SZ18" s="28"/>
      <c r="TA18" s="28"/>
      <c r="TB18" s="28"/>
      <c r="TC18" s="28"/>
      <c r="TD18" s="28"/>
      <c r="TE18" s="28"/>
      <c r="TF18" s="28"/>
      <c r="TG18" s="28"/>
      <c r="TH18" s="28"/>
      <c r="TI18" s="28"/>
      <c r="TJ18" s="28"/>
      <c r="TK18" s="28"/>
      <c r="TL18" s="28"/>
      <c r="TM18" s="32"/>
      <c r="TN18" s="28"/>
      <c r="TO18" s="28"/>
      <c r="TP18" s="28"/>
      <c r="TQ18" s="28"/>
      <c r="TR18" s="28"/>
      <c r="TS18" s="28"/>
      <c r="TT18" s="28"/>
      <c r="TU18" s="28"/>
      <c r="TV18" s="28"/>
      <c r="TW18" s="28"/>
      <c r="TX18" s="28"/>
      <c r="TY18" s="28"/>
      <c r="TZ18" s="28"/>
      <c r="UA18" s="28"/>
      <c r="UB18" s="28"/>
      <c r="UC18" s="28"/>
      <c r="UD18" s="28"/>
      <c r="UE18" s="28"/>
      <c r="UF18" s="28"/>
      <c r="UG18" s="28"/>
      <c r="UH18" s="28"/>
      <c r="UI18" s="28"/>
      <c r="UJ18" s="28"/>
      <c r="UK18" s="28"/>
      <c r="UL18" s="28"/>
      <c r="UM18" s="28"/>
      <c r="UN18" s="28"/>
      <c r="UO18" s="28"/>
      <c r="UP18" s="28"/>
      <c r="UQ18" s="28"/>
      <c r="UR18" s="28"/>
      <c r="US18" s="28"/>
      <c r="UT18" s="28"/>
      <c r="UU18" s="28"/>
      <c r="UV18" s="28"/>
      <c r="UW18" s="28"/>
      <c r="UX18" s="28"/>
      <c r="UY18" s="28"/>
      <c r="UZ18" s="28"/>
      <c r="VA18" s="28"/>
      <c r="VB18" s="28"/>
      <c r="VC18" s="28"/>
      <c r="VD18" s="28"/>
      <c r="VE18" s="28"/>
      <c r="VF18" s="28"/>
      <c r="VG18" s="28"/>
      <c r="VH18" s="28"/>
      <c r="VI18" s="28"/>
      <c r="VJ18" s="28"/>
      <c r="VK18" s="28"/>
      <c r="VL18" s="28"/>
      <c r="VM18" s="28"/>
      <c r="VN18" s="28"/>
      <c r="VO18" s="28"/>
      <c r="VP18" s="28"/>
      <c r="VQ18" s="28"/>
      <c r="VR18" s="28"/>
      <c r="VS18" s="28"/>
      <c r="VT18" s="28"/>
      <c r="VU18" s="28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32"/>
      <c r="WK18" s="32"/>
      <c r="WL18" s="32"/>
      <c r="WM18" s="32"/>
      <c r="WN18" s="32"/>
      <c r="WO18" s="32"/>
      <c r="WP18" s="32"/>
      <c r="WQ18" s="32"/>
      <c r="WR18" s="32"/>
      <c r="WS18" s="32"/>
      <c r="WT18" s="32"/>
      <c r="WU18" s="32"/>
      <c r="WV18" s="32"/>
      <c r="WW18" s="32"/>
      <c r="WX18" s="32"/>
      <c r="WY18" s="32"/>
      <c r="WZ18" s="32"/>
      <c r="XA18" s="32"/>
      <c r="XB18" s="32"/>
      <c r="XC18" s="32"/>
      <c r="XD18" s="32"/>
      <c r="XE18" s="32"/>
      <c r="XF18" s="32"/>
      <c r="XG18" s="28"/>
      <c r="XH18" s="28"/>
      <c r="XI18" s="28"/>
      <c r="XJ18" s="28"/>
      <c r="XK18" s="28"/>
      <c r="XL18" s="28"/>
      <c r="XM18" s="28"/>
      <c r="XN18" s="28"/>
      <c r="XO18" s="28"/>
      <c r="XP18" s="28"/>
      <c r="XQ18" s="28"/>
      <c r="XR18" s="28"/>
      <c r="XS18" s="28"/>
      <c r="XT18" s="28"/>
      <c r="XU18" s="28"/>
      <c r="XV18" s="28"/>
      <c r="XW18" s="28"/>
      <c r="XX18" s="28"/>
      <c r="XY18" s="28"/>
      <c r="XZ18" s="28"/>
      <c r="YA18" s="28"/>
      <c r="YB18" s="28"/>
      <c r="YC18" s="28"/>
      <c r="YD18" s="28"/>
      <c r="YE18" s="26"/>
      <c r="YF18" s="26"/>
      <c r="YG18" s="26"/>
      <c r="YH18" s="26"/>
      <c r="YI18" s="28"/>
      <c r="YJ18" s="28"/>
      <c r="YK18" s="28"/>
      <c r="YL18" s="28"/>
      <c r="YM18" s="28"/>
      <c r="YN18" s="28"/>
      <c r="YO18" s="28"/>
      <c r="YP18" s="28"/>
      <c r="YQ18" s="42"/>
      <c r="YR18" s="212">
        <v>1</v>
      </c>
      <c r="YS18" s="212">
        <v>1</v>
      </c>
      <c r="YT18" s="212">
        <v>1</v>
      </c>
      <c r="YU18" s="212">
        <v>1</v>
      </c>
      <c r="YV18" s="170">
        <v>1</v>
      </c>
      <c r="YW18" s="173">
        <v>1</v>
      </c>
      <c r="YX18" s="170">
        <v>1</v>
      </c>
      <c r="YY18" s="170">
        <v>1</v>
      </c>
      <c r="YZ18" s="170">
        <v>1</v>
      </c>
      <c r="ZA18" s="170">
        <v>1</v>
      </c>
      <c r="ZB18" s="170">
        <v>1</v>
      </c>
      <c r="ZC18" s="170">
        <v>1</v>
      </c>
      <c r="ZD18" s="170">
        <v>1</v>
      </c>
      <c r="ZE18" s="170">
        <v>1</v>
      </c>
      <c r="ZF18" s="170">
        <v>1</v>
      </c>
      <c r="ZG18" s="170">
        <v>1</v>
      </c>
      <c r="ZH18" s="170">
        <v>1</v>
      </c>
      <c r="ZI18" s="28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26"/>
      <c r="ZW18" s="26"/>
      <c r="ZX18" s="26"/>
      <c r="ZY18" s="26"/>
      <c r="ZZ18" s="28"/>
      <c r="AAA18" s="28"/>
      <c r="AAB18" s="28"/>
      <c r="AAC18" s="28"/>
      <c r="AAD18" s="28"/>
      <c r="AAE18" s="28"/>
      <c r="AAF18" s="28"/>
      <c r="AAG18" s="28"/>
      <c r="AAH18" s="28"/>
      <c r="AAI18" s="28"/>
      <c r="AAJ18" s="28"/>
      <c r="AAK18" s="28"/>
      <c r="AAL18" s="28"/>
      <c r="AAM18" s="28"/>
      <c r="AAN18" s="42"/>
      <c r="AAO18" s="42"/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28"/>
      <c r="ABE18" s="28"/>
      <c r="ABF18" s="28"/>
      <c r="ABG18" s="28"/>
      <c r="ABH18" s="28"/>
      <c r="ABI18" s="28"/>
      <c r="ABJ18" s="28"/>
      <c r="ABK18" s="28"/>
      <c r="ABL18" s="28"/>
      <c r="ABM18" s="28"/>
      <c r="ABN18" s="28"/>
      <c r="ABO18" s="28"/>
      <c r="ABP18" s="28"/>
      <c r="ABQ18" s="28"/>
      <c r="ABR18" s="28"/>
    </row>
    <row r="19" spans="1:1822" customFormat="1" x14ac:dyDescent="0.3">
      <c r="A19" s="18">
        <v>15</v>
      </c>
      <c r="B19" s="2" t="s">
        <v>17</v>
      </c>
      <c r="C19" s="38" t="s">
        <v>110</v>
      </c>
      <c r="D19" s="38" t="s">
        <v>111</v>
      </c>
      <c r="E19" s="21">
        <v>45839</v>
      </c>
      <c r="F19" s="21">
        <v>45867</v>
      </c>
      <c r="G19" s="21">
        <f>F19+90</f>
        <v>45957</v>
      </c>
      <c r="H19" s="22"/>
      <c r="I19" s="63"/>
      <c r="J19" s="22"/>
      <c r="K19" s="185" t="s">
        <v>31</v>
      </c>
      <c r="L19" s="23">
        <f ca="1">IF(F19=0,"NA",ROUND(($L$1-F19+1)/365*30,1))</f>
        <v>11.9</v>
      </c>
      <c r="M19" s="23">
        <f ca="1">IF(L19="NA",0,L19-P19)</f>
        <v>-5.0999999999999996</v>
      </c>
      <c r="N19" s="171">
        <v>46027</v>
      </c>
      <c r="O19" s="171">
        <v>46043</v>
      </c>
      <c r="P19" s="24">
        <f t="shared" ref="P19:P32" si="18">SUM(O19-N19+1)</f>
        <v>17</v>
      </c>
      <c r="Q19" s="33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8"/>
      <c r="DL19" s="28"/>
      <c r="DM19" s="28"/>
      <c r="DN19" s="28"/>
      <c r="DO19" s="28"/>
      <c r="DP19" s="28"/>
      <c r="DQ19" s="2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42"/>
      <c r="HV19" s="42"/>
      <c r="HW19" s="42"/>
      <c r="HX19" s="42"/>
      <c r="HY19" s="42"/>
      <c r="HZ19" s="42"/>
      <c r="IA19" s="42"/>
      <c r="IB19" s="42"/>
      <c r="IC19" s="42"/>
      <c r="ID19" s="46"/>
      <c r="IE19" s="42"/>
      <c r="IF19" s="42"/>
      <c r="IG19" s="42"/>
      <c r="IH19" s="4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2"/>
      <c r="JQ19" s="32"/>
      <c r="JR19" s="32"/>
      <c r="JS19" s="32"/>
      <c r="JT19" s="32"/>
      <c r="JU19" s="28"/>
      <c r="JV19" s="28"/>
      <c r="JW19" s="28"/>
      <c r="JX19" s="64"/>
      <c r="JY19" s="34"/>
      <c r="JZ19" s="34"/>
      <c r="KA19" s="34"/>
      <c r="KB19" s="29"/>
      <c r="KC19" s="29"/>
      <c r="KD19" s="48"/>
      <c r="KE19" s="48"/>
      <c r="KF19" s="65"/>
      <c r="KG19" s="66"/>
      <c r="KH19" s="34"/>
      <c r="KI19" s="34"/>
      <c r="KJ19" s="34"/>
      <c r="KK19" s="34"/>
      <c r="KL19" s="34"/>
      <c r="KM19" s="34"/>
      <c r="KN19" s="28"/>
      <c r="KO19" s="28"/>
      <c r="KP19" s="28"/>
      <c r="KQ19" s="28"/>
      <c r="KR19" s="28"/>
      <c r="KS19" s="28"/>
      <c r="KT19" s="28"/>
      <c r="KU19" s="28"/>
      <c r="KV19" s="34"/>
      <c r="KW19" s="34"/>
      <c r="KX19" s="34"/>
      <c r="KY19" s="28"/>
      <c r="KZ19" s="28"/>
      <c r="LA19" s="28"/>
      <c r="LB19" s="28"/>
      <c r="LC19" s="28"/>
      <c r="LD19" s="34"/>
      <c r="LE19" s="28"/>
      <c r="LF19" s="67"/>
      <c r="LG19" s="67"/>
      <c r="LH19" s="67"/>
      <c r="LI19" s="67"/>
      <c r="LJ19" s="67"/>
      <c r="LK19" s="67"/>
      <c r="LL19" s="67"/>
      <c r="LM19" s="67"/>
      <c r="LN19" s="67"/>
      <c r="LO19" s="68"/>
      <c r="LP19" s="68"/>
      <c r="LQ19" s="68"/>
      <c r="LR19" s="68"/>
      <c r="LS19" s="68"/>
      <c r="LT19" s="68"/>
      <c r="LU19" s="68"/>
      <c r="LV19" s="68"/>
      <c r="LW19" s="42"/>
      <c r="LX19" s="42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42"/>
      <c r="MN19" s="42"/>
      <c r="MO19" s="42"/>
      <c r="MP19" s="42"/>
      <c r="MQ19" s="42"/>
      <c r="MR19" s="42"/>
      <c r="MS19" s="42"/>
      <c r="MT19" s="42"/>
      <c r="MU19" s="42"/>
      <c r="MV19" s="42"/>
      <c r="MW19" s="42"/>
      <c r="MX19" s="42"/>
      <c r="MY19" s="42"/>
      <c r="MZ19" s="42"/>
      <c r="NA19" s="42"/>
      <c r="NB19" s="42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8"/>
      <c r="NO19" s="28"/>
      <c r="NP19" s="28"/>
      <c r="NQ19" s="28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2"/>
      <c r="OF19" s="42"/>
      <c r="OG19" s="42"/>
      <c r="OH19" s="28"/>
      <c r="OI19" s="28"/>
      <c r="OJ19" s="28"/>
      <c r="OK19" s="28"/>
      <c r="OL19" s="28"/>
      <c r="OM19" s="28"/>
      <c r="ON19" s="28"/>
      <c r="OO19" s="28"/>
      <c r="OP19" s="28"/>
      <c r="OQ19" s="28"/>
      <c r="OR19" s="28"/>
      <c r="OS19" s="28"/>
      <c r="OT19" s="28"/>
      <c r="OU19" s="44"/>
      <c r="OV19" s="92"/>
      <c r="OW19" s="59"/>
      <c r="OX19" s="59"/>
      <c r="OY19" s="59"/>
      <c r="OZ19" s="59"/>
      <c r="PA19" s="59"/>
      <c r="PB19" s="59"/>
      <c r="PC19" s="59"/>
      <c r="PD19" s="59"/>
      <c r="PE19" s="59"/>
      <c r="PF19" s="51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6"/>
      <c r="PX19" s="26"/>
      <c r="PY19" s="26"/>
      <c r="PZ19" s="28"/>
      <c r="QA19" s="28"/>
      <c r="QB19" s="28"/>
      <c r="QC19" s="28"/>
      <c r="QD19" s="28"/>
      <c r="QE19" s="28"/>
      <c r="QF19" s="28"/>
      <c r="QG19" s="28"/>
      <c r="QH19" s="28"/>
      <c r="QI19" s="28"/>
      <c r="QJ19" s="28"/>
      <c r="QK19" s="28"/>
      <c r="QL19" s="28"/>
      <c r="QM19" s="28"/>
      <c r="QN19" s="28"/>
      <c r="QO19" s="28"/>
      <c r="QP19" s="28"/>
      <c r="QQ19" s="28"/>
      <c r="QR19" s="28"/>
      <c r="QS19" s="28"/>
      <c r="QT19" s="28"/>
      <c r="QU19" s="28"/>
      <c r="QV19" s="28"/>
      <c r="QW19" s="28"/>
      <c r="QX19" s="28"/>
      <c r="QY19" s="28"/>
      <c r="QZ19" s="28"/>
      <c r="RA19" s="28"/>
      <c r="RB19" s="28"/>
      <c r="RC19" s="28"/>
      <c r="RD19" s="28"/>
      <c r="RE19" s="28"/>
      <c r="RF19" s="28"/>
      <c r="RG19" s="28"/>
      <c r="RH19" s="28"/>
      <c r="RI19" s="28"/>
      <c r="RJ19" s="28"/>
      <c r="RK19" s="28"/>
      <c r="RL19" s="28"/>
      <c r="RM19" s="28"/>
      <c r="RN19" s="28"/>
      <c r="RO19" s="28"/>
      <c r="RP19" s="28"/>
      <c r="RQ19" s="28"/>
      <c r="RR19" s="28"/>
      <c r="RS19" s="28"/>
      <c r="RT19" s="28"/>
      <c r="RU19" s="28"/>
      <c r="RV19" s="28"/>
      <c r="RW19" s="28"/>
      <c r="RX19" s="28"/>
      <c r="RY19" s="28"/>
      <c r="RZ19" s="28"/>
      <c r="SA19" s="28"/>
      <c r="SB19" s="28"/>
      <c r="SC19" s="28"/>
      <c r="SD19" s="28"/>
      <c r="SE19" s="28"/>
      <c r="SF19" s="28"/>
      <c r="SG19" s="28"/>
      <c r="SH19" s="28"/>
      <c r="SI19" s="28"/>
      <c r="SJ19" s="28"/>
      <c r="SK19" s="28"/>
      <c r="SL19" s="28"/>
      <c r="SM19" s="28"/>
      <c r="SN19" s="28"/>
      <c r="SO19" s="28"/>
      <c r="SP19" s="28"/>
      <c r="SQ19" s="28"/>
      <c r="SR19" s="28"/>
      <c r="SS19" s="28"/>
      <c r="ST19" s="28"/>
      <c r="SU19" s="28"/>
      <c r="SV19" s="28"/>
      <c r="SW19" s="28"/>
      <c r="SX19" s="28"/>
      <c r="SY19" s="28"/>
      <c r="SZ19" s="28"/>
      <c r="TA19" s="28"/>
      <c r="TB19" s="28"/>
      <c r="TC19" s="28"/>
      <c r="TD19" s="28"/>
      <c r="TE19" s="28"/>
      <c r="TF19" s="28"/>
      <c r="TG19" s="28"/>
      <c r="TH19" s="28"/>
      <c r="TI19" s="28"/>
      <c r="TJ19" s="28"/>
      <c r="TK19" s="28"/>
      <c r="TL19" s="28"/>
      <c r="TM19" s="32"/>
      <c r="TN19" s="28"/>
      <c r="TO19" s="28"/>
      <c r="TP19" s="28"/>
      <c r="TQ19" s="28"/>
      <c r="TR19" s="28"/>
      <c r="TS19" s="172">
        <v>1</v>
      </c>
      <c r="TT19" s="172">
        <v>1</v>
      </c>
      <c r="TU19" s="172">
        <v>1</v>
      </c>
      <c r="TV19" s="172">
        <v>1</v>
      </c>
      <c r="TW19" s="172">
        <v>1</v>
      </c>
      <c r="TX19" s="172">
        <v>1</v>
      </c>
      <c r="TY19" s="172">
        <v>1</v>
      </c>
      <c r="TZ19" s="172">
        <v>1</v>
      </c>
      <c r="UA19" s="172">
        <v>1</v>
      </c>
      <c r="UB19" s="172">
        <v>1</v>
      </c>
      <c r="UC19" s="172">
        <v>1</v>
      </c>
      <c r="UD19" s="172">
        <v>1</v>
      </c>
      <c r="UE19" s="172">
        <v>1</v>
      </c>
      <c r="UF19" s="172">
        <v>1</v>
      </c>
      <c r="UG19" s="172">
        <v>1</v>
      </c>
      <c r="UH19" s="172">
        <v>1</v>
      </c>
      <c r="UI19" s="172">
        <v>1</v>
      </c>
      <c r="UJ19" s="28"/>
      <c r="UK19" s="28"/>
      <c r="UL19" s="28"/>
      <c r="UM19" s="28"/>
      <c r="UN19" s="28"/>
      <c r="UO19" s="28"/>
      <c r="UP19" s="28"/>
      <c r="UQ19" s="28"/>
      <c r="UR19" s="28"/>
      <c r="US19" s="28"/>
      <c r="UT19" s="28"/>
      <c r="UU19" s="28"/>
      <c r="UV19" s="28"/>
      <c r="UW19" s="28"/>
      <c r="UX19" s="28"/>
      <c r="UY19" s="28"/>
      <c r="UZ19" s="28"/>
      <c r="VA19" s="28"/>
      <c r="VB19" s="28"/>
      <c r="VC19" s="28"/>
      <c r="VD19" s="28"/>
      <c r="VE19" s="28"/>
      <c r="VF19" s="28"/>
      <c r="VG19" s="28"/>
      <c r="VH19" s="28"/>
      <c r="VI19" s="28"/>
      <c r="VJ19" s="28"/>
      <c r="VK19" s="28"/>
      <c r="VL19" s="28"/>
      <c r="VM19" s="28"/>
      <c r="VN19" s="28"/>
      <c r="VO19" s="28"/>
      <c r="VP19" s="28"/>
      <c r="VQ19" s="28"/>
      <c r="VR19" s="28"/>
      <c r="VS19" s="28"/>
      <c r="VT19" s="28"/>
      <c r="VU19" s="28"/>
      <c r="VV19" s="42"/>
      <c r="VW19" s="42"/>
      <c r="VX19" s="42"/>
      <c r="VY19" s="42"/>
      <c r="VZ19" s="42"/>
      <c r="WA19" s="42"/>
      <c r="WB19" s="42"/>
      <c r="WC19" s="42"/>
      <c r="WD19" s="42"/>
      <c r="WE19" s="46"/>
      <c r="WF19" s="42"/>
      <c r="WG19" s="42"/>
      <c r="WH19" s="42"/>
      <c r="WI19" s="42"/>
      <c r="WJ19" s="32"/>
      <c r="WK19" s="32"/>
      <c r="WL19" s="32"/>
      <c r="WM19" s="32"/>
      <c r="WN19" s="32"/>
      <c r="WO19" s="32"/>
      <c r="WP19" s="32"/>
      <c r="WQ19" s="32"/>
      <c r="WR19" s="32"/>
      <c r="WS19" s="32"/>
      <c r="WT19" s="32"/>
      <c r="WU19" s="32"/>
      <c r="WV19" s="32"/>
      <c r="WW19" s="32"/>
      <c r="WX19" s="32"/>
      <c r="WY19" s="32"/>
      <c r="WZ19" s="32"/>
      <c r="XA19" s="32"/>
      <c r="XB19" s="32"/>
      <c r="XC19" s="32"/>
      <c r="XD19" s="32"/>
      <c r="XE19" s="32"/>
      <c r="XF19" s="32"/>
      <c r="XG19" s="28"/>
      <c r="XH19" s="28"/>
      <c r="XI19" s="28"/>
      <c r="XJ19" s="28"/>
      <c r="XK19" s="28"/>
      <c r="XL19" s="28"/>
      <c r="XM19" s="28"/>
      <c r="XN19" s="28"/>
      <c r="XO19" s="28"/>
      <c r="XP19" s="28"/>
      <c r="XQ19" s="28"/>
      <c r="XR19" s="28"/>
      <c r="XS19" s="28"/>
      <c r="XT19" s="28"/>
      <c r="XU19" s="28"/>
      <c r="XV19" s="28"/>
      <c r="XW19" s="28"/>
      <c r="XX19" s="28"/>
      <c r="XY19" s="64"/>
      <c r="XZ19" s="34"/>
      <c r="YA19" s="34"/>
      <c r="YB19" s="34"/>
      <c r="YC19" s="214"/>
      <c r="YD19" s="217"/>
      <c r="YE19" s="218"/>
      <c r="YF19" s="219"/>
      <c r="YG19" s="65"/>
      <c r="YH19" s="66"/>
      <c r="YI19" s="34"/>
      <c r="YJ19" s="34"/>
      <c r="YK19" s="34"/>
      <c r="YL19" s="34"/>
      <c r="YM19" s="34"/>
      <c r="YN19" s="34"/>
      <c r="YO19" s="28"/>
      <c r="YP19" s="28"/>
      <c r="YQ19" s="42"/>
      <c r="YR19" s="42"/>
      <c r="YS19" s="42"/>
      <c r="YT19" s="42"/>
      <c r="YU19" s="28"/>
      <c r="YV19" s="28"/>
      <c r="YW19" s="70"/>
      <c r="YX19" s="34"/>
      <c r="YY19" s="34"/>
      <c r="YZ19" s="28"/>
      <c r="ZA19" s="28"/>
      <c r="ZB19" s="28"/>
      <c r="ZC19" s="28"/>
      <c r="ZD19" s="28"/>
      <c r="ZE19" s="34"/>
      <c r="ZF19" s="28"/>
      <c r="ZG19" s="28"/>
      <c r="ZH19" s="28"/>
      <c r="ZI19" s="28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26"/>
      <c r="ZW19" s="26"/>
      <c r="ZX19" s="26"/>
      <c r="ZY19" s="26"/>
      <c r="ZZ19" s="28"/>
      <c r="AAA19" s="28"/>
      <c r="AAB19" s="28"/>
      <c r="AAC19" s="28"/>
      <c r="AAD19" s="28"/>
      <c r="AAE19" s="28"/>
      <c r="AAF19" s="28"/>
      <c r="AAG19" s="28"/>
      <c r="AAH19" s="28"/>
      <c r="AAI19" s="28"/>
      <c r="AAJ19" s="28"/>
      <c r="AAK19" s="28"/>
      <c r="AAL19" s="28"/>
      <c r="AAM19" s="28"/>
      <c r="AAN19" s="42"/>
      <c r="AAO19" s="42"/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28"/>
      <c r="ABE19" s="28"/>
      <c r="ABF19" s="28"/>
      <c r="ABG19" s="28"/>
      <c r="ABH19" s="28"/>
      <c r="ABI19" s="28"/>
      <c r="ABJ19" s="28"/>
      <c r="ABK19" s="28"/>
      <c r="ABL19" s="28"/>
      <c r="ABM19" s="28"/>
      <c r="ABN19" s="28"/>
      <c r="ABO19" s="28"/>
      <c r="ABP19" s="28"/>
      <c r="ABQ19" s="28"/>
      <c r="ABR19" s="28"/>
    </row>
    <row r="20" spans="1:1822" customFormat="1" x14ac:dyDescent="0.3">
      <c r="A20" s="18">
        <v>16</v>
      </c>
      <c r="B20" s="2" t="s">
        <v>17</v>
      </c>
      <c r="C20" s="49" t="s">
        <v>42</v>
      </c>
      <c r="D20" s="49" t="s">
        <v>43</v>
      </c>
      <c r="E20" s="21">
        <v>45597</v>
      </c>
      <c r="F20" s="21">
        <v>45607</v>
      </c>
      <c r="G20" s="21">
        <f t="shared" si="0"/>
        <v>45697</v>
      </c>
      <c r="H20" s="22">
        <v>45818</v>
      </c>
      <c r="I20" s="63"/>
      <c r="J20" s="37"/>
      <c r="K20" s="51" t="s">
        <v>122</v>
      </c>
      <c r="L20" s="23">
        <f t="shared" ref="L20:L32" ca="1" si="19">IF(F20=0,"NA",ROUND(($L$1-F20+1)/365*30,1))</f>
        <v>33.299999999999997</v>
      </c>
      <c r="M20" s="23">
        <f t="shared" ca="1" si="17"/>
        <v>16.299999999999997</v>
      </c>
      <c r="N20" s="35">
        <v>46009</v>
      </c>
      <c r="O20" s="35">
        <v>46025</v>
      </c>
      <c r="P20" s="24">
        <f t="shared" si="18"/>
        <v>17</v>
      </c>
      <c r="Q20" s="33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8"/>
      <c r="HP20" s="28"/>
      <c r="HQ20" s="28"/>
      <c r="HR20" s="28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44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32"/>
      <c r="IV20" s="32"/>
      <c r="IW20" s="32"/>
      <c r="IX20" s="32"/>
      <c r="IY20" s="28"/>
      <c r="IZ20" s="28"/>
      <c r="JA20" s="28"/>
      <c r="JB20" s="28"/>
      <c r="JC20" s="28"/>
      <c r="JD20" s="28"/>
      <c r="JE20" s="42"/>
      <c r="JF20" s="42"/>
      <c r="JG20" s="42"/>
      <c r="JH20" s="42"/>
      <c r="JI20" s="42"/>
      <c r="JJ20" s="42"/>
      <c r="JK20" s="42"/>
      <c r="JL20" s="42"/>
      <c r="JM20" s="32"/>
      <c r="JN20" s="32"/>
      <c r="JO20" s="32"/>
      <c r="JP20" s="32"/>
      <c r="JQ20" s="32"/>
      <c r="JR20" s="32"/>
      <c r="JS20" s="32"/>
      <c r="JT20" s="32"/>
      <c r="JU20" s="32"/>
      <c r="JV20" s="32"/>
      <c r="JW20" s="32"/>
      <c r="JX20" s="71"/>
      <c r="JY20" s="72"/>
      <c r="JZ20" s="72"/>
      <c r="KA20" s="72"/>
      <c r="KB20" s="73"/>
      <c r="KC20" s="73"/>
      <c r="KD20" s="29"/>
      <c r="KE20" s="29"/>
      <c r="KF20" s="70"/>
      <c r="KG20" s="34"/>
      <c r="KH20" s="34"/>
      <c r="KI20" s="74"/>
      <c r="KJ20" s="74"/>
      <c r="KK20" s="74"/>
      <c r="KL20" s="74"/>
      <c r="KM20" s="74"/>
      <c r="KN20" s="42"/>
      <c r="KO20" s="42"/>
      <c r="KP20" s="42"/>
      <c r="KQ20" s="42"/>
      <c r="KR20" s="42"/>
      <c r="KS20" s="32"/>
      <c r="KT20" s="32"/>
      <c r="KU20" s="32"/>
      <c r="KV20" s="34"/>
      <c r="KW20" s="34"/>
      <c r="KX20" s="34"/>
      <c r="KY20" s="28"/>
      <c r="KZ20" s="28"/>
      <c r="LA20" s="28"/>
      <c r="LB20" s="43">
        <v>1</v>
      </c>
      <c r="LC20" s="43">
        <v>1</v>
      </c>
      <c r="LD20" s="75">
        <v>1</v>
      </c>
      <c r="LE20" s="43">
        <v>1</v>
      </c>
      <c r="LF20" s="43">
        <v>1</v>
      </c>
      <c r="LG20" s="43">
        <v>1</v>
      </c>
      <c r="LH20" s="43">
        <v>1</v>
      </c>
      <c r="LI20" s="43">
        <v>1</v>
      </c>
      <c r="LJ20" s="43">
        <v>1</v>
      </c>
      <c r="LK20" s="43">
        <v>1</v>
      </c>
      <c r="LL20" s="43">
        <v>1</v>
      </c>
      <c r="LM20" s="43">
        <v>1</v>
      </c>
      <c r="LN20" s="43">
        <v>1</v>
      </c>
      <c r="LO20" s="43">
        <v>1</v>
      </c>
      <c r="LP20" s="43">
        <v>1</v>
      </c>
      <c r="LQ20" s="43">
        <v>1</v>
      </c>
      <c r="LR20" s="43">
        <v>1</v>
      </c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42"/>
      <c r="MS20" s="42"/>
      <c r="MT20" s="42"/>
      <c r="MU20" s="42"/>
      <c r="MV20" s="42"/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2"/>
      <c r="NO20" s="42"/>
      <c r="NP20" s="42"/>
      <c r="NQ20" s="42"/>
      <c r="NR20" s="28"/>
      <c r="NS20" s="28"/>
      <c r="NT20" s="28"/>
      <c r="NU20" s="28"/>
      <c r="NV20" s="28"/>
      <c r="NW20" s="42"/>
      <c r="NX20" s="42"/>
      <c r="NY20" s="42"/>
      <c r="NZ20" s="42"/>
      <c r="OA20" s="42"/>
      <c r="OB20" s="42"/>
      <c r="OC20" s="42"/>
      <c r="OD20" s="42"/>
      <c r="OE20" s="42"/>
      <c r="OF20" s="42"/>
      <c r="OG20" s="42"/>
      <c r="OH20" s="42"/>
      <c r="OI20" s="42"/>
      <c r="OJ20" s="42"/>
      <c r="OK20" s="42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34"/>
      <c r="OW20" s="34"/>
      <c r="OX20" s="34"/>
      <c r="OY20" s="34"/>
      <c r="OZ20" s="34"/>
      <c r="PA20" s="34"/>
      <c r="PB20" s="74"/>
      <c r="PC20" s="74"/>
      <c r="PD20" s="74"/>
      <c r="PE20" s="74"/>
      <c r="PF20" s="42"/>
      <c r="PG20" s="42"/>
      <c r="PH20" s="42"/>
      <c r="PI20" s="42"/>
      <c r="PJ20" s="26"/>
      <c r="PK20" s="26"/>
      <c r="PL20" s="26"/>
      <c r="PM20" s="26"/>
      <c r="PN20" s="26"/>
      <c r="PO20" s="26"/>
      <c r="PP20" s="26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170">
        <v>1</v>
      </c>
      <c r="TB20" s="170">
        <v>1</v>
      </c>
      <c r="TC20" s="170">
        <v>1</v>
      </c>
      <c r="TD20" s="170">
        <v>1</v>
      </c>
      <c r="TE20" s="170">
        <v>1</v>
      </c>
      <c r="TF20" s="170">
        <v>1</v>
      </c>
      <c r="TG20" s="170">
        <v>1</v>
      </c>
      <c r="TH20" s="170">
        <v>1</v>
      </c>
      <c r="TI20" s="170">
        <v>1</v>
      </c>
      <c r="TJ20" s="170">
        <v>1</v>
      </c>
      <c r="TK20" s="170">
        <v>1</v>
      </c>
      <c r="TL20" s="170">
        <v>1</v>
      </c>
      <c r="TM20" s="170">
        <v>1</v>
      </c>
      <c r="TN20" s="170">
        <v>1</v>
      </c>
      <c r="TO20" s="170">
        <v>1</v>
      </c>
      <c r="TP20" s="170">
        <v>1</v>
      </c>
      <c r="TQ20" s="170">
        <v>1</v>
      </c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44"/>
      <c r="WF20" s="28"/>
      <c r="WG20" s="28"/>
      <c r="WH20" s="28"/>
      <c r="WI20" s="28"/>
      <c r="WJ20" s="28"/>
      <c r="WK20" s="28"/>
      <c r="WL20" s="28"/>
      <c r="WM20" s="28"/>
      <c r="WN20" s="28"/>
      <c r="WO20" s="32"/>
      <c r="WP20" s="32"/>
      <c r="WQ20" s="32"/>
      <c r="WR20" s="32"/>
      <c r="WS20" s="32"/>
      <c r="WT20" s="32"/>
      <c r="WU20" s="32"/>
      <c r="WV20" s="32"/>
      <c r="WW20" s="32"/>
      <c r="WX20" s="32"/>
      <c r="WY20" s="32"/>
      <c r="WZ20" s="28"/>
      <c r="XA20" s="28"/>
      <c r="XB20" s="28"/>
      <c r="XC20" s="28"/>
      <c r="XD20" s="28"/>
      <c r="XE20" s="28"/>
      <c r="XF20" s="42"/>
      <c r="XG20" s="42"/>
      <c r="XH20" s="42"/>
      <c r="XI20" s="42"/>
      <c r="XJ20" s="42"/>
      <c r="XK20" s="42"/>
      <c r="XL20" s="42"/>
      <c r="XM20" s="42"/>
      <c r="XN20" s="32"/>
      <c r="XO20" s="32"/>
      <c r="XP20" s="32"/>
      <c r="XQ20" s="32"/>
      <c r="XR20" s="32"/>
      <c r="XS20" s="32"/>
      <c r="XT20" s="32"/>
      <c r="XU20" s="32"/>
      <c r="XV20" s="32"/>
      <c r="XW20" s="32"/>
      <c r="XX20" s="32"/>
      <c r="XY20" s="71"/>
      <c r="XZ20" s="72"/>
      <c r="YA20" s="72"/>
      <c r="YB20" s="72"/>
      <c r="YC20" s="215"/>
      <c r="YD20" s="216"/>
      <c r="YE20" s="214"/>
      <c r="YF20" s="217"/>
      <c r="YG20" s="70"/>
      <c r="YH20" s="34"/>
      <c r="YI20" s="34"/>
      <c r="YJ20" s="74"/>
      <c r="YK20" s="74"/>
      <c r="YL20" s="74"/>
      <c r="YM20" s="74"/>
      <c r="YN20" s="74"/>
      <c r="YO20" s="42"/>
      <c r="YP20" s="42"/>
      <c r="YQ20" s="42"/>
      <c r="YR20" s="42"/>
      <c r="YS20" s="42"/>
      <c r="YT20" s="32"/>
      <c r="YU20" s="32"/>
      <c r="YV20" s="32"/>
      <c r="YW20" s="34"/>
      <c r="YX20" s="34"/>
      <c r="YY20" s="34"/>
      <c r="YZ20" s="28"/>
      <c r="ZA20" s="28"/>
      <c r="ZB20" s="28"/>
      <c r="ZC20" s="28"/>
      <c r="ZD20" s="26"/>
      <c r="ZE20" s="66"/>
      <c r="ZF20" s="26"/>
      <c r="ZG20" s="26"/>
      <c r="ZH20" s="26"/>
      <c r="ZI20" s="26"/>
      <c r="ZJ20" s="26"/>
      <c r="ZK20" s="26"/>
      <c r="ZL20" s="26"/>
      <c r="ZM20" s="26"/>
      <c r="ZN20" s="28"/>
      <c r="ZO20" s="42"/>
      <c r="ZP20" s="42"/>
      <c r="ZQ20" s="42"/>
      <c r="ZR20" s="42"/>
      <c r="ZS20" s="42"/>
      <c r="ZT20" s="42"/>
      <c r="ZU20" s="42"/>
      <c r="ZV20" s="42"/>
      <c r="ZW20" s="42"/>
      <c r="ZX20" s="42"/>
      <c r="ZY20" s="42"/>
      <c r="ZZ20" s="42"/>
      <c r="AAA20" s="42"/>
      <c r="AAB20" s="42"/>
      <c r="AAC20" s="42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6"/>
      <c r="AAT20" s="26"/>
      <c r="AAU20" s="26"/>
      <c r="AAV20" s="26"/>
      <c r="AAW20" s="26"/>
      <c r="AAX20" s="26"/>
      <c r="AAY20" s="26"/>
      <c r="AAZ20" s="26"/>
      <c r="ABA20" s="26"/>
      <c r="ABB20" s="26"/>
      <c r="ABC20" s="26"/>
      <c r="ABD20" s="26"/>
      <c r="ABE20" s="42"/>
      <c r="ABF20" s="42"/>
      <c r="ABG20" s="42"/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</row>
    <row r="21" spans="1:1822" customFormat="1" x14ac:dyDescent="0.3">
      <c r="A21" s="18">
        <v>17</v>
      </c>
      <c r="B21" s="2" t="s">
        <v>17</v>
      </c>
      <c r="C21" s="38" t="s">
        <v>44</v>
      </c>
      <c r="D21" s="38" t="s">
        <v>45</v>
      </c>
      <c r="E21" s="21">
        <v>45720</v>
      </c>
      <c r="F21" s="21">
        <v>45749</v>
      </c>
      <c r="G21" s="21">
        <f t="shared" si="0"/>
        <v>45839</v>
      </c>
      <c r="H21" s="22">
        <v>45915</v>
      </c>
      <c r="I21" s="63"/>
      <c r="J21" s="37"/>
      <c r="K21" s="23" t="s">
        <v>101</v>
      </c>
      <c r="L21" s="23">
        <f t="shared" ca="1" si="19"/>
        <v>21.6</v>
      </c>
      <c r="M21" s="23">
        <f t="shared" ca="1" si="17"/>
        <v>4.6000000000000014</v>
      </c>
      <c r="N21" s="171">
        <v>46097</v>
      </c>
      <c r="O21" s="171">
        <v>46113</v>
      </c>
      <c r="P21" s="24">
        <f t="shared" si="18"/>
        <v>17</v>
      </c>
      <c r="Q21" s="33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8"/>
      <c r="HP21" s="28"/>
      <c r="HQ21" s="28"/>
      <c r="HR21" s="28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44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32"/>
      <c r="IV21" s="32"/>
      <c r="IW21" s="32"/>
      <c r="IX21" s="32"/>
      <c r="IY21" s="28"/>
      <c r="IZ21" s="28"/>
      <c r="JA21" s="28"/>
      <c r="JB21" s="28"/>
      <c r="JC21" s="28"/>
      <c r="JD21" s="28"/>
      <c r="JE21" s="42"/>
      <c r="JF21" s="42"/>
      <c r="JG21" s="42"/>
      <c r="JH21" s="42"/>
      <c r="JI21" s="42"/>
      <c r="JJ21" s="42"/>
      <c r="JK21" s="42"/>
      <c r="JL21" s="4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71"/>
      <c r="JY21" s="72"/>
      <c r="JZ21" s="72"/>
      <c r="KA21" s="72"/>
      <c r="KB21" s="73"/>
      <c r="KC21" s="73"/>
      <c r="KD21" s="29"/>
      <c r="KE21" s="29"/>
      <c r="KF21" s="70"/>
      <c r="KG21" s="34"/>
      <c r="KH21" s="34"/>
      <c r="KI21" s="74"/>
      <c r="KJ21" s="74"/>
      <c r="KK21" s="74"/>
      <c r="KL21" s="74"/>
      <c r="KM21" s="74"/>
      <c r="KN21" s="42"/>
      <c r="KO21" s="42"/>
      <c r="KP21" s="42"/>
      <c r="KQ21" s="42"/>
      <c r="KR21" s="42"/>
      <c r="KS21" s="32"/>
      <c r="KT21" s="32"/>
      <c r="KU21" s="32"/>
      <c r="KV21" s="34"/>
      <c r="KW21" s="34"/>
      <c r="KX21" s="34"/>
      <c r="KY21" s="28"/>
      <c r="KZ21" s="28"/>
      <c r="LA21" s="28"/>
      <c r="LB21" s="23"/>
      <c r="LC21" s="23"/>
      <c r="LD21" s="77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28"/>
      <c r="MD21" s="28"/>
      <c r="ME21" s="28"/>
      <c r="MF21" s="28"/>
      <c r="MG21" s="28"/>
      <c r="MH21" s="28"/>
      <c r="MI21" s="28"/>
      <c r="MJ21" s="28"/>
      <c r="MK21" s="28"/>
      <c r="ML21" s="28"/>
      <c r="MM21" s="28"/>
      <c r="MN21" s="28"/>
      <c r="MO21" s="28"/>
      <c r="MP21" s="28"/>
      <c r="MQ21" s="28"/>
      <c r="MR21" s="42"/>
      <c r="MS21" s="42"/>
      <c r="MT21" s="42"/>
      <c r="MU21" s="42"/>
      <c r="MV21" s="42"/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42"/>
      <c r="NO21" s="42"/>
      <c r="NP21" s="42"/>
      <c r="NQ21" s="42"/>
      <c r="NR21" s="28"/>
      <c r="NS21" s="28"/>
      <c r="NT21" s="28"/>
      <c r="NU21" s="28"/>
      <c r="NV21" s="28"/>
      <c r="NW21" s="42"/>
      <c r="NX21" s="42"/>
      <c r="NY21" s="42"/>
      <c r="NZ21" s="42"/>
      <c r="OA21" s="42"/>
      <c r="OB21" s="42"/>
      <c r="OC21" s="42"/>
      <c r="OD21" s="42"/>
      <c r="OE21" s="42"/>
      <c r="OF21" s="42"/>
      <c r="OG21" s="42"/>
      <c r="OH21" s="42"/>
      <c r="OI21" s="42"/>
      <c r="OJ21" s="42"/>
      <c r="OK21" s="42"/>
      <c r="OL21" s="28"/>
      <c r="OM21" s="28"/>
      <c r="ON21" s="28"/>
      <c r="OO21" s="28"/>
      <c r="OP21" s="28"/>
      <c r="OQ21" s="28"/>
      <c r="OR21" s="28"/>
      <c r="OS21" s="28"/>
      <c r="OT21" s="28"/>
      <c r="OU21" s="172">
        <v>1</v>
      </c>
      <c r="OV21" s="172">
        <v>1</v>
      </c>
      <c r="OW21" s="172">
        <v>1</v>
      </c>
      <c r="OX21" s="172">
        <v>1</v>
      </c>
      <c r="OY21" s="172">
        <v>1</v>
      </c>
      <c r="OZ21" s="172">
        <v>1</v>
      </c>
      <c r="PA21" s="172">
        <v>1</v>
      </c>
      <c r="PB21" s="172">
        <v>1</v>
      </c>
      <c r="PC21" s="172">
        <v>1</v>
      </c>
      <c r="PD21" s="172">
        <v>1</v>
      </c>
      <c r="PE21" s="172">
        <v>1</v>
      </c>
      <c r="PF21" s="172">
        <v>1</v>
      </c>
      <c r="PG21" s="172">
        <v>1</v>
      </c>
      <c r="PH21" s="172">
        <v>1</v>
      </c>
      <c r="PI21" s="172">
        <v>1</v>
      </c>
      <c r="PJ21" s="172">
        <v>1</v>
      </c>
      <c r="PK21" s="172">
        <v>1</v>
      </c>
      <c r="PL21" s="23"/>
      <c r="PM21" s="26"/>
      <c r="PN21" s="26"/>
      <c r="PO21" s="26"/>
      <c r="PP21" s="26"/>
      <c r="PQ21" s="28"/>
      <c r="PR21" s="28"/>
      <c r="PS21" s="28"/>
      <c r="PT21" s="28"/>
      <c r="PU21" s="28"/>
      <c r="PV21" s="28"/>
      <c r="PW21" s="28"/>
      <c r="PX21" s="28"/>
      <c r="PY21" s="28"/>
      <c r="PZ21" s="28"/>
      <c r="QA21" s="28"/>
      <c r="QB21" s="28"/>
      <c r="QC21" s="28"/>
      <c r="QD21" s="28"/>
      <c r="QE21" s="28"/>
      <c r="QF21" s="28"/>
      <c r="QG21" s="28"/>
      <c r="QH21" s="28"/>
      <c r="QI21" s="28"/>
      <c r="QJ21" s="28"/>
      <c r="QK21" s="28"/>
      <c r="QL21" s="28"/>
      <c r="QM21" s="28"/>
      <c r="QN21" s="28"/>
      <c r="QO21" s="28"/>
      <c r="QP21" s="28"/>
      <c r="QQ21" s="28"/>
      <c r="QR21" s="28"/>
      <c r="QS21" s="28"/>
      <c r="QT21" s="28"/>
      <c r="QU21" s="28"/>
      <c r="QV21" s="28"/>
      <c r="QW21" s="28"/>
      <c r="QX21" s="28"/>
      <c r="QY21" s="28"/>
      <c r="QZ21" s="28"/>
      <c r="RA21" s="28"/>
      <c r="RB21" s="28"/>
      <c r="RC21" s="28"/>
      <c r="RD21" s="28"/>
      <c r="RE21" s="28"/>
      <c r="RF21" s="28"/>
      <c r="RG21" s="28"/>
      <c r="RH21" s="28"/>
      <c r="RI21" s="28"/>
      <c r="RJ21" s="28"/>
      <c r="RK21" s="28"/>
      <c r="RL21" s="28"/>
      <c r="RM21" s="28"/>
      <c r="RN21" s="28"/>
      <c r="RO21" s="28"/>
      <c r="RP21" s="28"/>
      <c r="RQ21" s="28"/>
      <c r="RR21" s="28"/>
      <c r="RS21" s="28"/>
      <c r="RT21" s="28"/>
      <c r="RU21" s="28"/>
      <c r="RV21" s="28"/>
      <c r="RW21" s="28"/>
      <c r="RX21" s="28"/>
      <c r="RY21" s="28"/>
      <c r="RZ21" s="28"/>
      <c r="SA21" s="28"/>
      <c r="SB21" s="28"/>
      <c r="SC21" s="28"/>
      <c r="SD21" s="28"/>
      <c r="SE21" s="28"/>
      <c r="SF21" s="28"/>
      <c r="SG21" s="28"/>
      <c r="SH21" s="28"/>
      <c r="SI21" s="28"/>
      <c r="SJ21" s="28"/>
      <c r="SK21" s="28"/>
      <c r="SL21" s="28"/>
      <c r="SM21" s="28"/>
      <c r="SN21" s="28"/>
      <c r="SO21" s="28"/>
      <c r="SP21" s="28"/>
      <c r="SQ21" s="28"/>
      <c r="SR21" s="28"/>
      <c r="SS21" s="28"/>
      <c r="ST21" s="28"/>
      <c r="SU21" s="28"/>
      <c r="SV21" s="28"/>
      <c r="SW21" s="28"/>
      <c r="SX21" s="28"/>
      <c r="SY21" s="28"/>
      <c r="SZ21" s="28"/>
      <c r="TA21" s="28"/>
      <c r="TB21" s="28"/>
      <c r="TC21" s="28"/>
      <c r="TD21" s="28"/>
      <c r="TE21" s="28"/>
      <c r="TF21" s="28"/>
      <c r="TG21" s="28"/>
      <c r="TH21" s="28"/>
      <c r="TI21" s="28"/>
      <c r="TJ21" s="28"/>
      <c r="TK21" s="28"/>
      <c r="TL21" s="28"/>
      <c r="TM21" s="32"/>
      <c r="TN21" s="28"/>
      <c r="TO21" s="28"/>
      <c r="TP21" s="28"/>
      <c r="TQ21" s="28"/>
      <c r="TR21" s="28"/>
      <c r="TS21" s="28"/>
      <c r="TT21" s="28"/>
      <c r="TU21" s="28"/>
      <c r="TV21" s="28"/>
      <c r="TW21" s="28"/>
      <c r="TX21" s="28"/>
      <c r="TY21" s="28"/>
      <c r="TZ21" s="28"/>
      <c r="UA21" s="28"/>
      <c r="UB21" s="28"/>
      <c r="UC21" s="28"/>
      <c r="UD21" s="28"/>
      <c r="UE21" s="28"/>
      <c r="UF21" s="28"/>
      <c r="UG21" s="28"/>
      <c r="UH21" s="28"/>
      <c r="UI21" s="28"/>
      <c r="UJ21" s="28"/>
      <c r="UK21" s="28"/>
      <c r="UL21" s="28"/>
      <c r="UM21" s="28"/>
      <c r="UN21" s="28"/>
      <c r="UO21" s="28"/>
      <c r="UP21" s="28"/>
      <c r="UQ21" s="28"/>
      <c r="UR21" s="28"/>
      <c r="US21" s="28"/>
      <c r="UT21" s="28"/>
      <c r="UU21" s="28"/>
      <c r="UV21" s="28"/>
      <c r="UW21" s="28"/>
      <c r="UX21" s="28"/>
      <c r="UY21" s="28"/>
      <c r="UZ21" s="28"/>
      <c r="VA21" s="28"/>
      <c r="VB21" s="28"/>
      <c r="VC21" s="28"/>
      <c r="VD21" s="28"/>
      <c r="VE21" s="28"/>
      <c r="VF21" s="28"/>
      <c r="VG21" s="28"/>
      <c r="VH21" s="28"/>
      <c r="VI21" s="28"/>
      <c r="VJ21" s="28"/>
      <c r="VK21" s="28"/>
      <c r="VL21" s="28"/>
      <c r="VM21" s="28"/>
      <c r="VN21" s="28"/>
      <c r="VO21" s="28"/>
      <c r="VP21" s="28"/>
      <c r="VQ21" s="28"/>
      <c r="VR21" s="28"/>
      <c r="VS21" s="28"/>
      <c r="VT21" s="28"/>
      <c r="VU21" s="28"/>
      <c r="VV21" s="28"/>
      <c r="VW21" s="28"/>
      <c r="VX21" s="28"/>
      <c r="VY21" s="28"/>
      <c r="VZ21" s="28"/>
      <c r="WA21" s="28"/>
      <c r="WB21" s="28"/>
      <c r="WC21" s="28"/>
      <c r="WD21" s="28"/>
      <c r="WE21" s="44"/>
      <c r="WF21" s="28"/>
      <c r="WG21" s="28"/>
      <c r="WH21" s="28"/>
      <c r="WI21" s="28"/>
      <c r="WJ21" s="28"/>
      <c r="WK21" s="172">
        <v>1</v>
      </c>
      <c r="WL21" s="172">
        <v>1</v>
      </c>
      <c r="WM21" s="172">
        <v>1</v>
      </c>
      <c r="WN21" s="172">
        <v>1</v>
      </c>
      <c r="WO21" s="172">
        <v>1</v>
      </c>
      <c r="WP21" s="172">
        <v>1</v>
      </c>
      <c r="WQ21" s="172">
        <v>1</v>
      </c>
      <c r="WR21" s="172">
        <v>1</v>
      </c>
      <c r="WS21" s="172">
        <v>1</v>
      </c>
      <c r="WT21" s="172">
        <v>1</v>
      </c>
      <c r="WU21" s="172">
        <v>1</v>
      </c>
      <c r="WV21" s="172">
        <v>1</v>
      </c>
      <c r="WW21" s="172">
        <v>1</v>
      </c>
      <c r="WX21" s="172">
        <v>1</v>
      </c>
      <c r="WY21" s="172">
        <v>1</v>
      </c>
      <c r="WZ21" s="172">
        <v>1</v>
      </c>
      <c r="XA21" s="172">
        <v>1</v>
      </c>
      <c r="XB21" s="28"/>
      <c r="XC21" s="28"/>
      <c r="XD21" s="28"/>
      <c r="XE21" s="28"/>
      <c r="XF21" s="42"/>
      <c r="XG21" s="42"/>
      <c r="XH21" s="42"/>
      <c r="XI21" s="42"/>
      <c r="XJ21" s="42"/>
      <c r="XK21" s="42"/>
      <c r="XL21" s="42"/>
      <c r="XM21" s="4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71"/>
      <c r="XZ21" s="72"/>
      <c r="YA21" s="72"/>
      <c r="YB21" s="72"/>
      <c r="YC21" s="76"/>
      <c r="YD21" s="76"/>
      <c r="YE21" s="69"/>
      <c r="YF21" s="69"/>
      <c r="YG21" s="70"/>
      <c r="YH21" s="34"/>
      <c r="YI21" s="34"/>
      <c r="YJ21" s="74"/>
      <c r="YK21" s="74"/>
      <c r="YL21" s="74"/>
      <c r="YM21" s="74"/>
      <c r="YN21" s="74"/>
      <c r="YO21" s="42"/>
      <c r="YP21" s="42"/>
      <c r="YQ21" s="42"/>
      <c r="YR21" s="42"/>
      <c r="YS21" s="42"/>
      <c r="YT21" s="32"/>
      <c r="YU21" s="32"/>
      <c r="YV21" s="32"/>
      <c r="YW21" s="34"/>
      <c r="YX21" s="34"/>
      <c r="YY21" s="34"/>
      <c r="YZ21" s="28"/>
      <c r="ZA21" s="28"/>
      <c r="ZB21" s="28"/>
      <c r="ZC21" s="28"/>
      <c r="ZD21" s="26"/>
      <c r="ZE21" s="66"/>
      <c r="ZF21" s="26"/>
      <c r="ZG21" s="26"/>
      <c r="ZH21" s="26"/>
      <c r="ZI21" s="26"/>
      <c r="ZJ21" s="26"/>
      <c r="ZK21" s="26"/>
      <c r="ZL21" s="26"/>
      <c r="ZM21" s="26"/>
      <c r="ZN21" s="28"/>
      <c r="ZO21" s="42"/>
      <c r="ZP21" s="42"/>
      <c r="ZQ21" s="42"/>
      <c r="ZR21" s="42"/>
      <c r="ZS21" s="42"/>
      <c r="ZT21" s="42"/>
      <c r="ZU21" s="42"/>
      <c r="ZV21" s="42"/>
      <c r="ZW21" s="42"/>
      <c r="ZX21" s="42"/>
      <c r="ZY21" s="42"/>
      <c r="ZZ21" s="42"/>
      <c r="AAA21" s="42"/>
      <c r="AAB21" s="42"/>
      <c r="AAC21" s="42"/>
      <c r="AAD21" s="28"/>
      <c r="AAE21" s="28"/>
      <c r="AAF21" s="28"/>
      <c r="AAG21" s="28"/>
      <c r="AAH21" s="28"/>
      <c r="AAI21" s="28"/>
      <c r="AAJ21" s="28"/>
      <c r="AAK21" s="28"/>
      <c r="AAL21" s="28"/>
      <c r="AAM21" s="28"/>
      <c r="AAN21" s="28"/>
      <c r="AAO21" s="28"/>
      <c r="AAP21" s="28"/>
      <c r="AAQ21" s="28"/>
      <c r="AAR21" s="28"/>
      <c r="AAS21" s="26"/>
      <c r="AAT21" s="26"/>
      <c r="AAU21" s="26"/>
      <c r="AAV21" s="26"/>
      <c r="AAW21" s="26"/>
      <c r="AAX21" s="26"/>
      <c r="AAY21" s="26"/>
      <c r="AAZ21" s="26"/>
      <c r="ABA21" s="26"/>
      <c r="ABB21" s="26"/>
      <c r="ABC21" s="26"/>
      <c r="ABD21" s="26"/>
      <c r="ABE21" s="42"/>
      <c r="ABF21" s="42"/>
      <c r="ABG21" s="42"/>
      <c r="ABH21" s="42"/>
      <c r="ABI21" s="42"/>
      <c r="ABJ21" s="42"/>
      <c r="ABK21" s="42"/>
      <c r="ABL21" s="42"/>
      <c r="ABM21" s="42"/>
      <c r="ABN21" s="42"/>
      <c r="ABO21" s="42"/>
      <c r="ABP21" s="42"/>
      <c r="ABQ21" s="42"/>
      <c r="ABR21" s="42"/>
    </row>
    <row r="22" spans="1:1822" customFormat="1" x14ac:dyDescent="0.3">
      <c r="A22" s="18">
        <v>18</v>
      </c>
      <c r="B22" s="2" t="s">
        <v>17</v>
      </c>
      <c r="C22" s="38" t="s">
        <v>46</v>
      </c>
      <c r="D22" s="38" t="s">
        <v>47</v>
      </c>
      <c r="E22" s="21">
        <v>45492</v>
      </c>
      <c r="F22" s="21">
        <v>45492</v>
      </c>
      <c r="G22" s="21">
        <f t="shared" si="0"/>
        <v>45582</v>
      </c>
      <c r="H22" s="22">
        <v>45815</v>
      </c>
      <c r="I22" s="22"/>
      <c r="J22" s="22"/>
      <c r="K22" s="51" t="s">
        <v>102</v>
      </c>
      <c r="L22" s="23">
        <f t="shared" ca="1" si="19"/>
        <v>42.7</v>
      </c>
      <c r="M22" s="23">
        <f t="shared" ca="1" si="17"/>
        <v>25.700000000000003</v>
      </c>
      <c r="N22" s="35">
        <v>45974</v>
      </c>
      <c r="O22" s="35">
        <v>45990</v>
      </c>
      <c r="P22" s="24">
        <f t="shared" si="18"/>
        <v>17</v>
      </c>
      <c r="Q22" s="33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52">
        <v>1</v>
      </c>
      <c r="DK22" s="43">
        <v>1</v>
      </c>
      <c r="DL22" s="43">
        <v>1</v>
      </c>
      <c r="DM22" s="43">
        <v>1</v>
      </c>
      <c r="DN22" s="43">
        <v>1</v>
      </c>
      <c r="DO22" s="43">
        <v>1</v>
      </c>
      <c r="DP22" s="43">
        <v>1</v>
      </c>
      <c r="DQ22" s="43">
        <v>1</v>
      </c>
      <c r="DR22" s="43">
        <v>1</v>
      </c>
      <c r="DS22" s="43">
        <v>1</v>
      </c>
      <c r="DT22" s="43">
        <v>1</v>
      </c>
      <c r="DU22" s="43">
        <v>1</v>
      </c>
      <c r="DV22" s="43">
        <v>1</v>
      </c>
      <c r="DW22" s="43">
        <v>1</v>
      </c>
      <c r="DX22" s="43">
        <v>1</v>
      </c>
      <c r="DY22" s="43">
        <v>1</v>
      </c>
      <c r="DZ22" s="43">
        <v>1</v>
      </c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46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28"/>
      <c r="IQ22" s="28"/>
      <c r="IR22" s="28"/>
      <c r="IS22" s="28"/>
      <c r="IT22" s="28"/>
      <c r="IU22" s="28"/>
      <c r="IV22" s="28"/>
      <c r="IW22" s="28"/>
      <c r="IX22" s="28"/>
      <c r="IY22" s="28"/>
      <c r="IZ22" s="28"/>
      <c r="JA22" s="28"/>
      <c r="JB22" s="28"/>
      <c r="JC22" s="28"/>
      <c r="JD22" s="28"/>
      <c r="JE22" s="28"/>
      <c r="JF22" s="28"/>
      <c r="JG22" s="28"/>
      <c r="JH22" s="28"/>
      <c r="JI22" s="28"/>
      <c r="JJ22" s="28"/>
      <c r="JK22" s="28"/>
      <c r="JL22" s="28"/>
      <c r="JM22" s="28"/>
      <c r="JN22" s="28"/>
      <c r="JO22" s="28"/>
      <c r="JP22" s="28"/>
      <c r="JQ22" s="28"/>
      <c r="JR22" s="28"/>
      <c r="JS22" s="28"/>
      <c r="JT22" s="28"/>
      <c r="JU22" s="28"/>
      <c r="JV22" s="28"/>
      <c r="JW22" s="28"/>
      <c r="JX22" s="47"/>
      <c r="JY22" s="28"/>
      <c r="JZ22" s="28"/>
      <c r="KA22" s="28"/>
      <c r="KB22" s="29"/>
      <c r="KC22" s="29"/>
      <c r="KD22" s="29"/>
      <c r="KE22" s="29"/>
      <c r="KF22" s="28"/>
      <c r="KG22" s="28"/>
      <c r="KH22" s="28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43">
        <v>1</v>
      </c>
      <c r="KZ22" s="43">
        <v>1</v>
      </c>
      <c r="LA22" s="43">
        <v>1</v>
      </c>
      <c r="LB22" s="43">
        <v>1</v>
      </c>
      <c r="LC22" s="43">
        <v>1</v>
      </c>
      <c r="LD22" s="43">
        <v>1</v>
      </c>
      <c r="LE22" s="43">
        <v>1</v>
      </c>
      <c r="LF22" s="43">
        <v>1</v>
      </c>
      <c r="LG22" s="43">
        <v>1</v>
      </c>
      <c r="LH22" s="43">
        <v>1</v>
      </c>
      <c r="LI22" s="43">
        <v>1</v>
      </c>
      <c r="LJ22" s="43">
        <v>1</v>
      </c>
      <c r="LK22" s="43">
        <v>1</v>
      </c>
      <c r="LL22" s="43">
        <v>1</v>
      </c>
      <c r="LM22" s="43">
        <v>1</v>
      </c>
      <c r="LN22" s="43">
        <v>1</v>
      </c>
      <c r="LO22" s="43">
        <v>1</v>
      </c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8"/>
      <c r="MA22" s="28"/>
      <c r="MB22" s="28"/>
      <c r="MC22" s="28"/>
      <c r="MD22" s="28"/>
      <c r="ME22" s="28"/>
      <c r="MF22" s="28"/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8"/>
      <c r="MR22" s="28"/>
      <c r="MS22" s="28"/>
      <c r="MT22" s="28"/>
      <c r="MU22" s="28"/>
      <c r="MV22" s="28"/>
      <c r="MW22" s="28"/>
      <c r="MX22" s="28"/>
      <c r="MY22" s="28"/>
      <c r="MZ22" s="28"/>
      <c r="NA22" s="28"/>
      <c r="NB22" s="28"/>
      <c r="NC22" s="28"/>
      <c r="ND22" s="28"/>
      <c r="NE22" s="28"/>
      <c r="NF22" s="28"/>
      <c r="NG22" s="28"/>
      <c r="NH22" s="28"/>
      <c r="NI22" s="28"/>
      <c r="NJ22" s="28"/>
      <c r="NK22" s="28"/>
      <c r="NL22" s="28"/>
      <c r="NM22" s="28"/>
      <c r="NN22" s="28"/>
      <c r="NO22" s="28"/>
      <c r="NP22" s="28"/>
      <c r="NQ22" s="32"/>
      <c r="NR22" s="28"/>
      <c r="NS22" s="28"/>
      <c r="NT22" s="28"/>
      <c r="NU22" s="28"/>
      <c r="NV22" s="28"/>
      <c r="NW22" s="28"/>
      <c r="NX22" s="28"/>
      <c r="NY22" s="28"/>
      <c r="NZ22" s="28"/>
      <c r="OA22" s="28"/>
      <c r="OB22" s="28"/>
      <c r="OC22" s="28"/>
      <c r="OD22" s="28"/>
      <c r="OE22" s="28"/>
      <c r="OF22" s="28"/>
      <c r="OG22" s="28"/>
      <c r="OH22" s="28"/>
      <c r="OI22" s="28"/>
      <c r="OJ22" s="28"/>
      <c r="OK22" s="28"/>
      <c r="OL22" s="28"/>
      <c r="OM22" s="28"/>
      <c r="ON22" s="28"/>
      <c r="OO22" s="28"/>
      <c r="OP22" s="28"/>
      <c r="OQ22" s="28"/>
      <c r="OR22" s="28"/>
      <c r="OS22" s="28"/>
      <c r="OT22" s="28"/>
      <c r="OU22" s="28"/>
      <c r="OV22" s="28"/>
      <c r="OW22" s="28"/>
      <c r="OX22" s="28"/>
      <c r="OY22" s="28"/>
      <c r="OZ22" s="28"/>
      <c r="PA22" s="28"/>
      <c r="PB22" s="28"/>
      <c r="PC22" s="28"/>
      <c r="PD22" s="28"/>
      <c r="PE22" s="28"/>
      <c r="PF22" s="28"/>
      <c r="PG22" s="28"/>
      <c r="PH22" s="28"/>
      <c r="PI22" s="28"/>
      <c r="PJ22" s="28"/>
      <c r="PK22" s="28"/>
      <c r="PL22" s="28"/>
      <c r="PM22" s="28"/>
      <c r="PN22" s="28"/>
      <c r="PO22" s="28"/>
      <c r="PP22" s="28"/>
      <c r="PQ22" s="28"/>
      <c r="PR22" s="28"/>
      <c r="PS22" s="28"/>
      <c r="PT22" s="28"/>
      <c r="PU22" s="28"/>
      <c r="PV22" s="28"/>
      <c r="PW22" s="28"/>
      <c r="PX22" s="28"/>
      <c r="PY22" s="28"/>
      <c r="PZ22" s="28"/>
      <c r="QA22" s="28"/>
      <c r="QB22" s="28"/>
      <c r="QC22" s="28"/>
      <c r="QD22" s="28"/>
      <c r="QE22" s="28"/>
      <c r="QF22" s="28"/>
      <c r="QG22" s="28"/>
      <c r="QH22" s="28"/>
      <c r="QI22" s="28"/>
      <c r="QJ22" s="28"/>
      <c r="QK22" s="28"/>
      <c r="QL22" s="28"/>
      <c r="QM22" s="28"/>
      <c r="QN22" s="28"/>
      <c r="QO22" s="28"/>
      <c r="QP22" s="28"/>
      <c r="QQ22" s="28"/>
      <c r="QR22" s="28"/>
      <c r="QS22" s="28"/>
      <c r="QT22" s="28"/>
      <c r="QU22" s="28"/>
      <c r="QV22" s="28"/>
      <c r="QW22" s="28"/>
      <c r="QX22" s="28"/>
      <c r="QY22" s="28"/>
      <c r="QZ22" s="28"/>
      <c r="RA22" s="28"/>
      <c r="RB22" s="28"/>
      <c r="RC22" s="28"/>
      <c r="RD22" s="28"/>
      <c r="RE22" s="28"/>
      <c r="RF22" s="28"/>
      <c r="RG22" s="28"/>
      <c r="RH22" s="28"/>
      <c r="RI22" s="28"/>
      <c r="RJ22" s="28"/>
      <c r="RK22" s="28"/>
      <c r="RL22" s="28"/>
      <c r="RM22" s="28"/>
      <c r="RN22" s="28"/>
      <c r="RO22" s="28"/>
      <c r="RP22" s="28"/>
      <c r="RQ22" s="28"/>
      <c r="RR22" s="172">
        <v>1</v>
      </c>
      <c r="RS22" s="172">
        <v>1</v>
      </c>
      <c r="RT22" s="172">
        <v>1</v>
      </c>
      <c r="RU22" s="172">
        <v>1</v>
      </c>
      <c r="RV22" s="172">
        <v>1</v>
      </c>
      <c r="RW22" s="172">
        <v>1</v>
      </c>
      <c r="RX22" s="172">
        <v>1</v>
      </c>
      <c r="RY22" s="172">
        <v>1</v>
      </c>
      <c r="RZ22" s="172">
        <v>1</v>
      </c>
      <c r="SA22" s="172">
        <v>1</v>
      </c>
      <c r="SB22" s="172">
        <v>1</v>
      </c>
      <c r="SC22" s="172">
        <v>1</v>
      </c>
      <c r="SD22" s="172">
        <v>1</v>
      </c>
      <c r="SE22" s="172">
        <v>1</v>
      </c>
      <c r="SF22" s="172">
        <v>1</v>
      </c>
      <c r="SG22" s="172">
        <v>1</v>
      </c>
      <c r="SH22" s="172">
        <v>1</v>
      </c>
      <c r="SI22" s="28"/>
      <c r="SJ22" s="28"/>
      <c r="SK22" s="28"/>
      <c r="SL22" s="28"/>
      <c r="SM22" s="28"/>
      <c r="SN22" s="28"/>
      <c r="SO22" s="28"/>
      <c r="SP22" s="28"/>
      <c r="SQ22" s="28"/>
      <c r="SR22" s="28"/>
      <c r="SS22" s="28"/>
      <c r="ST22" s="28"/>
      <c r="SU22" s="28"/>
      <c r="SV22" s="28"/>
      <c r="SW22" s="28"/>
      <c r="SX22" s="28"/>
      <c r="SY22" s="28"/>
      <c r="SZ22" s="28"/>
      <c r="TA22" s="28"/>
      <c r="TB22" s="28"/>
      <c r="TC22" s="28"/>
      <c r="TD22" s="28"/>
      <c r="TE22" s="28"/>
      <c r="TF22" s="28"/>
      <c r="TG22" s="28"/>
      <c r="TH22" s="28"/>
      <c r="TI22" s="28"/>
      <c r="TJ22" s="28"/>
      <c r="TK22" s="28"/>
      <c r="TL22" s="28"/>
      <c r="TM22" s="32"/>
      <c r="TN22" s="28"/>
      <c r="TO22" s="28"/>
      <c r="TP22" s="28"/>
      <c r="TQ22" s="28"/>
      <c r="TR22" s="28"/>
      <c r="TS22" s="28"/>
      <c r="TT22" s="28"/>
      <c r="TU22" s="28"/>
      <c r="TV22" s="28"/>
      <c r="TW22" s="28"/>
      <c r="TX22" s="28"/>
      <c r="TY22" s="28"/>
      <c r="TZ22" s="28"/>
      <c r="UA22" s="28"/>
      <c r="UB22" s="28"/>
      <c r="UC22" s="28"/>
      <c r="UD22" s="28"/>
      <c r="UE22" s="28"/>
      <c r="UF22" s="28"/>
      <c r="UG22" s="28"/>
      <c r="UH22" s="28"/>
      <c r="UI22" s="28"/>
      <c r="UJ22" s="28"/>
      <c r="UK22" s="28"/>
      <c r="UL22" s="28"/>
      <c r="UM22" s="28"/>
      <c r="UN22" s="28"/>
      <c r="UO22" s="28"/>
      <c r="UP22" s="28"/>
      <c r="UQ22" s="28"/>
      <c r="UR22" s="28"/>
      <c r="US22" s="28"/>
      <c r="UT22" s="28"/>
      <c r="UU22" s="28"/>
      <c r="UV22" s="28"/>
      <c r="UW22" s="28"/>
      <c r="UX22" s="28"/>
      <c r="UY22" s="28"/>
      <c r="UZ22" s="28"/>
      <c r="VA22" s="28"/>
      <c r="VB22" s="28"/>
      <c r="VC22" s="28"/>
      <c r="VD22" s="28"/>
      <c r="VE22" s="28"/>
      <c r="VF22" s="28"/>
      <c r="VG22" s="28"/>
      <c r="VH22" s="28"/>
      <c r="VI22" s="28"/>
      <c r="VJ22" s="28"/>
      <c r="VK22" s="28"/>
      <c r="VL22" s="28"/>
      <c r="VM22" s="28"/>
      <c r="VN22" s="28"/>
      <c r="VO22" s="28"/>
      <c r="VP22" s="28"/>
      <c r="VQ22" s="28"/>
      <c r="VR22" s="28"/>
      <c r="VS22" s="28"/>
      <c r="VT22" s="28"/>
      <c r="VU22" s="28"/>
      <c r="VV22" s="28"/>
      <c r="VW22" s="28"/>
      <c r="VX22" s="28"/>
      <c r="VY22" s="28"/>
      <c r="VZ22" s="28"/>
      <c r="WA22" s="28"/>
      <c r="WB22" s="28"/>
      <c r="WC22" s="28"/>
      <c r="WD22" s="28"/>
      <c r="WE22" s="46"/>
      <c r="WF22" s="42"/>
      <c r="WG22" s="42"/>
      <c r="WH22" s="42"/>
      <c r="WI22" s="42"/>
      <c r="WJ22" s="42"/>
      <c r="WK22" s="42"/>
      <c r="WL22" s="42"/>
      <c r="WM22" s="42"/>
      <c r="WN22" s="42"/>
      <c r="WO22" s="42"/>
      <c r="WP22" s="42"/>
      <c r="WQ22" s="28"/>
      <c r="WR22" s="28"/>
      <c r="WS22" s="28"/>
      <c r="WT22" s="28"/>
      <c r="WU22" s="28"/>
      <c r="WV22" s="28"/>
      <c r="WW22" s="28"/>
      <c r="WX22" s="28"/>
      <c r="WY22" s="28"/>
      <c r="WZ22" s="28"/>
      <c r="XA22" s="28"/>
      <c r="XB22" s="28"/>
      <c r="XC22" s="28"/>
      <c r="XD22" s="28"/>
      <c r="XE22" s="28"/>
      <c r="XF22" s="28"/>
      <c r="XG22" s="28"/>
      <c r="XH22" s="28"/>
      <c r="XI22" s="28"/>
      <c r="XJ22" s="28"/>
      <c r="XK22" s="28"/>
      <c r="XL22" s="28"/>
      <c r="XM22" s="28"/>
      <c r="XN22" s="28"/>
      <c r="XO22" s="28"/>
      <c r="XP22" s="28"/>
      <c r="XQ22" s="28"/>
      <c r="XR22" s="28"/>
      <c r="XS22" s="28"/>
      <c r="XT22" s="28"/>
      <c r="XU22" s="28"/>
      <c r="XV22" s="28"/>
      <c r="XW22" s="28"/>
      <c r="XX22" s="28"/>
      <c r="XY22" s="47"/>
      <c r="XZ22" s="28"/>
      <c r="YA22" s="28"/>
      <c r="YB22" s="28"/>
      <c r="YC22" s="29"/>
      <c r="YD22" s="29"/>
      <c r="YE22" s="29"/>
      <c r="YF22" s="29"/>
      <c r="YG22" s="28"/>
      <c r="YH22" s="28"/>
      <c r="YI22" s="28"/>
      <c r="YJ22" s="28"/>
      <c r="YK22" s="28"/>
      <c r="YL22" s="28"/>
      <c r="YM22" s="28"/>
      <c r="YN22" s="28"/>
      <c r="YO22" s="28"/>
      <c r="YP22" s="28"/>
      <c r="YQ22" s="28"/>
      <c r="YR22" s="28"/>
      <c r="YS22" s="28"/>
      <c r="YT22" s="28"/>
      <c r="YU22" s="28"/>
      <c r="YV22" s="28"/>
      <c r="YW22" s="28"/>
      <c r="YX22" s="28"/>
      <c r="YY22" s="28"/>
      <c r="YZ22" s="28"/>
      <c r="ZA22" s="28"/>
      <c r="ZB22" s="28"/>
      <c r="ZC22" s="28"/>
      <c r="ZD22" s="28"/>
      <c r="ZE22" s="28"/>
      <c r="ZF22" s="28"/>
      <c r="ZG22" s="28"/>
      <c r="ZH22" s="28"/>
      <c r="ZI22" s="28"/>
      <c r="ZJ22" s="28"/>
      <c r="ZK22" s="28"/>
      <c r="ZL22" s="28"/>
      <c r="ZM22" s="28"/>
      <c r="ZN22" s="28"/>
      <c r="ZO22" s="28"/>
      <c r="ZP22" s="28"/>
      <c r="ZQ22" s="28"/>
      <c r="ZR22" s="28"/>
      <c r="ZS22" s="28"/>
      <c r="ZT22" s="28"/>
      <c r="ZU22" s="28"/>
      <c r="ZV22" s="28"/>
      <c r="ZW22" s="28"/>
      <c r="ZX22" s="28"/>
      <c r="ZY22" s="28"/>
      <c r="ZZ22" s="28"/>
      <c r="AAA22" s="28"/>
      <c r="AAB22" s="28"/>
      <c r="AAC22" s="28"/>
      <c r="AAD22" s="28"/>
      <c r="AAE22" s="28"/>
      <c r="AAF22" s="28"/>
      <c r="AAG22" s="28"/>
      <c r="AAH22" s="28"/>
      <c r="AAI22" s="28"/>
      <c r="AAJ22" s="28"/>
      <c r="AAK22" s="28"/>
      <c r="AAL22" s="28"/>
      <c r="AAM22" s="28"/>
      <c r="AAN22" s="28"/>
      <c r="AAO22" s="28"/>
      <c r="AAP22" s="28"/>
      <c r="AAQ22" s="28"/>
      <c r="AAR22" s="28"/>
      <c r="AAS22" s="28"/>
      <c r="AAT22" s="28"/>
      <c r="AAU22" s="28"/>
      <c r="AAV22" s="28"/>
      <c r="AAW22" s="28"/>
      <c r="AAX22" s="28"/>
      <c r="AAY22" s="28"/>
      <c r="AAZ22" s="28"/>
      <c r="ABA22" s="28"/>
      <c r="ABB22" s="28"/>
      <c r="ABC22" s="28"/>
      <c r="ABD22" s="28"/>
      <c r="ABE22" s="28"/>
      <c r="ABF22" s="28"/>
      <c r="ABG22" s="28"/>
      <c r="ABH22" s="28"/>
      <c r="ABI22" s="28"/>
      <c r="ABJ22" s="28"/>
      <c r="ABK22" s="28"/>
      <c r="ABL22" s="28"/>
      <c r="ABM22" s="28"/>
      <c r="ABN22" s="28"/>
      <c r="ABO22" s="28"/>
      <c r="ABP22" s="28"/>
      <c r="ABQ22" s="28"/>
      <c r="ABR22" s="32"/>
    </row>
    <row r="23" spans="1:1822" customFormat="1" x14ac:dyDescent="0.3">
      <c r="A23" s="18">
        <v>19</v>
      </c>
      <c r="B23" s="2" t="s">
        <v>17</v>
      </c>
      <c r="C23" s="56" t="s">
        <v>48</v>
      </c>
      <c r="D23" s="56" t="s">
        <v>49</v>
      </c>
      <c r="E23" s="21">
        <v>45492</v>
      </c>
      <c r="F23" s="21">
        <v>45492</v>
      </c>
      <c r="G23" s="21">
        <f t="shared" si="0"/>
        <v>45582</v>
      </c>
      <c r="H23" s="22">
        <v>45917</v>
      </c>
      <c r="I23" s="22"/>
      <c r="J23" s="22"/>
      <c r="K23" s="51" t="s">
        <v>102</v>
      </c>
      <c r="L23" s="23">
        <f t="shared" ca="1" si="19"/>
        <v>42.7</v>
      </c>
      <c r="M23" s="23">
        <f t="shared" ca="1" si="17"/>
        <v>25.700000000000003</v>
      </c>
      <c r="N23" s="171">
        <v>46100</v>
      </c>
      <c r="O23" s="171">
        <v>46116</v>
      </c>
      <c r="P23" s="24">
        <f t="shared" si="18"/>
        <v>17</v>
      </c>
      <c r="Q23" s="33"/>
      <c r="R23" s="28"/>
      <c r="S23" s="28"/>
      <c r="T23" s="28"/>
      <c r="U23" s="28"/>
      <c r="V23" s="28"/>
      <c r="W23" s="28"/>
      <c r="X23" s="36">
        <v>1</v>
      </c>
      <c r="Y23" s="36">
        <v>1</v>
      </c>
      <c r="Z23" s="36">
        <v>1</v>
      </c>
      <c r="AA23" s="36">
        <v>1</v>
      </c>
      <c r="AB23" s="36">
        <v>1</v>
      </c>
      <c r="AC23" s="36">
        <v>1</v>
      </c>
      <c r="AD23" s="36">
        <v>1</v>
      </c>
      <c r="AE23" s="36">
        <v>1</v>
      </c>
      <c r="AF23" s="36">
        <v>1</v>
      </c>
      <c r="AG23" s="36">
        <v>1</v>
      </c>
      <c r="AH23" s="36">
        <v>1</v>
      </c>
      <c r="AI23" s="36">
        <v>1</v>
      </c>
      <c r="AJ23" s="36">
        <v>1</v>
      </c>
      <c r="AK23" s="36">
        <v>1</v>
      </c>
      <c r="AL23" s="36">
        <v>1</v>
      </c>
      <c r="AM23" s="36">
        <v>1</v>
      </c>
      <c r="AN23" s="36">
        <v>1</v>
      </c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30">
        <v>1</v>
      </c>
      <c r="HM23" s="30">
        <v>1</v>
      </c>
      <c r="HN23" s="30">
        <v>1</v>
      </c>
      <c r="HO23" s="30">
        <v>1</v>
      </c>
      <c r="HP23" s="30">
        <v>1</v>
      </c>
      <c r="HQ23" s="30">
        <v>1</v>
      </c>
      <c r="HR23" s="30">
        <v>1</v>
      </c>
      <c r="HS23" s="30">
        <v>1</v>
      </c>
      <c r="HT23" s="30">
        <v>1</v>
      </c>
      <c r="HU23" s="30">
        <v>1</v>
      </c>
      <c r="HV23" s="30">
        <v>1</v>
      </c>
      <c r="HW23" s="30">
        <v>1</v>
      </c>
      <c r="HX23" s="30">
        <v>1</v>
      </c>
      <c r="HY23" s="30">
        <v>1</v>
      </c>
      <c r="HZ23" s="30">
        <v>1</v>
      </c>
      <c r="IA23" s="30">
        <v>1</v>
      </c>
      <c r="IB23" s="30">
        <v>1</v>
      </c>
      <c r="IC23" s="28"/>
      <c r="ID23" s="46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28"/>
      <c r="IQ23" s="28"/>
      <c r="IR23" s="28"/>
      <c r="IS23" s="28"/>
      <c r="IT23" s="28"/>
      <c r="IU23" s="28"/>
      <c r="IV23" s="28"/>
      <c r="IW23" s="28"/>
      <c r="IX23" s="28"/>
      <c r="IY23" s="28"/>
      <c r="IZ23" s="28"/>
      <c r="JA23" s="28"/>
      <c r="JB23" s="28"/>
      <c r="JC23" s="28"/>
      <c r="JD23" s="28"/>
      <c r="JE23" s="28"/>
      <c r="JF23" s="28"/>
      <c r="JG23" s="28"/>
      <c r="JH23" s="28"/>
      <c r="JI23" s="28"/>
      <c r="JJ23" s="28"/>
      <c r="JK23" s="28"/>
      <c r="JL23" s="28"/>
      <c r="JM23" s="28"/>
      <c r="JN23" s="28"/>
      <c r="JO23" s="28"/>
      <c r="JP23" s="28"/>
      <c r="JQ23" s="28"/>
      <c r="JR23" s="28"/>
      <c r="JS23" s="28"/>
      <c r="JT23" s="28"/>
      <c r="JU23" s="28"/>
      <c r="JV23" s="28"/>
      <c r="JW23" s="28"/>
      <c r="JX23" s="47"/>
      <c r="JY23" s="28"/>
      <c r="JZ23" s="28"/>
      <c r="KA23" s="28"/>
      <c r="KB23" s="29"/>
      <c r="KC23" s="29"/>
      <c r="KD23" s="29"/>
      <c r="KE23" s="29"/>
      <c r="KF23" s="28"/>
      <c r="KG23" s="28"/>
      <c r="KH23" s="28"/>
      <c r="KI23" s="28"/>
      <c r="KJ23" s="28"/>
      <c r="KK23" s="28"/>
      <c r="KL23" s="28"/>
      <c r="KM23" s="28"/>
      <c r="KN23" s="28"/>
      <c r="KO23" s="28"/>
      <c r="KP23" s="28"/>
      <c r="KQ23" s="28"/>
      <c r="KR23" s="28"/>
      <c r="KS23" s="28"/>
      <c r="KT23" s="28"/>
      <c r="KU23" s="28"/>
      <c r="KV23" s="28"/>
      <c r="KW23" s="28"/>
      <c r="KX23" s="28"/>
      <c r="KY23" s="28"/>
      <c r="KZ23" s="28"/>
      <c r="LA23" s="28"/>
      <c r="LB23" s="28"/>
      <c r="LC23" s="28"/>
      <c r="LD23" s="28"/>
      <c r="LE23" s="28"/>
      <c r="LF23" s="28"/>
      <c r="LG23" s="28"/>
      <c r="LH23" s="28"/>
      <c r="LI23" s="28"/>
      <c r="LJ23" s="28"/>
      <c r="LK23" s="28"/>
      <c r="LL23" s="28"/>
      <c r="LM23" s="28"/>
      <c r="LN23" s="28"/>
      <c r="LO23" s="28"/>
      <c r="LP23" s="28"/>
      <c r="LQ23" s="28"/>
      <c r="LR23" s="28"/>
      <c r="LS23" s="28"/>
      <c r="LT23" s="28"/>
      <c r="LU23" s="28"/>
      <c r="LV23" s="28"/>
      <c r="LW23" s="28"/>
      <c r="LX23" s="28"/>
      <c r="LY23" s="28"/>
      <c r="LZ23" s="28"/>
      <c r="MA23" s="28"/>
      <c r="MB23" s="28"/>
      <c r="MC23" s="28"/>
      <c r="MD23" s="28"/>
      <c r="ME23" s="28"/>
      <c r="MF23" s="28"/>
      <c r="MG23" s="28"/>
      <c r="MH23" s="28"/>
      <c r="MI23" s="28"/>
      <c r="MJ23" s="28"/>
      <c r="MK23" s="28"/>
      <c r="ML23" s="28"/>
      <c r="MM23" s="28"/>
      <c r="MN23" s="28"/>
      <c r="MO23" s="28"/>
      <c r="MP23" s="28"/>
      <c r="MQ23" s="28"/>
      <c r="MR23" s="28"/>
      <c r="MS23" s="28"/>
      <c r="MT23" s="28"/>
      <c r="MU23" s="28"/>
      <c r="MV23" s="28"/>
      <c r="MW23" s="28"/>
      <c r="MX23" s="28"/>
      <c r="MY23" s="28"/>
      <c r="MZ23" s="28"/>
      <c r="NA23" s="28"/>
      <c r="NB23" s="28"/>
      <c r="NC23" s="28"/>
      <c r="ND23" s="28"/>
      <c r="NE23" s="28"/>
      <c r="NF23" s="28"/>
      <c r="NG23" s="28"/>
      <c r="NH23" s="28"/>
      <c r="NI23" s="28"/>
      <c r="NJ23" s="28"/>
      <c r="NK23" s="28"/>
      <c r="NL23" s="28"/>
      <c r="NM23" s="28"/>
      <c r="NN23" s="28"/>
      <c r="NO23" s="28"/>
      <c r="NP23" s="28"/>
      <c r="NQ23" s="32"/>
      <c r="NR23" s="28"/>
      <c r="NS23" s="28"/>
      <c r="NT23" s="28"/>
      <c r="NU23" s="28"/>
      <c r="NV23" s="28"/>
      <c r="NW23" s="28"/>
      <c r="NX23" s="28"/>
      <c r="NY23" s="28"/>
      <c r="NZ23" s="28"/>
      <c r="OA23" s="28"/>
      <c r="OB23" s="28"/>
      <c r="OC23" s="28"/>
      <c r="OD23" s="28"/>
      <c r="OE23" s="28"/>
      <c r="OF23" s="28"/>
      <c r="OG23" s="28"/>
      <c r="OH23" s="28"/>
      <c r="OI23" s="28"/>
      <c r="OJ23" s="28"/>
      <c r="OK23" s="28"/>
      <c r="OL23" s="28"/>
      <c r="OM23" s="28"/>
      <c r="ON23" s="28"/>
      <c r="OO23" s="28"/>
      <c r="OP23" s="28"/>
      <c r="OQ23" s="28"/>
      <c r="OR23" s="28"/>
      <c r="OS23" s="28"/>
      <c r="OT23" s="28"/>
      <c r="OU23" s="28"/>
      <c r="OV23" s="28"/>
      <c r="OW23" s="61">
        <v>1</v>
      </c>
      <c r="OX23" s="61">
        <v>1</v>
      </c>
      <c r="OY23" s="61">
        <v>1</v>
      </c>
      <c r="OZ23" s="61">
        <v>1</v>
      </c>
      <c r="PA23" s="61">
        <v>1</v>
      </c>
      <c r="PB23" s="61">
        <v>1</v>
      </c>
      <c r="PC23" s="61">
        <v>1</v>
      </c>
      <c r="PD23" s="61">
        <v>1</v>
      </c>
      <c r="PE23" s="61">
        <v>1</v>
      </c>
      <c r="PF23" s="61">
        <v>1</v>
      </c>
      <c r="PG23" s="61">
        <v>1</v>
      </c>
      <c r="PH23" s="61">
        <v>1</v>
      </c>
      <c r="PI23" s="61">
        <v>1</v>
      </c>
      <c r="PJ23" s="61">
        <v>1</v>
      </c>
      <c r="PK23" s="61">
        <v>1</v>
      </c>
      <c r="PL23" s="61">
        <v>1</v>
      </c>
      <c r="PM23" s="61">
        <v>1</v>
      </c>
      <c r="PN23" s="28"/>
      <c r="PO23" s="28"/>
      <c r="PP23" s="28"/>
      <c r="PQ23" s="28"/>
      <c r="PR23" s="28"/>
      <c r="PS23" s="28"/>
      <c r="PT23" s="28"/>
      <c r="PU23" s="28"/>
      <c r="PV23" s="28"/>
      <c r="PW23" s="28"/>
      <c r="PX23" s="28"/>
      <c r="PY23" s="28"/>
      <c r="PZ23" s="28"/>
      <c r="QA23" s="28"/>
      <c r="QB23" s="28"/>
      <c r="QC23" s="28"/>
      <c r="QD23" s="28"/>
      <c r="QE23" s="28"/>
      <c r="QF23" s="28"/>
      <c r="QG23" s="28"/>
      <c r="QH23" s="28"/>
      <c r="QI23" s="28"/>
      <c r="QJ23" s="28"/>
      <c r="QK23" s="28"/>
      <c r="QL23" s="28"/>
      <c r="QM23" s="28"/>
      <c r="QN23" s="28"/>
      <c r="QO23" s="28"/>
      <c r="QP23" s="28"/>
      <c r="QQ23" s="28"/>
      <c r="QR23" s="28"/>
      <c r="QS23" s="28"/>
      <c r="QT23" s="28"/>
      <c r="QU23" s="28"/>
      <c r="QV23" s="28"/>
      <c r="QW23" s="28"/>
      <c r="QX23" s="28"/>
      <c r="QY23" s="28"/>
      <c r="QZ23" s="28"/>
      <c r="RA23" s="28"/>
      <c r="RB23" s="28"/>
      <c r="RC23" s="28"/>
      <c r="RD23" s="28"/>
      <c r="RE23" s="28"/>
      <c r="RF23" s="28"/>
      <c r="RG23" s="28"/>
      <c r="RH23" s="28"/>
      <c r="RI23" s="28"/>
      <c r="RJ23" s="28"/>
      <c r="RK23" s="28"/>
      <c r="RL23" s="28"/>
      <c r="RM23" s="28"/>
      <c r="RN23" s="28"/>
      <c r="RO23" s="28"/>
      <c r="RP23" s="28"/>
      <c r="RQ23" s="28"/>
      <c r="RR23" s="28"/>
      <c r="RS23" s="28"/>
      <c r="RT23" s="28"/>
      <c r="RU23" s="28"/>
      <c r="RV23" s="28"/>
      <c r="RW23" s="28"/>
      <c r="RX23" s="28"/>
      <c r="RY23" s="28"/>
      <c r="RZ23" s="28"/>
      <c r="SA23" s="28"/>
      <c r="SB23" s="28"/>
      <c r="SC23" s="28"/>
      <c r="SD23" s="28"/>
      <c r="SE23" s="28"/>
      <c r="SF23" s="28"/>
      <c r="SG23" s="28"/>
      <c r="SH23" s="28"/>
      <c r="SI23" s="28"/>
      <c r="SJ23" s="28"/>
      <c r="SK23" s="28"/>
      <c r="SL23" s="28"/>
      <c r="SM23" s="28"/>
      <c r="SN23" s="28"/>
      <c r="SO23" s="28"/>
      <c r="SP23" s="28"/>
      <c r="SQ23" s="28"/>
      <c r="SR23" s="28"/>
      <c r="SS23" s="28"/>
      <c r="ST23" s="28"/>
      <c r="SU23" s="28"/>
      <c r="SV23" s="28"/>
      <c r="SW23" s="28"/>
      <c r="SX23" s="28"/>
      <c r="SY23" s="28"/>
      <c r="SZ23" s="28"/>
      <c r="TA23" s="28"/>
      <c r="TB23" s="28"/>
      <c r="TC23" s="28"/>
      <c r="TD23" s="28"/>
      <c r="TE23" s="28"/>
      <c r="TF23" s="28"/>
      <c r="TG23" s="28"/>
      <c r="TH23" s="28"/>
      <c r="TI23" s="28"/>
      <c r="TJ23" s="28"/>
      <c r="TK23" s="28"/>
      <c r="TL23" s="28"/>
      <c r="TM23" s="32"/>
      <c r="TN23" s="28"/>
      <c r="TO23" s="28"/>
      <c r="TP23" s="28"/>
      <c r="TQ23" s="28"/>
      <c r="TR23" s="28"/>
      <c r="TS23" s="28"/>
      <c r="TT23" s="28"/>
      <c r="TU23" s="28"/>
      <c r="TV23" s="28"/>
      <c r="TW23" s="28"/>
      <c r="TX23" s="28"/>
      <c r="TY23" s="28"/>
      <c r="TZ23" s="28"/>
      <c r="UA23" s="28"/>
      <c r="UB23" s="28"/>
      <c r="UC23" s="28"/>
      <c r="UD23" s="28"/>
      <c r="UE23" s="28"/>
      <c r="UF23" s="28"/>
      <c r="UG23" s="28"/>
      <c r="UH23" s="28"/>
      <c r="UI23" s="28"/>
      <c r="UJ23" s="28"/>
      <c r="UK23" s="28"/>
      <c r="UL23" s="28"/>
      <c r="UM23" s="28"/>
      <c r="UN23" s="28"/>
      <c r="UO23" s="28"/>
      <c r="UP23" s="28"/>
      <c r="UQ23" s="28"/>
      <c r="UR23" s="28"/>
      <c r="US23" s="28"/>
      <c r="UT23" s="28"/>
      <c r="UU23" s="28"/>
      <c r="UV23" s="28"/>
      <c r="UW23" s="28"/>
      <c r="UX23" s="28"/>
      <c r="UY23" s="28"/>
      <c r="UZ23" s="28"/>
      <c r="VA23" s="28"/>
      <c r="VB23" s="28"/>
      <c r="VC23" s="28"/>
      <c r="VD23" s="28"/>
      <c r="VE23" s="28"/>
      <c r="VF23" s="28"/>
      <c r="VG23" s="28"/>
      <c r="VH23" s="28"/>
      <c r="VI23" s="28"/>
      <c r="VJ23" s="28"/>
      <c r="VK23" s="28"/>
      <c r="VL23" s="28"/>
      <c r="VM23" s="28"/>
      <c r="VN23" s="28"/>
      <c r="VO23" s="28"/>
      <c r="VP23" s="28"/>
      <c r="VQ23" s="28"/>
      <c r="VR23" s="28"/>
      <c r="VS23" s="28"/>
      <c r="VT23" s="28"/>
      <c r="VU23" s="28"/>
      <c r="VV23" s="28"/>
      <c r="VW23" s="28"/>
      <c r="VX23" s="28"/>
      <c r="VY23" s="28"/>
      <c r="VZ23" s="28"/>
      <c r="WA23" s="28"/>
      <c r="WB23" s="28"/>
      <c r="WC23" s="28"/>
      <c r="WD23" s="28"/>
      <c r="WE23" s="46"/>
      <c r="WF23" s="42"/>
      <c r="WG23" s="42"/>
      <c r="WH23" s="42"/>
      <c r="WI23" s="42"/>
      <c r="WJ23" s="42"/>
      <c r="WK23" s="42"/>
      <c r="WL23" s="42"/>
      <c r="WM23" s="42"/>
      <c r="WN23" s="212">
        <v>1</v>
      </c>
      <c r="WO23" s="212">
        <v>1</v>
      </c>
      <c r="WP23" s="212">
        <v>1</v>
      </c>
      <c r="WQ23" s="170">
        <v>1</v>
      </c>
      <c r="WR23" s="170">
        <v>1</v>
      </c>
      <c r="WS23" s="170">
        <v>1</v>
      </c>
      <c r="WT23" s="170">
        <v>1</v>
      </c>
      <c r="WU23" s="170">
        <v>1</v>
      </c>
      <c r="WV23" s="170">
        <v>1</v>
      </c>
      <c r="WW23" s="170">
        <v>1</v>
      </c>
      <c r="WX23" s="170">
        <v>1</v>
      </c>
      <c r="WY23" s="170">
        <v>1</v>
      </c>
      <c r="WZ23" s="170">
        <v>1</v>
      </c>
      <c r="XA23" s="170">
        <v>1</v>
      </c>
      <c r="XB23" s="170">
        <v>1</v>
      </c>
      <c r="XC23" s="170">
        <v>1</v>
      </c>
      <c r="XD23" s="170">
        <v>1</v>
      </c>
      <c r="XE23" s="28"/>
      <c r="XF23" s="28"/>
      <c r="XG23" s="28"/>
      <c r="XH23" s="28"/>
      <c r="XI23" s="28"/>
      <c r="XJ23" s="28"/>
      <c r="XK23" s="28"/>
      <c r="XL23" s="28"/>
      <c r="XM23" s="28"/>
      <c r="XN23" s="28"/>
      <c r="XO23" s="28"/>
      <c r="XP23" s="28"/>
      <c r="XQ23" s="28"/>
      <c r="XR23" s="28"/>
      <c r="XS23" s="28"/>
      <c r="XT23" s="28"/>
      <c r="XU23" s="28"/>
      <c r="XV23" s="28"/>
      <c r="XW23" s="28"/>
      <c r="XX23" s="28"/>
      <c r="XY23" s="47"/>
      <c r="XZ23" s="28"/>
      <c r="YA23" s="28"/>
      <c r="YB23" s="28"/>
      <c r="YC23" s="29"/>
      <c r="YD23" s="29"/>
      <c r="YE23" s="29"/>
      <c r="YF23" s="29"/>
      <c r="YG23" s="28"/>
      <c r="YH23" s="28"/>
      <c r="YI23" s="28"/>
      <c r="YJ23" s="28"/>
      <c r="YK23" s="28"/>
      <c r="YL23" s="28"/>
      <c r="YM23" s="28"/>
      <c r="YN23" s="28"/>
      <c r="YO23" s="28"/>
      <c r="YP23" s="28"/>
      <c r="YQ23" s="28"/>
      <c r="YR23" s="28"/>
      <c r="YS23" s="28"/>
      <c r="YT23" s="28"/>
      <c r="YU23" s="28"/>
      <c r="YV23" s="28"/>
      <c r="YW23" s="28"/>
      <c r="YX23" s="28"/>
      <c r="YY23" s="28"/>
      <c r="YZ23" s="28"/>
      <c r="ZA23" s="28"/>
      <c r="ZB23" s="28"/>
      <c r="ZC23" s="28"/>
      <c r="ZD23" s="28"/>
      <c r="ZE23" s="28"/>
      <c r="ZF23" s="28"/>
      <c r="ZG23" s="28"/>
      <c r="ZH23" s="28"/>
      <c r="ZI23" s="28"/>
      <c r="ZJ23" s="28"/>
      <c r="ZK23" s="28"/>
      <c r="ZL23" s="28"/>
      <c r="ZM23" s="28"/>
      <c r="ZN23" s="28"/>
      <c r="ZO23" s="28"/>
      <c r="ZP23" s="28"/>
      <c r="ZQ23" s="28"/>
      <c r="ZR23" s="28"/>
      <c r="ZS23" s="28"/>
      <c r="ZT23" s="28"/>
      <c r="ZU23" s="28"/>
      <c r="ZV23" s="28"/>
      <c r="ZW23" s="28"/>
      <c r="ZX23" s="28"/>
      <c r="ZY23" s="28"/>
      <c r="ZZ23" s="28"/>
      <c r="AAA23" s="28"/>
      <c r="AAB23" s="28"/>
      <c r="AAC23" s="28"/>
      <c r="AAD23" s="28"/>
      <c r="AAE23" s="28"/>
      <c r="AAF23" s="28"/>
      <c r="AAG23" s="28"/>
      <c r="AAH23" s="28"/>
      <c r="AAI23" s="28"/>
      <c r="AAJ23" s="28"/>
      <c r="AAK23" s="28"/>
      <c r="AAL23" s="28"/>
      <c r="AAM23" s="28"/>
      <c r="AAN23" s="28"/>
      <c r="AAO23" s="28"/>
      <c r="AAP23" s="28"/>
      <c r="AAQ23" s="28"/>
      <c r="AAR23" s="28"/>
      <c r="AAS23" s="28"/>
      <c r="AAT23" s="28"/>
      <c r="AAU23" s="28"/>
      <c r="AAV23" s="28"/>
      <c r="AAW23" s="28"/>
      <c r="AAX23" s="28"/>
      <c r="AAY23" s="28"/>
      <c r="AAZ23" s="28"/>
      <c r="ABA23" s="28"/>
      <c r="ABB23" s="28"/>
      <c r="ABC23" s="28"/>
      <c r="ABD23" s="28"/>
      <c r="ABE23" s="28"/>
      <c r="ABF23" s="28"/>
      <c r="ABG23" s="28"/>
      <c r="ABH23" s="28"/>
      <c r="ABI23" s="28"/>
      <c r="ABJ23" s="28"/>
      <c r="ABK23" s="28"/>
      <c r="ABL23" s="28"/>
      <c r="ABM23" s="28"/>
      <c r="ABN23" s="28"/>
      <c r="ABO23" s="28"/>
      <c r="ABP23" s="28"/>
      <c r="ABQ23" s="28"/>
      <c r="ABR23" s="32"/>
    </row>
    <row r="24" spans="1:1822" customFormat="1" x14ac:dyDescent="0.3">
      <c r="A24" s="18">
        <v>20</v>
      </c>
      <c r="B24" s="2" t="s">
        <v>17</v>
      </c>
      <c r="C24" s="38" t="s">
        <v>50</v>
      </c>
      <c r="D24" s="38" t="s">
        <v>51</v>
      </c>
      <c r="E24" s="21">
        <v>45492</v>
      </c>
      <c r="F24" s="21">
        <v>45492</v>
      </c>
      <c r="G24" s="21">
        <f t="shared" si="0"/>
        <v>45582</v>
      </c>
      <c r="H24" s="22">
        <v>45955</v>
      </c>
      <c r="I24" s="22"/>
      <c r="J24" s="22"/>
      <c r="K24" s="23" t="s">
        <v>102</v>
      </c>
      <c r="L24" s="23">
        <f t="shared" ca="1" si="19"/>
        <v>42.7</v>
      </c>
      <c r="M24" s="23">
        <f t="shared" ca="1" si="17"/>
        <v>25.700000000000003</v>
      </c>
      <c r="N24" s="35">
        <v>46163</v>
      </c>
      <c r="O24" s="35">
        <v>46179</v>
      </c>
      <c r="P24" s="24">
        <f t="shared" si="18"/>
        <v>17</v>
      </c>
      <c r="Q24" s="33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43">
        <v>1</v>
      </c>
      <c r="CD24" s="43">
        <v>1</v>
      </c>
      <c r="CE24" s="43">
        <v>1</v>
      </c>
      <c r="CF24" s="43">
        <v>1</v>
      </c>
      <c r="CG24" s="43">
        <v>1</v>
      </c>
      <c r="CH24" s="43">
        <v>1</v>
      </c>
      <c r="CI24" s="43">
        <v>1</v>
      </c>
      <c r="CJ24" s="43">
        <v>1</v>
      </c>
      <c r="CK24" s="43">
        <v>1</v>
      </c>
      <c r="CL24" s="43">
        <v>1</v>
      </c>
      <c r="CM24" s="43">
        <v>1</v>
      </c>
      <c r="CN24" s="43">
        <v>1</v>
      </c>
      <c r="CO24" s="43">
        <v>1</v>
      </c>
      <c r="CP24" s="43">
        <v>1</v>
      </c>
      <c r="CQ24" s="43">
        <v>1</v>
      </c>
      <c r="CR24" s="43">
        <v>1</v>
      </c>
      <c r="CS24" s="43">
        <v>1</v>
      </c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46"/>
      <c r="IE24" s="42"/>
      <c r="IF24" s="42"/>
      <c r="IG24" s="42"/>
      <c r="IH24" s="42"/>
      <c r="II24" s="42"/>
      <c r="IJ24" s="42"/>
      <c r="IK24" s="42"/>
      <c r="IL24" s="42"/>
      <c r="IM24" s="42"/>
      <c r="IN24" s="42"/>
      <c r="IO24" s="42"/>
      <c r="IP24" s="28"/>
      <c r="IQ24" s="28"/>
      <c r="IR24" s="28"/>
      <c r="IS24" s="28"/>
      <c r="IT24" s="28"/>
      <c r="IU24" s="28"/>
      <c r="IV24" s="28"/>
      <c r="IW24" s="28"/>
      <c r="IX24" s="28"/>
      <c r="IY24" s="28"/>
      <c r="IZ24" s="28"/>
      <c r="JA24" s="28"/>
      <c r="JB24" s="28"/>
      <c r="JC24" s="43">
        <v>1</v>
      </c>
      <c r="JD24" s="43">
        <v>1</v>
      </c>
      <c r="JE24" s="43">
        <v>1</v>
      </c>
      <c r="JF24" s="43">
        <v>1</v>
      </c>
      <c r="JG24" s="43">
        <v>1</v>
      </c>
      <c r="JH24" s="43">
        <v>1</v>
      </c>
      <c r="JI24" s="43">
        <v>1</v>
      </c>
      <c r="JJ24" s="43">
        <v>1</v>
      </c>
      <c r="JK24" s="43">
        <v>1</v>
      </c>
      <c r="JL24" s="43">
        <v>1</v>
      </c>
      <c r="JM24" s="43">
        <v>1</v>
      </c>
      <c r="JN24" s="43">
        <v>1</v>
      </c>
      <c r="JO24" s="43">
        <v>1</v>
      </c>
      <c r="JP24" s="43">
        <v>1</v>
      </c>
      <c r="JQ24" s="43">
        <v>1</v>
      </c>
      <c r="JR24" s="43">
        <v>1</v>
      </c>
      <c r="JS24" s="43">
        <v>1</v>
      </c>
      <c r="JT24" s="28"/>
      <c r="JU24" s="28"/>
      <c r="JV24" s="28"/>
      <c r="JW24" s="28"/>
      <c r="JX24" s="47"/>
      <c r="JY24" s="28"/>
      <c r="JZ24" s="28"/>
      <c r="KA24" s="28"/>
      <c r="KB24" s="29"/>
      <c r="KC24" s="29"/>
      <c r="KD24" s="29"/>
      <c r="KE24" s="29"/>
      <c r="KF24" s="28"/>
      <c r="KG24" s="28"/>
      <c r="KH24" s="28"/>
      <c r="KI24" s="28"/>
      <c r="KJ24" s="28"/>
      <c r="KK24" s="28"/>
      <c r="KL24" s="28"/>
      <c r="KM24" s="28"/>
      <c r="KN24" s="28"/>
      <c r="KO24" s="28"/>
      <c r="KP24" s="28"/>
      <c r="KQ24" s="28"/>
      <c r="KR24" s="28"/>
      <c r="KS24" s="28"/>
      <c r="KT24" s="28"/>
      <c r="KU24" s="28"/>
      <c r="KV24" s="28"/>
      <c r="KW24" s="28"/>
      <c r="KX24" s="28"/>
      <c r="KY24" s="28"/>
      <c r="KZ24" s="28"/>
      <c r="LA24" s="28"/>
      <c r="LB24" s="28"/>
      <c r="LC24" s="28"/>
      <c r="LD24" s="28"/>
      <c r="LE24" s="28"/>
      <c r="LF24" s="28"/>
      <c r="LG24" s="28"/>
      <c r="LH24" s="28"/>
      <c r="LI24" s="28"/>
      <c r="LJ24" s="28"/>
      <c r="LK24" s="28"/>
      <c r="LL24" s="28"/>
      <c r="LM24" s="28"/>
      <c r="LN24" s="28"/>
      <c r="LO24" s="28"/>
      <c r="LP24" s="28"/>
      <c r="LQ24" s="28"/>
      <c r="LR24" s="28"/>
      <c r="LS24" s="28"/>
      <c r="LT24" s="28"/>
      <c r="LU24" s="28"/>
      <c r="LV24" s="28"/>
      <c r="LW24" s="28"/>
      <c r="LX24" s="28"/>
      <c r="LY24" s="28"/>
      <c r="LZ24" s="28"/>
      <c r="MA24" s="28"/>
      <c r="MB24" s="28"/>
      <c r="MC24" s="28"/>
      <c r="MD24" s="28"/>
      <c r="ME24" s="28"/>
      <c r="MF24" s="28"/>
      <c r="MG24" s="28"/>
      <c r="MH24" s="28"/>
      <c r="MI24" s="28"/>
      <c r="MJ24" s="28"/>
      <c r="MK24" s="28"/>
      <c r="ML24" s="28"/>
      <c r="MM24" s="28"/>
      <c r="MN24" s="28"/>
      <c r="MO24" s="28"/>
      <c r="MP24" s="28"/>
      <c r="MQ24" s="28"/>
      <c r="MR24" s="28"/>
      <c r="MS24" s="28"/>
      <c r="MT24" s="28"/>
      <c r="MU24" s="28"/>
      <c r="MV24" s="28"/>
      <c r="MW24" s="28"/>
      <c r="MX24" s="28"/>
      <c r="MY24" s="28"/>
      <c r="MZ24" s="28"/>
      <c r="NA24" s="28"/>
      <c r="NB24" s="28"/>
      <c r="NC24" s="28"/>
      <c r="ND24" s="28"/>
      <c r="NE24" s="28"/>
      <c r="NF24" s="28"/>
      <c r="NG24" s="28"/>
      <c r="NH24" s="28"/>
      <c r="NI24" s="28"/>
      <c r="NJ24" s="28"/>
      <c r="NK24" s="28"/>
      <c r="NL24" s="28"/>
      <c r="NM24" s="28"/>
      <c r="NN24" s="28"/>
      <c r="NO24" s="28"/>
      <c r="NP24" s="28"/>
      <c r="NQ24" s="32"/>
      <c r="NR24" s="28"/>
      <c r="NS24" s="28"/>
      <c r="NT24" s="28"/>
      <c r="NU24" s="28"/>
      <c r="NV24" s="28"/>
      <c r="NW24" s="28"/>
      <c r="NX24" s="28"/>
      <c r="NY24" s="28"/>
      <c r="NZ24" s="28"/>
      <c r="OA24" s="28"/>
      <c r="OB24" s="28"/>
      <c r="OC24" s="28"/>
      <c r="OD24" s="28"/>
      <c r="OE24" s="28"/>
      <c r="OF24" s="28"/>
      <c r="OG24" s="28"/>
      <c r="OH24" s="28"/>
      <c r="OI24" s="28"/>
      <c r="OJ24" s="28"/>
      <c r="OK24" s="28"/>
      <c r="OL24" s="28"/>
      <c r="OM24" s="28"/>
      <c r="ON24" s="28"/>
      <c r="OO24" s="28"/>
      <c r="OP24" s="28"/>
      <c r="OQ24" s="28"/>
      <c r="OR24" s="28"/>
      <c r="OS24" s="28"/>
      <c r="OT24" s="28"/>
      <c r="OU24" s="28"/>
      <c r="OV24" s="28"/>
      <c r="OW24" s="28"/>
      <c r="OX24" s="28"/>
      <c r="OY24" s="28"/>
      <c r="OZ24" s="28"/>
      <c r="PA24" s="28"/>
      <c r="PB24" s="28"/>
      <c r="PC24" s="28"/>
      <c r="PD24" s="28"/>
      <c r="PE24" s="28"/>
      <c r="PF24" s="28"/>
      <c r="PG24" s="28"/>
      <c r="PH24" s="28"/>
      <c r="PI24" s="28"/>
      <c r="PJ24" s="28"/>
      <c r="PK24" s="28"/>
      <c r="PL24" s="28"/>
      <c r="PM24" s="28"/>
      <c r="PN24" s="28"/>
      <c r="PO24" s="28"/>
      <c r="PP24" s="28"/>
      <c r="PQ24" s="28"/>
      <c r="PR24" s="28"/>
      <c r="PS24" s="28"/>
      <c r="PT24" s="28"/>
      <c r="PU24" s="28"/>
      <c r="PV24" s="28"/>
      <c r="PW24" s="28"/>
      <c r="PX24" s="28"/>
      <c r="PY24" s="28"/>
      <c r="PZ24" s="28"/>
      <c r="QA24" s="28"/>
      <c r="QB24" s="28"/>
      <c r="QC24" s="28"/>
      <c r="QD24" s="28"/>
      <c r="QE24" s="28"/>
      <c r="QF24" s="28"/>
      <c r="QG24" s="28"/>
      <c r="QH24" s="28"/>
      <c r="QI24" s="172">
        <v>1</v>
      </c>
      <c r="QJ24" s="172">
        <v>1</v>
      </c>
      <c r="QK24" s="172">
        <v>1</v>
      </c>
      <c r="QL24" s="172">
        <v>1</v>
      </c>
      <c r="QM24" s="172">
        <v>1</v>
      </c>
      <c r="QN24" s="172">
        <v>1</v>
      </c>
      <c r="QO24" s="172">
        <v>1</v>
      </c>
      <c r="QP24" s="172">
        <v>1</v>
      </c>
      <c r="QQ24" s="172">
        <v>1</v>
      </c>
      <c r="QR24" s="172">
        <v>1</v>
      </c>
      <c r="QS24" s="172">
        <v>1</v>
      </c>
      <c r="QT24" s="172">
        <v>1</v>
      </c>
      <c r="QU24" s="172">
        <v>1</v>
      </c>
      <c r="QV24" s="172">
        <v>1</v>
      </c>
      <c r="QW24" s="172">
        <v>1</v>
      </c>
      <c r="QX24" s="172">
        <v>1</v>
      </c>
      <c r="QY24" s="172">
        <v>1</v>
      </c>
      <c r="QZ24" s="28"/>
      <c r="RA24" s="28"/>
      <c r="RB24" s="28"/>
      <c r="RC24" s="28"/>
      <c r="RD24" s="28"/>
      <c r="RE24" s="28"/>
      <c r="RF24" s="28"/>
      <c r="RG24" s="28"/>
      <c r="RH24" s="28"/>
      <c r="RI24" s="28"/>
      <c r="RJ24" s="28"/>
      <c r="RK24" s="28"/>
      <c r="RL24" s="28"/>
      <c r="RM24" s="28"/>
      <c r="RN24" s="28"/>
      <c r="RO24" s="28"/>
      <c r="RP24" s="28"/>
      <c r="RQ24" s="28"/>
      <c r="RR24" s="28"/>
      <c r="RS24" s="28"/>
      <c r="RT24" s="28"/>
      <c r="RU24" s="28"/>
      <c r="RV24" s="28"/>
      <c r="RW24" s="28"/>
      <c r="RX24" s="28"/>
      <c r="RY24" s="28"/>
      <c r="RZ24" s="28"/>
      <c r="SA24" s="28"/>
      <c r="SB24" s="28"/>
      <c r="SC24" s="28"/>
      <c r="SD24" s="28"/>
      <c r="SE24" s="28"/>
      <c r="SF24" s="28"/>
      <c r="SG24" s="28"/>
      <c r="SH24" s="28"/>
      <c r="SI24" s="28"/>
      <c r="SJ24" s="28"/>
      <c r="SK24" s="28"/>
      <c r="SL24" s="28"/>
      <c r="SM24" s="28"/>
      <c r="SN24" s="28"/>
      <c r="SO24" s="28"/>
      <c r="SP24" s="28"/>
      <c r="SQ24" s="28"/>
      <c r="SR24" s="28"/>
      <c r="SS24" s="28"/>
      <c r="ST24" s="28"/>
      <c r="SU24" s="28"/>
      <c r="SV24" s="28"/>
      <c r="SW24" s="28"/>
      <c r="SX24" s="28"/>
      <c r="SY24" s="28"/>
      <c r="SZ24" s="28"/>
      <c r="TA24" s="28"/>
      <c r="TB24" s="28"/>
      <c r="TC24" s="28"/>
      <c r="TD24" s="28"/>
      <c r="TE24" s="28"/>
      <c r="TF24" s="28"/>
      <c r="TG24" s="28"/>
      <c r="TH24" s="28"/>
      <c r="TI24" s="28"/>
      <c r="TJ24" s="28"/>
      <c r="TK24" s="28"/>
      <c r="TL24" s="28"/>
      <c r="TM24" s="32"/>
      <c r="TN24" s="28"/>
      <c r="TO24" s="28"/>
      <c r="TP24" s="28"/>
      <c r="TQ24" s="28"/>
      <c r="TR24" s="28"/>
      <c r="TS24" s="28"/>
      <c r="TT24" s="28"/>
      <c r="TU24" s="28"/>
      <c r="TV24" s="28"/>
      <c r="TW24" s="28"/>
      <c r="TX24" s="28"/>
      <c r="TY24" s="28"/>
      <c r="TZ24" s="28"/>
      <c r="UA24" s="28"/>
      <c r="UB24" s="28"/>
      <c r="UC24" s="28"/>
      <c r="UD24" s="28"/>
      <c r="UE24" s="28"/>
      <c r="UF24" s="28"/>
      <c r="UG24" s="28"/>
      <c r="UH24" s="28"/>
      <c r="UI24" s="28"/>
      <c r="UJ24" s="28"/>
      <c r="UK24" s="28"/>
      <c r="UL24" s="28"/>
      <c r="UM24" s="28"/>
      <c r="UN24" s="28"/>
      <c r="UO24" s="28"/>
      <c r="UP24" s="28"/>
      <c r="UQ24" s="28"/>
      <c r="UR24" s="28"/>
      <c r="US24" s="28"/>
      <c r="UT24" s="28"/>
      <c r="UU24" s="28"/>
      <c r="UV24" s="28"/>
      <c r="UW24" s="28"/>
      <c r="UX24" s="28"/>
      <c r="UY24" s="28"/>
      <c r="UZ24" s="28"/>
      <c r="VA24" s="28"/>
      <c r="VB24" s="28"/>
      <c r="VC24" s="28"/>
      <c r="VD24" s="28"/>
      <c r="VE24" s="28"/>
      <c r="VF24" s="28"/>
      <c r="VG24" s="28"/>
      <c r="VH24" s="28"/>
      <c r="VI24" s="28"/>
      <c r="VJ24" s="28"/>
      <c r="VK24" s="28"/>
      <c r="VL24" s="28"/>
      <c r="VM24" s="28"/>
      <c r="VN24" s="28"/>
      <c r="VO24" s="28"/>
      <c r="VP24" s="28"/>
      <c r="VQ24" s="28"/>
      <c r="VR24" s="28"/>
      <c r="VS24" s="28"/>
      <c r="VT24" s="28"/>
      <c r="VU24" s="28"/>
      <c r="VV24" s="28"/>
      <c r="VW24" s="28"/>
      <c r="VX24" s="28"/>
      <c r="VY24" s="28"/>
      <c r="VZ24" s="28"/>
      <c r="WA24" s="28"/>
      <c r="WB24" s="28"/>
      <c r="WC24" s="28"/>
      <c r="WD24" s="28"/>
      <c r="WE24" s="46"/>
      <c r="WF24" s="42"/>
      <c r="WG24" s="42"/>
      <c r="WH24" s="42"/>
      <c r="WI24" s="42"/>
      <c r="WJ24" s="42"/>
      <c r="WK24" s="42"/>
      <c r="WL24" s="42"/>
      <c r="WM24" s="42"/>
      <c r="WN24" s="42"/>
      <c r="WO24" s="42"/>
      <c r="WP24" s="42"/>
      <c r="WQ24" s="28"/>
      <c r="WR24" s="28"/>
      <c r="WS24" s="28"/>
      <c r="WT24" s="28"/>
      <c r="WU24" s="28"/>
      <c r="WV24" s="28"/>
      <c r="WW24" s="28"/>
      <c r="WX24" s="28"/>
      <c r="WY24" s="28"/>
      <c r="WZ24" s="28"/>
      <c r="XA24" s="28"/>
      <c r="XB24" s="28"/>
      <c r="XC24" s="28"/>
      <c r="XD24" s="28"/>
      <c r="XE24" s="28"/>
      <c r="XF24" s="28"/>
      <c r="XG24" s="28"/>
      <c r="XH24" s="28"/>
      <c r="XI24" s="28"/>
      <c r="XJ24" s="28"/>
      <c r="XK24" s="28"/>
      <c r="XL24" s="28"/>
      <c r="XM24" s="28"/>
      <c r="XN24" s="28"/>
      <c r="XO24" s="28"/>
      <c r="XP24" s="28"/>
      <c r="XQ24" s="28"/>
      <c r="XR24" s="28"/>
      <c r="XS24" s="28"/>
      <c r="XT24" s="28"/>
      <c r="XU24" s="28"/>
      <c r="XV24" s="28"/>
      <c r="XW24" s="28"/>
      <c r="XX24" s="28"/>
      <c r="XY24" s="47"/>
      <c r="XZ24" s="28"/>
      <c r="YA24" s="28"/>
      <c r="YB24" s="28"/>
      <c r="YC24" s="29"/>
      <c r="YD24" s="29"/>
      <c r="YE24" s="29"/>
      <c r="YF24" s="29"/>
      <c r="YG24" s="28"/>
      <c r="YH24" s="28"/>
      <c r="YI24" s="28"/>
      <c r="YJ24" s="28"/>
      <c r="YK24" s="28"/>
      <c r="YL24" s="28"/>
      <c r="YM24" s="28"/>
      <c r="YN24" s="28"/>
      <c r="YO24" s="28"/>
      <c r="YP24" s="28"/>
      <c r="YQ24" s="28"/>
      <c r="YR24" s="28"/>
      <c r="YS24" s="28"/>
      <c r="YT24" s="28"/>
      <c r="YU24" s="28"/>
      <c r="YV24" s="28"/>
      <c r="YW24" s="28"/>
      <c r="YX24" s="28"/>
      <c r="YY24" s="172">
        <v>1</v>
      </c>
      <c r="YZ24" s="172">
        <v>1</v>
      </c>
      <c r="ZA24" s="172">
        <v>1</v>
      </c>
      <c r="ZB24" s="172">
        <v>1</v>
      </c>
      <c r="ZC24" s="172">
        <v>1</v>
      </c>
      <c r="ZD24" s="172">
        <v>1</v>
      </c>
      <c r="ZE24" s="172">
        <v>1</v>
      </c>
      <c r="ZF24" s="172">
        <v>1</v>
      </c>
      <c r="ZG24" s="172">
        <v>1</v>
      </c>
      <c r="ZH24" s="172">
        <v>1</v>
      </c>
      <c r="ZI24" s="172">
        <v>1</v>
      </c>
      <c r="ZJ24" s="172">
        <v>1</v>
      </c>
      <c r="ZK24" s="172">
        <v>1</v>
      </c>
      <c r="ZL24" s="172">
        <v>1</v>
      </c>
      <c r="ZM24" s="172">
        <v>1</v>
      </c>
      <c r="ZN24" s="172">
        <v>1</v>
      </c>
      <c r="ZO24" s="172">
        <v>1</v>
      </c>
      <c r="ZP24" s="28"/>
      <c r="ZQ24" s="28"/>
      <c r="ZR24" s="28"/>
      <c r="ZS24" s="28"/>
      <c r="ZT24" s="28"/>
      <c r="ZU24" s="28"/>
      <c r="ZV24" s="28"/>
      <c r="ZW24" s="28"/>
      <c r="ZX24" s="28"/>
      <c r="ZY24" s="28"/>
      <c r="ZZ24" s="28"/>
      <c r="AAA24" s="28"/>
      <c r="AAB24" s="28"/>
      <c r="AAC24" s="28"/>
      <c r="AAD24" s="28"/>
      <c r="AAE24" s="28"/>
      <c r="AAF24" s="28"/>
      <c r="AAG24" s="28"/>
      <c r="AAH24" s="28"/>
      <c r="AAI24" s="28"/>
      <c r="AAJ24" s="28"/>
      <c r="AAK24" s="28"/>
      <c r="AAL24" s="28"/>
      <c r="AAM24" s="28"/>
      <c r="AAN24" s="28"/>
      <c r="AAO24" s="28"/>
      <c r="AAP24" s="28"/>
      <c r="AAQ24" s="28"/>
      <c r="AAR24" s="28"/>
      <c r="AAS24" s="28"/>
      <c r="AAT24" s="28"/>
      <c r="AAU24" s="28"/>
      <c r="AAV24" s="28"/>
      <c r="AAW24" s="28"/>
      <c r="AAX24" s="28"/>
      <c r="AAY24" s="28"/>
      <c r="AAZ24" s="28"/>
      <c r="ABA24" s="28"/>
      <c r="ABB24" s="28"/>
      <c r="ABC24" s="28"/>
      <c r="ABD24" s="28"/>
      <c r="ABE24" s="28"/>
      <c r="ABF24" s="28"/>
      <c r="ABG24" s="28"/>
      <c r="ABH24" s="28"/>
      <c r="ABI24" s="28"/>
      <c r="ABJ24" s="28"/>
      <c r="ABK24" s="28"/>
      <c r="ABL24" s="28"/>
      <c r="ABM24" s="28"/>
      <c r="ABN24" s="28"/>
      <c r="ABO24" s="28"/>
      <c r="ABP24" s="28"/>
      <c r="ABQ24" s="28"/>
      <c r="ABR24" s="32"/>
    </row>
    <row r="25" spans="1:1822" customFormat="1" x14ac:dyDescent="0.3">
      <c r="A25" s="18">
        <v>21</v>
      </c>
      <c r="B25" s="2" t="s">
        <v>17</v>
      </c>
      <c r="C25" s="49" t="s">
        <v>52</v>
      </c>
      <c r="D25" s="49" t="s">
        <v>26</v>
      </c>
      <c r="E25" s="21">
        <v>45427</v>
      </c>
      <c r="F25" s="21">
        <v>45429</v>
      </c>
      <c r="G25" s="21">
        <f t="shared" si="0"/>
        <v>45519</v>
      </c>
      <c r="H25" s="22">
        <v>45966</v>
      </c>
      <c r="I25" s="22"/>
      <c r="J25" s="22"/>
      <c r="K25" s="185" t="s">
        <v>101</v>
      </c>
      <c r="L25" s="23">
        <f t="shared" ca="1" si="19"/>
        <v>47.9</v>
      </c>
      <c r="M25" s="23">
        <f t="shared" ca="1" si="17"/>
        <v>30.9</v>
      </c>
      <c r="N25" s="35">
        <v>45768</v>
      </c>
      <c r="O25" s="35">
        <v>45784</v>
      </c>
      <c r="P25" s="24">
        <f t="shared" si="18"/>
        <v>17</v>
      </c>
      <c r="Q25" s="33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43">
        <v>1</v>
      </c>
      <c r="DN25" s="43">
        <v>1</v>
      </c>
      <c r="DO25" s="43">
        <v>1</v>
      </c>
      <c r="DP25" s="43">
        <v>1</v>
      </c>
      <c r="DQ25" s="43">
        <v>1</v>
      </c>
      <c r="DR25" s="43">
        <v>1</v>
      </c>
      <c r="DS25" s="43">
        <v>1</v>
      </c>
      <c r="DT25" s="43">
        <v>1</v>
      </c>
      <c r="DU25" s="43">
        <v>1</v>
      </c>
      <c r="DV25" s="43">
        <v>1</v>
      </c>
      <c r="DW25" s="43">
        <v>1</v>
      </c>
      <c r="DX25" s="43">
        <v>1</v>
      </c>
      <c r="DY25" s="43">
        <v>1</v>
      </c>
      <c r="DZ25" s="43">
        <v>1</v>
      </c>
      <c r="EA25" s="43">
        <v>1</v>
      </c>
      <c r="EB25" s="43">
        <v>1</v>
      </c>
      <c r="EC25" s="43">
        <v>1</v>
      </c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46"/>
      <c r="IE25" s="42"/>
      <c r="IF25" s="42"/>
      <c r="IG25" s="42"/>
      <c r="IH25" s="42"/>
      <c r="II25" s="42"/>
      <c r="IJ25" s="42"/>
      <c r="IK25" s="42"/>
      <c r="IL25" s="42"/>
      <c r="IM25" s="42"/>
      <c r="IN25" s="42"/>
      <c r="IO25" s="42"/>
      <c r="IP25" s="28"/>
      <c r="IQ25" s="28"/>
      <c r="IR25" s="28"/>
      <c r="IS25" s="28"/>
      <c r="IT25" s="28"/>
      <c r="IU25" s="28"/>
      <c r="IV25" s="28"/>
      <c r="IW25" s="28"/>
      <c r="IX25" s="28"/>
      <c r="IY25" s="28"/>
      <c r="IZ25" s="28"/>
      <c r="JA25" s="28"/>
      <c r="JB25" s="28"/>
      <c r="JC25" s="28"/>
      <c r="JD25" s="28"/>
      <c r="JE25" s="28"/>
      <c r="JF25" s="28"/>
      <c r="JG25" s="28"/>
      <c r="JH25" s="28"/>
      <c r="JI25" s="28"/>
      <c r="JJ25" s="28"/>
      <c r="JK25" s="28"/>
      <c r="JL25" s="28"/>
      <c r="JM25" s="28"/>
      <c r="JN25" s="28"/>
      <c r="JO25" s="28"/>
      <c r="JP25" s="28"/>
      <c r="JQ25" s="28"/>
      <c r="JR25" s="28"/>
      <c r="JS25" s="28"/>
      <c r="JT25" s="28"/>
      <c r="JU25" s="28"/>
      <c r="JV25" s="28"/>
      <c r="JW25" s="28"/>
      <c r="JX25" s="47"/>
      <c r="JY25" s="28"/>
      <c r="JZ25" s="28"/>
      <c r="KA25" s="28"/>
      <c r="KB25" s="29"/>
      <c r="KC25" s="29"/>
      <c r="KD25" s="29"/>
      <c r="KE25" s="29"/>
      <c r="KF25" s="28"/>
      <c r="KG25" s="28"/>
      <c r="KH25" s="28"/>
      <c r="KI25" s="28"/>
      <c r="KJ25" s="28"/>
      <c r="KK25" s="28"/>
      <c r="KL25" s="28"/>
      <c r="KM25" s="28"/>
      <c r="KN25" s="28"/>
      <c r="KO25" s="30">
        <v>1</v>
      </c>
      <c r="KP25" s="30">
        <v>1</v>
      </c>
      <c r="KQ25" s="30">
        <v>1</v>
      </c>
      <c r="KR25" s="30">
        <v>1</v>
      </c>
      <c r="KS25" s="30">
        <v>1</v>
      </c>
      <c r="KT25" s="30">
        <v>1</v>
      </c>
      <c r="KU25" s="30">
        <v>1</v>
      </c>
      <c r="KV25" s="30">
        <v>1</v>
      </c>
      <c r="KW25" s="30">
        <v>1</v>
      </c>
      <c r="KX25" s="30">
        <v>1</v>
      </c>
      <c r="KY25" s="30">
        <v>1</v>
      </c>
      <c r="KZ25" s="30">
        <v>1</v>
      </c>
      <c r="LA25" s="30">
        <v>1</v>
      </c>
      <c r="LB25" s="30">
        <v>1</v>
      </c>
      <c r="LC25" s="30">
        <v>1</v>
      </c>
      <c r="LD25" s="30">
        <v>1</v>
      </c>
      <c r="LE25" s="30">
        <v>1</v>
      </c>
      <c r="LF25" s="28"/>
      <c r="LG25" s="28"/>
      <c r="LH25" s="28"/>
      <c r="LI25" s="28"/>
      <c r="LJ25" s="28"/>
      <c r="LK25" s="28"/>
      <c r="LL25" s="28"/>
      <c r="LM25" s="28"/>
      <c r="LN25" s="28"/>
      <c r="LO25" s="28"/>
      <c r="LP25" s="28"/>
      <c r="LQ25" s="28"/>
      <c r="LR25" s="28"/>
      <c r="LS25" s="28"/>
      <c r="LT25" s="28"/>
      <c r="LU25" s="28"/>
      <c r="LV25" s="28"/>
      <c r="LW25" s="28"/>
      <c r="LX25" s="28"/>
      <c r="LY25" s="28"/>
      <c r="LZ25" s="28"/>
      <c r="MA25" s="28"/>
      <c r="MB25" s="28"/>
      <c r="MC25" s="28"/>
      <c r="MD25" s="28"/>
      <c r="ME25" s="28"/>
      <c r="MF25" s="28"/>
      <c r="MG25" s="28"/>
      <c r="MH25" s="28"/>
      <c r="MI25" s="28"/>
      <c r="MJ25" s="28"/>
      <c r="MK25" s="28"/>
      <c r="ML25" s="28"/>
      <c r="MM25" s="28"/>
      <c r="MN25" s="28"/>
      <c r="MO25" s="28"/>
      <c r="MP25" s="28"/>
      <c r="MQ25" s="28"/>
      <c r="MR25" s="28"/>
      <c r="MS25" s="28"/>
      <c r="MT25" s="28"/>
      <c r="MU25" s="28"/>
      <c r="MV25" s="28"/>
      <c r="MW25" s="28"/>
      <c r="MX25" s="28"/>
      <c r="MY25" s="28"/>
      <c r="MZ25" s="28"/>
      <c r="NA25" s="28"/>
      <c r="NB25" s="28"/>
      <c r="NC25" s="28"/>
      <c r="ND25" s="28"/>
      <c r="NE25" s="28"/>
      <c r="NF25" s="28"/>
      <c r="NG25" s="28"/>
      <c r="NH25" s="28"/>
      <c r="NI25" s="28"/>
      <c r="NJ25" s="28"/>
      <c r="NK25" s="28"/>
      <c r="NL25" s="28"/>
      <c r="NM25" s="28"/>
      <c r="NN25" s="28"/>
      <c r="NO25" s="28"/>
      <c r="NP25" s="28"/>
      <c r="NQ25" s="32"/>
      <c r="NR25" s="28"/>
      <c r="NS25" s="28"/>
      <c r="NT25" s="28"/>
      <c r="NU25" s="28"/>
      <c r="NV25" s="28"/>
      <c r="NW25" s="28"/>
      <c r="NX25" s="28"/>
      <c r="NY25" s="28"/>
      <c r="NZ25" s="28"/>
      <c r="OA25" s="28"/>
      <c r="OB25" s="28"/>
      <c r="OC25" s="28"/>
      <c r="OD25" s="28"/>
      <c r="OE25" s="28"/>
      <c r="OF25" s="28"/>
      <c r="OG25" s="28"/>
      <c r="OH25" s="28"/>
      <c r="OI25" s="28"/>
      <c r="OJ25" s="28"/>
      <c r="OK25" s="28"/>
      <c r="OL25" s="28"/>
      <c r="OM25" s="28"/>
      <c r="ON25" s="28"/>
      <c r="OO25" s="28"/>
      <c r="OP25" s="28"/>
      <c r="OQ25" s="28"/>
      <c r="OR25" s="28"/>
      <c r="OS25" s="28"/>
      <c r="OT25" s="28"/>
      <c r="OU25" s="28"/>
      <c r="OV25" s="28"/>
      <c r="OW25" s="28"/>
      <c r="OX25" s="28"/>
      <c r="OY25" s="28"/>
      <c r="OZ25" s="28"/>
      <c r="PA25" s="28"/>
      <c r="PB25" s="28"/>
      <c r="PC25" s="28"/>
      <c r="PD25" s="28"/>
      <c r="PE25" s="28"/>
      <c r="PF25" s="28"/>
      <c r="PG25" s="28"/>
      <c r="PH25" s="28"/>
      <c r="PI25" s="28"/>
      <c r="PJ25" s="28"/>
      <c r="PK25" s="28"/>
      <c r="PL25" s="28"/>
      <c r="PM25" s="28"/>
      <c r="PN25" s="28"/>
      <c r="PO25" s="28"/>
      <c r="PP25" s="28"/>
      <c r="PQ25" s="28"/>
      <c r="PR25" s="28"/>
      <c r="PS25" s="28"/>
      <c r="PT25" s="28"/>
      <c r="PU25" s="28"/>
      <c r="PV25" s="28"/>
      <c r="PW25" s="28"/>
      <c r="PX25" s="28"/>
      <c r="PY25" s="28"/>
      <c r="PZ25" s="28"/>
      <c r="QA25" s="28"/>
      <c r="QB25" s="28"/>
      <c r="QC25" s="28"/>
      <c r="QD25" s="28"/>
      <c r="QE25" s="28"/>
      <c r="QF25" s="28"/>
      <c r="QG25" s="28"/>
      <c r="QH25" s="28"/>
      <c r="QI25" s="28"/>
      <c r="QJ25" s="28"/>
      <c r="QK25" s="28"/>
      <c r="QL25" s="28"/>
      <c r="QM25" s="28"/>
      <c r="QN25" s="28"/>
      <c r="QO25" s="28"/>
      <c r="QP25" s="28"/>
      <c r="QQ25" s="28"/>
      <c r="QR25" s="28"/>
      <c r="QS25" s="28"/>
      <c r="QT25" s="170">
        <v>1</v>
      </c>
      <c r="QU25" s="170">
        <v>1</v>
      </c>
      <c r="QV25" s="170">
        <v>1</v>
      </c>
      <c r="QW25" s="170">
        <v>1</v>
      </c>
      <c r="QX25" s="170">
        <v>1</v>
      </c>
      <c r="QY25" s="170">
        <v>1</v>
      </c>
      <c r="QZ25" s="170">
        <v>1</v>
      </c>
      <c r="RA25" s="170">
        <v>1</v>
      </c>
      <c r="RB25" s="170">
        <v>1</v>
      </c>
      <c r="RC25" s="170">
        <v>1</v>
      </c>
      <c r="RD25" s="170">
        <v>1</v>
      </c>
      <c r="RE25" s="170">
        <v>1</v>
      </c>
      <c r="RF25" s="170">
        <v>1</v>
      </c>
      <c r="RG25" s="170">
        <v>1</v>
      </c>
      <c r="RH25" s="170">
        <v>1</v>
      </c>
      <c r="RI25" s="170">
        <v>1</v>
      </c>
      <c r="RJ25" s="170">
        <v>1</v>
      </c>
      <c r="RK25" s="28"/>
      <c r="RL25" s="28"/>
      <c r="RM25" s="28"/>
      <c r="RN25" s="28"/>
      <c r="RO25" s="28"/>
      <c r="RP25" s="28"/>
      <c r="RQ25" s="28"/>
      <c r="RR25" s="28"/>
      <c r="RS25" s="28"/>
      <c r="RT25" s="28"/>
      <c r="RU25" s="28"/>
      <c r="RV25" s="28"/>
      <c r="RW25" s="28"/>
      <c r="RX25" s="28"/>
      <c r="RY25" s="28"/>
      <c r="RZ25" s="28"/>
      <c r="SA25" s="28"/>
      <c r="SB25" s="28"/>
      <c r="SC25" s="28"/>
      <c r="SD25" s="28"/>
      <c r="SE25" s="28"/>
      <c r="SF25" s="28"/>
      <c r="SG25" s="28"/>
      <c r="SH25" s="28"/>
      <c r="SI25" s="28"/>
      <c r="SJ25" s="28"/>
      <c r="SK25" s="28"/>
      <c r="SL25" s="28"/>
      <c r="SM25" s="28"/>
      <c r="SN25" s="28"/>
      <c r="SO25" s="28"/>
      <c r="SP25" s="28"/>
      <c r="SQ25" s="28"/>
      <c r="SR25" s="28"/>
      <c r="SS25" s="28"/>
      <c r="ST25" s="28"/>
      <c r="SU25" s="28"/>
      <c r="SV25" s="28"/>
      <c r="SW25" s="28"/>
      <c r="SX25" s="28"/>
      <c r="SY25" s="28"/>
      <c r="SZ25" s="28"/>
      <c r="TA25" s="28"/>
      <c r="TB25" s="28"/>
      <c r="TC25" s="28"/>
      <c r="TD25" s="28"/>
      <c r="TE25" s="28"/>
      <c r="TF25" s="28"/>
      <c r="TG25" s="28"/>
      <c r="TH25" s="28"/>
      <c r="TI25" s="28"/>
      <c r="TJ25" s="28"/>
      <c r="TK25" s="28"/>
      <c r="TL25" s="28"/>
      <c r="TM25" s="32"/>
      <c r="TN25" s="28"/>
      <c r="TO25" s="28"/>
      <c r="TP25" s="28"/>
      <c r="TQ25" s="28"/>
      <c r="TR25" s="28"/>
      <c r="TS25" s="28"/>
      <c r="TT25" s="28"/>
      <c r="TU25" s="28"/>
      <c r="TV25" s="28"/>
      <c r="TW25" s="28"/>
      <c r="TX25" s="28"/>
      <c r="TY25" s="28"/>
      <c r="TZ25" s="28"/>
      <c r="UA25" s="28"/>
      <c r="UB25" s="28"/>
      <c r="UC25" s="28"/>
      <c r="UD25" s="28"/>
      <c r="UE25" s="28"/>
      <c r="UF25" s="28"/>
      <c r="UG25" s="28"/>
      <c r="UH25" s="28"/>
      <c r="UI25" s="28"/>
      <c r="UJ25" s="28"/>
      <c r="UK25" s="28"/>
      <c r="UL25" s="28"/>
      <c r="UM25" s="28"/>
      <c r="UN25" s="28"/>
      <c r="UO25" s="28"/>
      <c r="UP25" s="28"/>
      <c r="UQ25" s="28"/>
      <c r="UR25" s="28"/>
      <c r="US25" s="28"/>
      <c r="UT25" s="28"/>
      <c r="UU25" s="28"/>
      <c r="UV25" s="28"/>
      <c r="UW25" s="28"/>
      <c r="UX25" s="28"/>
      <c r="UY25" s="28"/>
      <c r="UZ25" s="28"/>
      <c r="VA25" s="28"/>
      <c r="VB25" s="28"/>
      <c r="VC25" s="28"/>
      <c r="VD25" s="28"/>
      <c r="VE25" s="28"/>
      <c r="VF25" s="28"/>
      <c r="VG25" s="28"/>
      <c r="VH25" s="28"/>
      <c r="VI25" s="28"/>
      <c r="VJ25" s="28"/>
      <c r="VK25" s="28"/>
      <c r="VL25" s="28"/>
      <c r="VM25" s="28"/>
      <c r="VN25" s="28"/>
      <c r="VO25" s="28"/>
      <c r="VP25" s="28"/>
      <c r="VQ25" s="28"/>
      <c r="VR25" s="28"/>
      <c r="VS25" s="28"/>
      <c r="VT25" s="28"/>
      <c r="VU25" s="28"/>
      <c r="VV25" s="28"/>
      <c r="VW25" s="28"/>
      <c r="VX25" s="28"/>
      <c r="VY25" s="28"/>
      <c r="VZ25" s="28"/>
      <c r="WA25" s="28"/>
      <c r="WB25" s="28"/>
      <c r="WC25" s="28"/>
      <c r="WD25" s="28"/>
      <c r="WE25" s="46"/>
      <c r="WF25" s="42"/>
      <c r="WG25" s="42"/>
      <c r="WH25" s="42"/>
      <c r="WI25" s="42"/>
      <c r="WJ25" s="42"/>
      <c r="WK25" s="42"/>
      <c r="WL25" s="42"/>
      <c r="WM25" s="42"/>
      <c r="WN25" s="42"/>
      <c r="WO25" s="42"/>
      <c r="WP25" s="42"/>
      <c r="WQ25" s="28"/>
      <c r="WR25" s="28"/>
      <c r="WS25" s="28"/>
      <c r="WT25" s="28"/>
      <c r="WU25" s="28"/>
      <c r="WV25" s="28"/>
      <c r="WW25" s="28"/>
      <c r="WX25" s="28"/>
      <c r="WY25" s="28"/>
      <c r="WZ25" s="28"/>
      <c r="XA25" s="28"/>
      <c r="XB25" s="28"/>
      <c r="XC25" s="28"/>
      <c r="XD25" s="28"/>
      <c r="XE25" s="28"/>
      <c r="XF25" s="28"/>
      <c r="XG25" s="28"/>
      <c r="XH25" s="28"/>
      <c r="XI25" s="28"/>
      <c r="XJ25" s="28"/>
      <c r="XK25" s="28"/>
      <c r="XL25" s="28"/>
      <c r="XM25" s="28"/>
      <c r="XN25" s="28"/>
      <c r="XO25" s="28"/>
      <c r="XP25" s="28"/>
      <c r="XQ25" s="28"/>
      <c r="XR25" s="28"/>
      <c r="XS25" s="28"/>
      <c r="XT25" s="28"/>
      <c r="XU25" s="170">
        <v>1</v>
      </c>
      <c r="XV25" s="170">
        <v>1</v>
      </c>
      <c r="XW25" s="170">
        <v>1</v>
      </c>
      <c r="XX25" s="170">
        <v>1</v>
      </c>
      <c r="XY25" s="221">
        <v>1</v>
      </c>
      <c r="XZ25" s="170">
        <v>1</v>
      </c>
      <c r="YA25" s="170">
        <v>1</v>
      </c>
      <c r="YB25" s="170">
        <v>1</v>
      </c>
      <c r="YC25" s="194">
        <v>1</v>
      </c>
      <c r="YD25" s="194">
        <v>1</v>
      </c>
      <c r="YE25" s="194">
        <v>1</v>
      </c>
      <c r="YF25" s="194">
        <v>1</v>
      </c>
      <c r="YG25" s="170">
        <v>1</v>
      </c>
      <c r="YH25" s="170">
        <v>1</v>
      </c>
      <c r="YI25" s="170">
        <v>1</v>
      </c>
      <c r="YJ25" s="170">
        <v>1</v>
      </c>
      <c r="YK25" s="170">
        <v>1</v>
      </c>
      <c r="YL25" s="28"/>
      <c r="YM25" s="28"/>
      <c r="YN25" s="28"/>
      <c r="YO25" s="28"/>
      <c r="YP25" s="28"/>
      <c r="YQ25" s="28"/>
      <c r="YR25" s="28"/>
      <c r="YS25" s="28"/>
      <c r="YT25" s="28"/>
      <c r="YU25" s="28"/>
      <c r="YV25" s="28"/>
      <c r="YW25" s="28"/>
      <c r="YX25" s="28"/>
      <c r="YY25" s="28"/>
      <c r="YZ25" s="28"/>
      <c r="ZA25" s="28"/>
      <c r="ZB25" s="28"/>
      <c r="ZC25" s="28"/>
      <c r="ZD25" s="28"/>
      <c r="ZE25" s="28"/>
      <c r="ZF25" s="28"/>
      <c r="ZG25" s="28"/>
      <c r="ZH25" s="28"/>
      <c r="ZI25" s="28"/>
      <c r="ZJ25" s="28"/>
      <c r="ZK25" s="28"/>
      <c r="ZL25" s="28"/>
      <c r="ZM25" s="28"/>
      <c r="ZN25" s="28"/>
      <c r="ZO25" s="28"/>
      <c r="ZP25" s="28"/>
      <c r="ZQ25" s="28"/>
      <c r="ZR25" s="28"/>
      <c r="ZS25" s="28"/>
      <c r="ZT25" s="28"/>
      <c r="ZU25" s="28"/>
      <c r="ZV25" s="28"/>
      <c r="ZW25" s="28"/>
      <c r="ZX25" s="28"/>
      <c r="ZY25" s="28"/>
      <c r="ZZ25" s="28"/>
      <c r="AAA25" s="28"/>
      <c r="AAB25" s="28"/>
      <c r="AAC25" s="28"/>
      <c r="AAD25" s="28"/>
      <c r="AAE25" s="28"/>
      <c r="AAF25" s="28"/>
      <c r="AAG25" s="28"/>
      <c r="AAH25" s="28"/>
      <c r="AAI25" s="28"/>
      <c r="AAJ25" s="28"/>
      <c r="AAK25" s="28"/>
      <c r="AAL25" s="28"/>
      <c r="AAM25" s="28"/>
      <c r="AAN25" s="28"/>
      <c r="AAO25" s="28"/>
      <c r="AAP25" s="28"/>
      <c r="AAQ25" s="28"/>
      <c r="AAR25" s="28"/>
      <c r="AAS25" s="28"/>
      <c r="AAT25" s="28"/>
      <c r="AAU25" s="28"/>
      <c r="AAV25" s="28"/>
      <c r="AAW25" s="28"/>
      <c r="AAX25" s="28"/>
      <c r="AAY25" s="28"/>
      <c r="AAZ25" s="28"/>
      <c r="ABA25" s="28"/>
      <c r="ABB25" s="28"/>
      <c r="ABC25" s="28"/>
      <c r="ABD25" s="28"/>
      <c r="ABE25" s="28"/>
      <c r="ABF25" s="28"/>
      <c r="ABG25" s="28"/>
      <c r="ABH25" s="28"/>
      <c r="ABI25" s="28"/>
      <c r="ABJ25" s="28"/>
      <c r="ABK25" s="28"/>
      <c r="ABL25" s="28"/>
      <c r="ABM25" s="28"/>
      <c r="ABN25" s="28"/>
      <c r="ABO25" s="28"/>
      <c r="ABP25" s="28"/>
      <c r="ABQ25" s="28"/>
      <c r="ABR25" s="32"/>
    </row>
    <row r="26" spans="1:1822" customFormat="1" ht="15" customHeight="1" x14ac:dyDescent="0.3">
      <c r="A26" s="18">
        <v>22</v>
      </c>
      <c r="B26" s="2" t="s">
        <v>17</v>
      </c>
      <c r="C26" s="78" t="s">
        <v>53</v>
      </c>
      <c r="D26" s="56" t="s">
        <v>54</v>
      </c>
      <c r="E26" s="21">
        <v>45492</v>
      </c>
      <c r="F26" s="21">
        <v>45492</v>
      </c>
      <c r="G26" s="21">
        <f t="shared" si="0"/>
        <v>45582</v>
      </c>
      <c r="H26" s="22">
        <v>45719</v>
      </c>
      <c r="I26" s="57"/>
      <c r="J26" s="22"/>
      <c r="K26" s="23" t="s">
        <v>122</v>
      </c>
      <c r="L26" s="23">
        <f t="shared" ca="1" si="19"/>
        <v>42.7</v>
      </c>
      <c r="M26" s="23">
        <f t="shared" ca="1" si="17"/>
        <v>25.700000000000003</v>
      </c>
      <c r="N26" s="35">
        <v>45995</v>
      </c>
      <c r="O26" s="35">
        <v>46011</v>
      </c>
      <c r="P26" s="24">
        <f>SUM(O26-N26+1)</f>
        <v>17</v>
      </c>
      <c r="Q26" s="33"/>
      <c r="R26" s="28"/>
      <c r="S26" s="28"/>
      <c r="T26" s="28"/>
      <c r="U26" s="26"/>
      <c r="V26" s="26"/>
      <c r="W26" s="26"/>
      <c r="X26" s="26"/>
      <c r="Y26" s="26"/>
      <c r="Z26" s="26"/>
      <c r="AA26" s="26"/>
      <c r="AB26" s="26"/>
      <c r="AC26" s="26"/>
      <c r="AD26" s="36">
        <v>1</v>
      </c>
      <c r="AE26" s="36">
        <v>1</v>
      </c>
      <c r="AF26" s="36">
        <v>1</v>
      </c>
      <c r="AG26" s="36">
        <v>1</v>
      </c>
      <c r="AH26" s="36">
        <v>1</v>
      </c>
      <c r="AI26" s="36">
        <v>1</v>
      </c>
      <c r="AJ26" s="36">
        <v>1</v>
      </c>
      <c r="AK26" s="36">
        <v>1</v>
      </c>
      <c r="AL26" s="36">
        <v>1</v>
      </c>
      <c r="AM26" s="36">
        <v>1</v>
      </c>
      <c r="AN26" s="36">
        <v>1</v>
      </c>
      <c r="AO26" s="36">
        <v>1</v>
      </c>
      <c r="AP26" s="36">
        <v>1</v>
      </c>
      <c r="AQ26" s="36">
        <v>1</v>
      </c>
      <c r="AR26" s="36">
        <v>1</v>
      </c>
      <c r="AS26" s="36">
        <v>1</v>
      </c>
      <c r="AT26" s="36">
        <v>1</v>
      </c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42"/>
      <c r="EM26" s="32"/>
      <c r="EN26" s="32"/>
      <c r="EO26" s="32"/>
      <c r="EP26" s="32"/>
      <c r="EQ26" s="32"/>
      <c r="ER26" s="32"/>
      <c r="ES26" s="32"/>
      <c r="ET26" s="32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30">
        <v>1</v>
      </c>
      <c r="HH26" s="30">
        <v>1</v>
      </c>
      <c r="HI26" s="30">
        <v>1</v>
      </c>
      <c r="HJ26" s="30">
        <v>1</v>
      </c>
      <c r="HK26" s="30">
        <v>1</v>
      </c>
      <c r="HL26" s="30">
        <v>1</v>
      </c>
      <c r="HM26" s="30">
        <v>1</v>
      </c>
      <c r="HN26" s="30">
        <v>1</v>
      </c>
      <c r="HO26" s="30">
        <v>1</v>
      </c>
      <c r="HP26" s="30">
        <v>1</v>
      </c>
      <c r="HQ26" s="30">
        <v>1</v>
      </c>
      <c r="HR26" s="30">
        <v>1</v>
      </c>
      <c r="HS26" s="30">
        <v>1</v>
      </c>
      <c r="HT26" s="30">
        <v>1</v>
      </c>
      <c r="HU26" s="30">
        <v>1</v>
      </c>
      <c r="HV26" s="30">
        <v>1</v>
      </c>
      <c r="HW26" s="30">
        <v>1</v>
      </c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  <c r="IW26" s="28"/>
      <c r="IX26" s="28"/>
      <c r="IY26" s="28"/>
      <c r="IZ26" s="28"/>
      <c r="JA26" s="28"/>
      <c r="JB26" s="28"/>
      <c r="JC26" s="28"/>
      <c r="JD26" s="28"/>
      <c r="JE26" s="28"/>
      <c r="JF26" s="28"/>
      <c r="JG26" s="28"/>
      <c r="JH26" s="28"/>
      <c r="JI26" s="44"/>
      <c r="JJ26" s="28"/>
      <c r="JK26" s="28"/>
      <c r="JL26" s="28"/>
      <c r="JM26" s="28"/>
      <c r="JN26" s="28"/>
      <c r="JO26" s="28"/>
      <c r="JP26" s="28"/>
      <c r="JQ26" s="28"/>
      <c r="JR26" s="28"/>
      <c r="JS26" s="28"/>
      <c r="JT26" s="28"/>
      <c r="JU26" s="28"/>
      <c r="JV26" s="28"/>
      <c r="JW26" s="28"/>
      <c r="JX26" s="28"/>
      <c r="JY26" s="28"/>
      <c r="JZ26" s="28"/>
      <c r="KA26" s="28"/>
      <c r="KB26" s="28"/>
      <c r="KC26" s="28"/>
      <c r="KD26" s="28"/>
      <c r="KE26" s="28"/>
      <c r="KF26" s="28"/>
      <c r="KG26" s="28"/>
      <c r="KH26" s="28"/>
      <c r="KI26" s="28"/>
      <c r="KJ26" s="28"/>
      <c r="KK26" s="28"/>
      <c r="KL26" s="28"/>
      <c r="KM26" s="28"/>
      <c r="KN26" s="28"/>
      <c r="KO26" s="28"/>
      <c r="KP26" s="28"/>
      <c r="KQ26" s="28"/>
      <c r="KR26" s="28"/>
      <c r="KS26" s="28"/>
      <c r="KT26" s="28"/>
      <c r="KU26" s="28"/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28"/>
      <c r="LH26" s="28"/>
      <c r="LI26" s="28"/>
      <c r="LJ26" s="28"/>
      <c r="LK26" s="28"/>
      <c r="LL26" s="28"/>
      <c r="LM26" s="28"/>
      <c r="LN26" s="32"/>
      <c r="LO26" s="28"/>
      <c r="LP26" s="28"/>
      <c r="LQ26" s="28"/>
      <c r="LR26" s="28"/>
      <c r="LS26" s="28"/>
      <c r="LT26" s="28"/>
      <c r="LU26" s="28"/>
      <c r="LV26" s="28"/>
      <c r="LW26" s="28"/>
      <c r="LX26" s="28"/>
      <c r="LY26" s="28"/>
      <c r="LZ26" s="28"/>
      <c r="MA26" s="28"/>
      <c r="MB26" s="28"/>
      <c r="MC26" s="28"/>
      <c r="MD26" s="28"/>
      <c r="ME26" s="28"/>
      <c r="MF26" s="28"/>
      <c r="MG26" s="28"/>
      <c r="MH26" s="28"/>
      <c r="MI26" s="28"/>
      <c r="MJ26" s="28"/>
      <c r="MK26" s="28"/>
      <c r="ML26" s="28"/>
      <c r="MM26" s="28"/>
      <c r="MN26" s="28"/>
      <c r="MO26" s="28"/>
      <c r="MP26" s="28"/>
      <c r="MQ26" s="28"/>
      <c r="MR26" s="28"/>
      <c r="MS26" s="28"/>
      <c r="MT26" s="28"/>
      <c r="MU26" s="28"/>
      <c r="MV26" s="28"/>
      <c r="MW26" s="28"/>
      <c r="MX26" s="28"/>
      <c r="MY26" s="28"/>
      <c r="MZ26" s="28"/>
      <c r="NA26" s="28"/>
      <c r="NB26" s="28"/>
      <c r="NC26" s="28"/>
      <c r="ND26" s="28"/>
      <c r="NE26" s="28"/>
      <c r="NF26" s="28"/>
      <c r="NG26" s="28"/>
      <c r="NH26" s="28"/>
      <c r="NI26" s="28"/>
      <c r="NJ26" s="28"/>
      <c r="NK26" s="28"/>
      <c r="NL26" s="28"/>
      <c r="NM26" s="28"/>
      <c r="NN26" s="28"/>
      <c r="NO26" s="28"/>
      <c r="NP26" s="28"/>
      <c r="NQ26" s="28"/>
      <c r="NR26" s="28"/>
      <c r="NS26" s="28"/>
      <c r="NT26" s="28"/>
      <c r="NU26" s="28"/>
      <c r="NV26" s="28"/>
      <c r="NW26" s="28"/>
      <c r="NX26" s="28"/>
      <c r="NY26" s="28"/>
      <c r="NZ26" s="28"/>
      <c r="OA26" s="28"/>
      <c r="OB26" s="28"/>
      <c r="OC26" s="28"/>
      <c r="OD26" s="28"/>
      <c r="OE26" s="28"/>
      <c r="OF26" s="28"/>
      <c r="OG26" s="28"/>
      <c r="OH26" s="28"/>
      <c r="OI26" s="28"/>
      <c r="OJ26" s="28"/>
      <c r="OK26" s="28"/>
      <c r="OL26" s="28"/>
      <c r="OM26" s="28"/>
      <c r="ON26" s="28"/>
      <c r="OO26" s="28"/>
      <c r="OP26" s="28"/>
      <c r="OQ26" s="28"/>
      <c r="OR26" s="28"/>
      <c r="OS26" s="28"/>
      <c r="OT26" s="28"/>
      <c r="OU26" s="28"/>
      <c r="OV26" s="28"/>
      <c r="OW26" s="28"/>
      <c r="OX26" s="28"/>
      <c r="OY26" s="28"/>
      <c r="OZ26" s="28"/>
      <c r="PA26" s="28"/>
      <c r="PB26" s="28"/>
      <c r="PC26" s="28"/>
      <c r="PD26" s="28"/>
      <c r="PE26" s="28"/>
      <c r="PF26" s="28"/>
      <c r="PG26" s="28"/>
      <c r="PH26" s="28"/>
      <c r="PI26" s="28"/>
      <c r="PJ26" s="28"/>
      <c r="PK26" s="28"/>
      <c r="PL26" s="28"/>
      <c r="PM26" s="28"/>
      <c r="PN26" s="28"/>
      <c r="PO26" s="28"/>
      <c r="PP26" s="28"/>
      <c r="PQ26" s="28"/>
      <c r="PR26" s="28"/>
      <c r="PS26" s="28"/>
      <c r="PT26" s="28"/>
      <c r="PU26" s="28"/>
      <c r="PV26" s="28"/>
      <c r="PW26" s="28"/>
      <c r="PX26" s="28"/>
      <c r="PY26" s="28"/>
      <c r="PZ26" s="28"/>
      <c r="QA26" s="28"/>
      <c r="QB26" s="28"/>
      <c r="QC26" s="28"/>
      <c r="QD26" s="28"/>
      <c r="QE26" s="28"/>
      <c r="QF26" s="28"/>
      <c r="QG26" s="28"/>
      <c r="QH26" s="28"/>
      <c r="QI26" s="28"/>
      <c r="QJ26" s="28"/>
      <c r="QK26" s="28"/>
      <c r="QL26" s="28"/>
      <c r="QM26" s="28"/>
      <c r="QN26" s="28"/>
      <c r="QO26" s="28"/>
      <c r="QP26" s="28"/>
      <c r="QQ26" s="28"/>
      <c r="QR26" s="28"/>
      <c r="QS26" s="28"/>
      <c r="QT26" s="28"/>
      <c r="QU26" s="28"/>
      <c r="QV26" s="28"/>
      <c r="QW26" s="28"/>
      <c r="QX26" s="28"/>
      <c r="QY26" s="28"/>
      <c r="QZ26" s="28"/>
      <c r="RA26" s="28"/>
      <c r="RB26" s="28"/>
      <c r="RC26" s="28"/>
      <c r="RD26" s="28"/>
      <c r="RE26" s="28"/>
      <c r="RF26" s="28"/>
      <c r="RG26" s="28"/>
      <c r="RH26" s="28"/>
      <c r="RI26" s="28"/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8"/>
      <c r="RV26" s="28"/>
      <c r="RW26" s="28"/>
      <c r="RX26" s="28"/>
      <c r="RY26" s="28"/>
      <c r="RZ26" s="28"/>
      <c r="SA26" s="28"/>
      <c r="SB26" s="28"/>
      <c r="SC26" s="28"/>
      <c r="SD26" s="28"/>
      <c r="SE26" s="28"/>
      <c r="SF26" s="28"/>
      <c r="SG26" s="28"/>
      <c r="SH26" s="28"/>
      <c r="SI26" s="28"/>
      <c r="SJ26" s="28"/>
      <c r="SK26" s="28"/>
      <c r="SL26" s="28"/>
      <c r="SM26" s="170">
        <v>1</v>
      </c>
      <c r="SN26" s="170">
        <v>1</v>
      </c>
      <c r="SO26" s="170">
        <v>1</v>
      </c>
      <c r="SP26" s="170">
        <v>1</v>
      </c>
      <c r="SQ26" s="170">
        <v>1</v>
      </c>
      <c r="SR26" s="170">
        <v>1</v>
      </c>
      <c r="SS26" s="170">
        <v>1</v>
      </c>
      <c r="ST26" s="170">
        <v>1</v>
      </c>
      <c r="SU26" s="170">
        <v>1</v>
      </c>
      <c r="SV26" s="170">
        <v>1</v>
      </c>
      <c r="SW26" s="170">
        <v>1</v>
      </c>
      <c r="SX26" s="170">
        <v>1</v>
      </c>
      <c r="SY26" s="170">
        <v>1</v>
      </c>
      <c r="SZ26" s="170">
        <v>1</v>
      </c>
      <c r="TA26" s="170">
        <v>1</v>
      </c>
      <c r="TB26" s="170">
        <v>1</v>
      </c>
      <c r="TC26" s="170">
        <v>1</v>
      </c>
      <c r="TD26" s="28"/>
      <c r="TE26" s="28"/>
      <c r="TF26" s="28"/>
      <c r="TG26" s="28"/>
      <c r="TH26" s="28"/>
      <c r="TI26" s="28"/>
      <c r="TJ26" s="28"/>
      <c r="TK26" s="28"/>
      <c r="TL26" s="28"/>
      <c r="TM26" s="32"/>
      <c r="TN26" s="28"/>
      <c r="TO26" s="28"/>
      <c r="TP26" s="28"/>
      <c r="TQ26" s="28"/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8"/>
      <c r="UG26" s="28"/>
      <c r="UH26" s="28"/>
      <c r="UI26" s="28"/>
      <c r="UJ26" s="28"/>
      <c r="UK26" s="28"/>
      <c r="UL26" s="28"/>
      <c r="UM26" s="28"/>
      <c r="UN26" s="28"/>
      <c r="UO26" s="28"/>
      <c r="UP26" s="28"/>
      <c r="UQ26" s="28"/>
      <c r="UR26" s="28"/>
      <c r="US26" s="28"/>
      <c r="UT26" s="28"/>
      <c r="UU26" s="28"/>
      <c r="UV26" s="28"/>
      <c r="UW26" s="28"/>
      <c r="UX26" s="28"/>
      <c r="UY26" s="28"/>
      <c r="UZ26" s="28"/>
      <c r="VA26" s="28"/>
      <c r="VB26" s="28"/>
      <c r="VC26" s="28"/>
      <c r="VD26" s="28"/>
      <c r="VE26" s="28"/>
      <c r="VF26" s="28"/>
      <c r="VG26" s="28"/>
      <c r="VH26" s="28"/>
      <c r="VI26" s="28"/>
      <c r="VJ26" s="28"/>
      <c r="VK26" s="28"/>
      <c r="VL26" s="28"/>
      <c r="VM26" s="28"/>
      <c r="VN26" s="28"/>
      <c r="VO26" s="28"/>
      <c r="VP26" s="28"/>
      <c r="VQ26" s="28"/>
      <c r="VR26" s="28"/>
      <c r="VS26" s="28"/>
      <c r="VT26" s="28"/>
      <c r="VU26" s="28"/>
      <c r="VV26" s="28"/>
      <c r="VW26" s="28"/>
      <c r="VX26" s="28"/>
      <c r="VY26" s="28"/>
      <c r="VZ26" s="28"/>
      <c r="WA26" s="28"/>
      <c r="WB26" s="28"/>
      <c r="WC26" s="28"/>
      <c r="WD26" s="28"/>
      <c r="WE26" s="28"/>
      <c r="WF26" s="28"/>
      <c r="WG26" s="28"/>
      <c r="WH26" s="28"/>
      <c r="WI26" s="28"/>
      <c r="WJ26" s="28"/>
      <c r="WK26" s="28"/>
      <c r="WL26" s="28"/>
      <c r="WM26" s="28"/>
      <c r="WN26" s="28"/>
      <c r="WO26" s="28"/>
      <c r="WP26" s="28"/>
      <c r="WQ26" s="28"/>
      <c r="WR26" s="28"/>
      <c r="WS26" s="28"/>
      <c r="WT26" s="28"/>
      <c r="WU26" s="28"/>
      <c r="WV26" s="28"/>
      <c r="WW26" s="28"/>
      <c r="WX26" s="28"/>
      <c r="WY26" s="28"/>
      <c r="WZ26" s="28"/>
      <c r="XA26" s="28"/>
      <c r="XB26" s="28"/>
      <c r="XC26" s="28"/>
      <c r="XD26" s="28"/>
      <c r="XE26" s="28"/>
      <c r="XF26" s="28"/>
      <c r="XG26" s="28"/>
      <c r="XH26" s="28"/>
      <c r="XI26" s="28"/>
      <c r="XJ26" s="28"/>
      <c r="XK26" s="28"/>
      <c r="XL26" s="28"/>
      <c r="XM26" s="28"/>
      <c r="XN26" s="28"/>
      <c r="XO26" s="28"/>
      <c r="XP26" s="28"/>
      <c r="XQ26" s="28"/>
      <c r="XR26" s="28"/>
      <c r="XS26" s="28"/>
      <c r="XT26" s="28"/>
      <c r="XU26" s="28"/>
      <c r="XV26" s="28"/>
      <c r="XW26" s="28"/>
      <c r="XX26" s="28"/>
      <c r="XY26" s="28"/>
      <c r="XZ26" s="28"/>
      <c r="YA26" s="28"/>
      <c r="YB26" s="28"/>
      <c r="YC26" s="28"/>
      <c r="YD26" s="28"/>
      <c r="YE26" s="28"/>
      <c r="YF26" s="28"/>
      <c r="YG26" s="28"/>
      <c r="YH26" s="28"/>
      <c r="YI26" s="28"/>
      <c r="YJ26" s="28"/>
      <c r="YK26" s="28"/>
      <c r="YL26" s="28"/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  <c r="ZG26" s="28"/>
      <c r="ZH26" s="28"/>
      <c r="ZI26" s="28"/>
      <c r="ZJ26" s="28"/>
      <c r="ZK26" s="28"/>
      <c r="ZL26" s="28"/>
      <c r="ZM26" s="28"/>
      <c r="ZN26" s="28"/>
      <c r="ZO26" s="32"/>
      <c r="ZP26" s="28"/>
      <c r="ZQ26" s="28"/>
      <c r="ZR26" s="28"/>
      <c r="ZS26" s="28"/>
      <c r="ZT26" s="28"/>
      <c r="ZU26" s="28"/>
      <c r="ZV26" s="28"/>
      <c r="ZW26" s="28"/>
      <c r="ZX26" s="28"/>
      <c r="ZY26" s="28"/>
      <c r="ZZ26" s="28"/>
      <c r="AAA26" s="28"/>
      <c r="AAB26" s="28"/>
      <c r="AAC26" s="28"/>
      <c r="AAD26" s="28"/>
      <c r="AAE26" s="28"/>
      <c r="AAF26" s="28"/>
      <c r="AAG26" s="28"/>
      <c r="AAH26" s="28"/>
      <c r="AAI26" s="28"/>
      <c r="AAJ26" s="28"/>
      <c r="AAK26" s="28"/>
      <c r="AAL26" s="28"/>
      <c r="AAM26" s="28"/>
      <c r="AAN26" s="28"/>
      <c r="AAO26" s="28"/>
      <c r="AAP26" s="28"/>
      <c r="AAQ26" s="28"/>
      <c r="AAR26" s="28"/>
      <c r="AAS26" s="28"/>
      <c r="AAT26" s="28"/>
      <c r="AAU26" s="28"/>
      <c r="AAV26" s="28"/>
      <c r="AAW26" s="28"/>
      <c r="AAX26" s="28"/>
      <c r="AAY26" s="28"/>
      <c r="AAZ26" s="28"/>
      <c r="ABA26" s="28"/>
      <c r="ABB26" s="28"/>
      <c r="ABC26" s="28"/>
      <c r="ABD26" s="28"/>
      <c r="ABE26" s="28"/>
      <c r="ABF26" s="28"/>
      <c r="ABG26" s="28"/>
      <c r="ABH26" s="28"/>
      <c r="ABI26" s="28"/>
      <c r="ABJ26" s="28"/>
      <c r="ABK26" s="28"/>
      <c r="ABL26" s="28"/>
      <c r="ABM26" s="28"/>
      <c r="ABN26" s="28"/>
      <c r="ABO26" s="28"/>
      <c r="ABP26" s="28"/>
      <c r="ABQ26" s="28"/>
      <c r="ABR26" s="28"/>
    </row>
    <row r="27" spans="1:1822" customFormat="1" ht="15" customHeight="1" x14ac:dyDescent="0.3">
      <c r="A27" s="18">
        <v>23</v>
      </c>
      <c r="B27" s="2" t="s">
        <v>17</v>
      </c>
      <c r="C27" s="38" t="s">
        <v>55</v>
      </c>
      <c r="D27" s="38" t="s">
        <v>56</v>
      </c>
      <c r="E27" s="21">
        <v>45706</v>
      </c>
      <c r="F27" s="21">
        <v>45726</v>
      </c>
      <c r="G27" s="21">
        <f t="shared" si="0"/>
        <v>45816</v>
      </c>
      <c r="H27" s="63">
        <v>45870</v>
      </c>
      <c r="I27" s="79"/>
      <c r="J27" s="21"/>
      <c r="K27" s="185" t="s">
        <v>112</v>
      </c>
      <c r="L27" s="23">
        <f t="shared" ca="1" si="19"/>
        <v>23.5</v>
      </c>
      <c r="M27" s="23">
        <f t="shared" ca="1" si="17"/>
        <v>6.5</v>
      </c>
      <c r="N27" s="171">
        <v>46054</v>
      </c>
      <c r="O27" s="171">
        <v>46070</v>
      </c>
      <c r="P27" s="24">
        <f t="shared" si="18"/>
        <v>17</v>
      </c>
      <c r="Q27" s="33"/>
      <c r="R27" s="28"/>
      <c r="S27" s="28"/>
      <c r="T27" s="28"/>
      <c r="U27" s="26"/>
      <c r="V27" s="26"/>
      <c r="W27" s="26"/>
      <c r="X27" s="26"/>
      <c r="Y27" s="26"/>
      <c r="Z27" s="26"/>
      <c r="AA27" s="26"/>
      <c r="AB27" s="26"/>
      <c r="AC27" s="26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42"/>
      <c r="EM27" s="32"/>
      <c r="EN27" s="32"/>
      <c r="EO27" s="32"/>
      <c r="EP27" s="32"/>
      <c r="EQ27" s="32"/>
      <c r="ER27" s="32"/>
      <c r="ES27" s="32"/>
      <c r="ET27" s="32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  <c r="IO27" s="28"/>
      <c r="IP27" s="28"/>
      <c r="IQ27" s="28"/>
      <c r="IR27" s="28"/>
      <c r="IS27" s="28"/>
      <c r="IT27" s="28"/>
      <c r="IU27" s="28"/>
      <c r="IV27" s="28"/>
      <c r="IW27" s="28"/>
      <c r="IX27" s="28"/>
      <c r="IY27" s="28"/>
      <c r="IZ27" s="28"/>
      <c r="JA27" s="28"/>
      <c r="JB27" s="28"/>
      <c r="JC27" s="28"/>
      <c r="JD27" s="28"/>
      <c r="JE27" s="28"/>
      <c r="JF27" s="28"/>
      <c r="JG27" s="28"/>
      <c r="JH27" s="28"/>
      <c r="JI27" s="44"/>
      <c r="JJ27" s="28"/>
      <c r="JK27" s="28"/>
      <c r="JL27" s="28"/>
      <c r="JM27" s="28"/>
      <c r="JN27" s="28"/>
      <c r="JO27" s="28"/>
      <c r="JP27" s="28"/>
      <c r="JQ27" s="28"/>
      <c r="JR27" s="28"/>
      <c r="JS27" s="28"/>
      <c r="JT27" s="28"/>
      <c r="JU27" s="28"/>
      <c r="JV27" s="28"/>
      <c r="JW27" s="28"/>
      <c r="JX27" s="28"/>
      <c r="JY27" s="28"/>
      <c r="JZ27" s="28"/>
      <c r="KA27" s="28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8"/>
      <c r="LF27" s="28"/>
      <c r="LG27" s="28"/>
      <c r="LH27" s="28"/>
      <c r="LI27" s="28"/>
      <c r="LJ27" s="28"/>
      <c r="LK27" s="28"/>
      <c r="LL27" s="28"/>
      <c r="LM27" s="28"/>
      <c r="LN27" s="32"/>
      <c r="LO27" s="28"/>
      <c r="LP27" s="28"/>
      <c r="LQ27" s="28"/>
      <c r="LR27" s="28"/>
      <c r="LS27" s="28"/>
      <c r="LT27" s="28"/>
      <c r="LU27" s="28"/>
      <c r="LV27" s="28"/>
      <c r="LW27" s="28"/>
      <c r="LX27" s="28"/>
      <c r="LY27" s="28"/>
      <c r="LZ27" s="28"/>
      <c r="MA27" s="28"/>
      <c r="MB27" s="28"/>
      <c r="MC27" s="28"/>
      <c r="MD27" s="28"/>
      <c r="ME27" s="28"/>
      <c r="MF27" s="28"/>
      <c r="MG27" s="28"/>
      <c r="MH27" s="28"/>
      <c r="MI27" s="28"/>
      <c r="MJ27" s="28"/>
      <c r="MK27" s="28"/>
      <c r="ML27" s="28"/>
      <c r="MM27" s="28"/>
      <c r="MN27" s="28"/>
      <c r="MO27" s="28"/>
      <c r="MP27" s="28"/>
      <c r="MQ27" s="28"/>
      <c r="MR27" s="28"/>
      <c r="MS27" s="28"/>
      <c r="MT27" s="28"/>
      <c r="MU27" s="28"/>
      <c r="MV27" s="28"/>
      <c r="MW27" s="28"/>
      <c r="MX27" s="28"/>
      <c r="MY27" s="28"/>
      <c r="MZ27" s="28"/>
      <c r="NA27" s="28"/>
      <c r="NB27" s="43">
        <v>1</v>
      </c>
      <c r="NC27" s="43">
        <v>1</v>
      </c>
      <c r="ND27" s="43">
        <v>1</v>
      </c>
      <c r="NE27" s="43">
        <v>1</v>
      </c>
      <c r="NF27" s="43">
        <v>1</v>
      </c>
      <c r="NG27" s="43">
        <v>1</v>
      </c>
      <c r="NH27" s="43">
        <v>1</v>
      </c>
      <c r="NI27" s="43">
        <v>1</v>
      </c>
      <c r="NJ27" s="43">
        <v>1</v>
      </c>
      <c r="NK27" s="43">
        <v>1</v>
      </c>
      <c r="NL27" s="43">
        <v>1</v>
      </c>
      <c r="NM27" s="43">
        <v>1</v>
      </c>
      <c r="NN27" s="43">
        <v>1</v>
      </c>
      <c r="NO27" s="43">
        <v>1</v>
      </c>
      <c r="NP27" s="43">
        <v>1</v>
      </c>
      <c r="NQ27" s="43">
        <v>1</v>
      </c>
      <c r="NR27" s="43">
        <v>1</v>
      </c>
      <c r="NS27" s="28"/>
      <c r="NT27" s="28"/>
      <c r="NU27" s="28"/>
      <c r="NV27" s="28"/>
      <c r="NW27" s="28"/>
      <c r="NX27" s="28"/>
      <c r="NY27" s="28"/>
      <c r="NZ27" s="28"/>
      <c r="OA27" s="28"/>
      <c r="OB27" s="28"/>
      <c r="OC27" s="28"/>
      <c r="OD27" s="28"/>
      <c r="OE27" s="28"/>
      <c r="OF27" s="28"/>
      <c r="OG27" s="28"/>
      <c r="OH27" s="28"/>
      <c r="OI27" s="28"/>
      <c r="OJ27" s="28"/>
      <c r="OK27" s="28"/>
      <c r="OL27" s="28"/>
      <c r="OM27" s="28"/>
      <c r="ON27" s="28"/>
      <c r="OO27" s="28"/>
      <c r="OP27" s="28"/>
      <c r="OQ27" s="28"/>
      <c r="OR27" s="28"/>
      <c r="OS27" s="28"/>
      <c r="OT27" s="28"/>
      <c r="OU27" s="28"/>
      <c r="OV27" s="28"/>
      <c r="OW27" s="28"/>
      <c r="OX27" s="28"/>
      <c r="OY27" s="28"/>
      <c r="OZ27" s="28"/>
      <c r="PA27" s="28"/>
      <c r="PB27" s="28"/>
      <c r="PC27" s="28"/>
      <c r="PD27" s="28"/>
      <c r="PE27" s="28"/>
      <c r="PF27" s="28"/>
      <c r="PG27" s="28"/>
      <c r="PH27" s="28"/>
      <c r="PI27" s="28"/>
      <c r="PJ27" s="28"/>
      <c r="PK27" s="28"/>
      <c r="PL27" s="28"/>
      <c r="PM27" s="28"/>
      <c r="PN27" s="28"/>
      <c r="PO27" s="28"/>
      <c r="PP27" s="28"/>
      <c r="PQ27" s="28"/>
      <c r="PR27" s="28"/>
      <c r="PS27" s="28"/>
      <c r="PT27" s="28"/>
      <c r="PU27" s="28"/>
      <c r="PV27" s="28"/>
      <c r="PW27" s="28"/>
      <c r="PX27" s="28"/>
      <c r="PY27" s="28"/>
      <c r="PZ27" s="28"/>
      <c r="QA27" s="28"/>
      <c r="QB27" s="28"/>
      <c r="QC27" s="28"/>
      <c r="QD27" s="28"/>
      <c r="QE27" s="28"/>
      <c r="QF27" s="28"/>
      <c r="QG27" s="28"/>
      <c r="QH27" s="28"/>
      <c r="QI27" s="28"/>
      <c r="QJ27" s="28"/>
      <c r="QK27" s="28"/>
      <c r="QL27" s="28"/>
      <c r="QM27" s="28"/>
      <c r="QN27" s="28"/>
      <c r="QO27" s="28"/>
      <c r="QP27" s="28"/>
      <c r="QQ27" s="28"/>
      <c r="QR27" s="28"/>
      <c r="QS27" s="28"/>
      <c r="QT27" s="28"/>
      <c r="QU27" s="28"/>
      <c r="QV27" s="28"/>
      <c r="QW27" s="28"/>
      <c r="QX27" s="28"/>
      <c r="QY27" s="28"/>
      <c r="QZ27" s="28"/>
      <c r="RA27" s="28"/>
      <c r="RB27" s="28"/>
      <c r="RC27" s="28"/>
      <c r="RD27" s="28"/>
      <c r="RE27" s="28"/>
      <c r="RF27" s="28"/>
      <c r="RG27" s="28"/>
      <c r="RH27" s="28"/>
      <c r="RI27" s="28"/>
      <c r="RJ27" s="28"/>
      <c r="RK27" s="28"/>
      <c r="RL27" s="28"/>
      <c r="RM27" s="28"/>
      <c r="RN27" s="28"/>
      <c r="RO27" s="28"/>
      <c r="RP27" s="28"/>
      <c r="RQ27" s="28"/>
      <c r="RR27" s="28"/>
      <c r="RS27" s="28"/>
      <c r="RT27" s="28"/>
      <c r="RU27" s="28"/>
      <c r="RV27" s="28"/>
      <c r="RW27" s="28"/>
      <c r="RX27" s="28"/>
      <c r="RY27" s="28"/>
      <c r="RZ27" s="28"/>
      <c r="SA27" s="28"/>
      <c r="SB27" s="28"/>
      <c r="SC27" s="28"/>
      <c r="SD27" s="28"/>
      <c r="SE27" s="28"/>
      <c r="SF27" s="28"/>
      <c r="SG27" s="28"/>
      <c r="SH27" s="28"/>
      <c r="SI27" s="28"/>
      <c r="SJ27" s="28"/>
      <c r="SK27" s="28"/>
      <c r="SL27" s="28"/>
      <c r="SM27" s="28"/>
      <c r="SN27" s="28"/>
      <c r="SO27" s="28"/>
      <c r="SP27" s="28"/>
      <c r="SQ27" s="28"/>
      <c r="SR27" s="28"/>
      <c r="SS27" s="28"/>
      <c r="ST27" s="28"/>
      <c r="SU27" s="28"/>
      <c r="SV27" s="28"/>
      <c r="SW27" s="28"/>
      <c r="SX27" s="28"/>
      <c r="SY27" s="28"/>
      <c r="SZ27" s="28"/>
      <c r="TA27" s="28"/>
      <c r="TB27" s="28"/>
      <c r="TC27" s="28"/>
      <c r="TD27" s="28"/>
      <c r="TE27" s="28"/>
      <c r="TF27" s="28"/>
      <c r="TG27" s="28"/>
      <c r="TH27" s="28"/>
      <c r="TI27" s="28"/>
      <c r="TJ27" s="28"/>
      <c r="TK27" s="28"/>
      <c r="TL27" s="28"/>
      <c r="TM27" s="32"/>
      <c r="TN27" s="28"/>
      <c r="TO27" s="28"/>
      <c r="TP27" s="28"/>
      <c r="TQ27" s="28"/>
      <c r="TR27" s="28"/>
      <c r="TS27" s="28"/>
      <c r="TT27" s="28"/>
      <c r="TU27" s="28"/>
      <c r="TV27" s="28"/>
      <c r="TW27" s="28"/>
      <c r="TX27" s="28"/>
      <c r="TY27" s="28"/>
      <c r="TZ27" s="28"/>
      <c r="UA27" s="28"/>
      <c r="UB27" s="28"/>
      <c r="UC27" s="28"/>
      <c r="UD27" s="28"/>
      <c r="UE27" s="28"/>
      <c r="UF27" s="28"/>
      <c r="UG27" s="28"/>
      <c r="UH27" s="28"/>
      <c r="UI27" s="28"/>
      <c r="UJ27" s="28"/>
      <c r="UK27" s="28"/>
      <c r="UL27" s="28"/>
      <c r="UM27" s="28"/>
      <c r="UN27" s="28"/>
      <c r="UO27" s="28"/>
      <c r="UP27" s="28"/>
      <c r="UQ27" s="28"/>
      <c r="UR27" s="28"/>
      <c r="US27" s="28"/>
      <c r="UT27" s="28"/>
      <c r="UU27" s="28"/>
      <c r="UV27" s="28"/>
      <c r="UW27" s="28"/>
      <c r="UX27" s="28"/>
      <c r="UY27" s="28"/>
      <c r="UZ27" s="28"/>
      <c r="VA27" s="28"/>
      <c r="VB27" s="28"/>
      <c r="VC27" s="28"/>
      <c r="VD27" s="28"/>
      <c r="VE27" s="28"/>
      <c r="VF27" s="28"/>
      <c r="VG27" s="28"/>
      <c r="VH27" s="28"/>
      <c r="VI27" s="28"/>
      <c r="VJ27" s="28"/>
      <c r="VK27" s="28"/>
      <c r="VL27" s="28"/>
      <c r="VM27" s="28"/>
      <c r="VN27" s="28"/>
      <c r="VO27" s="28"/>
      <c r="VP27" s="28"/>
      <c r="VQ27" s="28"/>
      <c r="VR27" s="28"/>
      <c r="VS27" s="28"/>
      <c r="VT27" s="28"/>
      <c r="VU27" s="28"/>
      <c r="VV27" s="172">
        <v>1</v>
      </c>
      <c r="VW27" s="172">
        <v>1</v>
      </c>
      <c r="VX27" s="172">
        <v>1</v>
      </c>
      <c r="VY27" s="172">
        <v>1</v>
      </c>
      <c r="VZ27" s="172">
        <v>1</v>
      </c>
      <c r="WA27" s="172">
        <v>1</v>
      </c>
      <c r="WB27" s="172">
        <v>1</v>
      </c>
      <c r="WC27" s="172">
        <v>1</v>
      </c>
      <c r="WD27" s="172">
        <v>1</v>
      </c>
      <c r="WE27" s="172">
        <v>1</v>
      </c>
      <c r="WF27" s="172">
        <v>1</v>
      </c>
      <c r="WG27" s="172">
        <v>1</v>
      </c>
      <c r="WH27" s="172">
        <v>1</v>
      </c>
      <c r="WI27" s="172">
        <v>1</v>
      </c>
      <c r="WJ27" s="172">
        <v>1</v>
      </c>
      <c r="WK27" s="172">
        <v>1</v>
      </c>
      <c r="WL27" s="172">
        <v>1</v>
      </c>
      <c r="WM27" s="28"/>
      <c r="WN27" s="28"/>
      <c r="WO27" s="28"/>
      <c r="WP27" s="28"/>
      <c r="WQ27" s="28"/>
      <c r="WR27" s="28"/>
      <c r="WS27" s="28"/>
      <c r="WT27" s="28"/>
      <c r="WU27" s="28"/>
      <c r="WV27" s="28"/>
      <c r="WW27" s="28"/>
      <c r="WX27" s="28"/>
      <c r="WY27" s="28"/>
      <c r="WZ27" s="28"/>
      <c r="XA27" s="28"/>
      <c r="XB27" s="28"/>
      <c r="XC27" s="28"/>
      <c r="XD27" s="28"/>
      <c r="XE27" s="28"/>
      <c r="XF27" s="28"/>
      <c r="XG27" s="28"/>
      <c r="XH27" s="28"/>
      <c r="XI27" s="28"/>
      <c r="XJ27" s="28"/>
      <c r="XK27" s="28"/>
      <c r="XL27" s="28"/>
      <c r="XM27" s="28"/>
      <c r="XN27" s="28"/>
      <c r="XO27" s="28"/>
      <c r="XP27" s="28"/>
      <c r="XQ27" s="28"/>
      <c r="XR27" s="28"/>
      <c r="XS27" s="28"/>
      <c r="XT27" s="28"/>
      <c r="XU27" s="28"/>
      <c r="XV27" s="28"/>
      <c r="XW27" s="28"/>
      <c r="XX27" s="28"/>
      <c r="XY27" s="28"/>
      <c r="XZ27" s="28"/>
      <c r="YA27" s="28"/>
      <c r="YB27" s="28"/>
      <c r="YC27" s="29"/>
      <c r="YD27" s="29"/>
      <c r="YE27" s="29"/>
      <c r="YF27" s="29"/>
      <c r="YG27" s="29"/>
      <c r="YH27" s="29"/>
      <c r="YI27" s="29"/>
      <c r="YJ27" s="29"/>
      <c r="YK27" s="29"/>
      <c r="YL27" s="29"/>
      <c r="YM27" s="29"/>
      <c r="YN27" s="29"/>
      <c r="YO27" s="29"/>
      <c r="YP27" s="29"/>
      <c r="YQ27" s="29"/>
      <c r="YR27" s="29"/>
      <c r="YS27" s="29"/>
      <c r="YT27" s="29"/>
      <c r="YU27" s="29"/>
      <c r="YV27" s="29"/>
      <c r="YW27" s="29"/>
      <c r="YX27" s="29"/>
      <c r="YY27" s="29"/>
      <c r="YZ27" s="29"/>
      <c r="ZA27" s="29"/>
      <c r="ZB27" s="29"/>
      <c r="ZC27" s="29"/>
      <c r="ZD27" s="29"/>
      <c r="ZE27" s="29"/>
      <c r="ZF27" s="28"/>
      <c r="ZG27" s="28"/>
      <c r="ZH27" s="28"/>
      <c r="ZI27" s="28"/>
      <c r="ZJ27" s="28"/>
      <c r="ZK27" s="28"/>
      <c r="ZL27" s="28"/>
      <c r="ZM27" s="28"/>
      <c r="ZN27" s="28"/>
      <c r="ZO27" s="32"/>
      <c r="ZP27" s="28"/>
      <c r="ZQ27" s="28"/>
      <c r="ZR27" s="28"/>
      <c r="ZS27" s="28"/>
      <c r="ZT27" s="28"/>
      <c r="ZU27" s="28"/>
      <c r="ZV27" s="28"/>
      <c r="ZW27" s="28"/>
      <c r="ZX27" s="28"/>
      <c r="ZY27" s="28"/>
      <c r="ZZ27" s="28"/>
      <c r="AAA27" s="28"/>
      <c r="AAB27" s="28"/>
      <c r="AAC27" s="28"/>
      <c r="AAD27" s="28"/>
      <c r="AAE27" s="28"/>
      <c r="AAF27" s="28"/>
      <c r="AAG27" s="28"/>
      <c r="AAH27" s="28"/>
      <c r="AAI27" s="28"/>
      <c r="AAJ27" s="28"/>
      <c r="AAK27" s="28"/>
      <c r="AAL27" s="28"/>
      <c r="AAM27" s="28"/>
      <c r="AAN27" s="28"/>
      <c r="AAO27" s="28"/>
      <c r="AAP27" s="28"/>
      <c r="AAQ27" s="28"/>
      <c r="AAR27" s="28"/>
      <c r="AAS27" s="28"/>
      <c r="AAT27" s="28"/>
      <c r="AAU27" s="28"/>
      <c r="AAV27" s="28"/>
      <c r="AAW27" s="28"/>
      <c r="AAX27" s="28"/>
      <c r="AAY27" s="28"/>
      <c r="AAZ27" s="28"/>
      <c r="ABA27" s="28"/>
      <c r="ABB27" s="28"/>
      <c r="ABC27" s="28"/>
      <c r="ABD27" s="28"/>
      <c r="ABE27" s="28"/>
      <c r="ABF27" s="28"/>
      <c r="ABG27" s="28"/>
      <c r="ABH27" s="28"/>
      <c r="ABI27" s="28"/>
      <c r="ABJ27" s="28"/>
      <c r="ABK27" s="28"/>
      <c r="ABL27" s="28"/>
      <c r="ABM27" s="28"/>
      <c r="ABN27" s="28"/>
      <c r="ABO27" s="28"/>
      <c r="ABP27" s="28"/>
      <c r="ABQ27" s="28"/>
      <c r="ABR27" s="28"/>
    </row>
    <row r="28" spans="1:1822" customFormat="1" ht="15" customHeight="1" x14ac:dyDescent="0.3">
      <c r="A28" s="18">
        <v>24</v>
      </c>
      <c r="B28" s="2" t="s">
        <v>17</v>
      </c>
      <c r="C28" s="38" t="s">
        <v>116</v>
      </c>
      <c r="D28" s="38" t="s">
        <v>117</v>
      </c>
      <c r="E28" s="21">
        <v>45962</v>
      </c>
      <c r="F28" s="21">
        <v>45951</v>
      </c>
      <c r="G28" s="21">
        <f t="shared" si="0"/>
        <v>46041</v>
      </c>
      <c r="H28" s="63"/>
      <c r="I28" s="79"/>
      <c r="J28" s="21"/>
      <c r="K28" s="185" t="s">
        <v>19</v>
      </c>
      <c r="L28" s="23">
        <f t="shared" ref="L28" ca="1" si="20">IF(F28=0,"NA",ROUND(($L$1-F28+1)/365*30,1))</f>
        <v>5</v>
      </c>
      <c r="M28" s="23">
        <f t="shared" ref="M28" ca="1" si="21">IF(L28="NA",0,L28-P28)</f>
        <v>-12</v>
      </c>
      <c r="N28" s="171">
        <v>46117</v>
      </c>
      <c r="O28" s="171">
        <v>46133</v>
      </c>
      <c r="P28" s="24">
        <f t="shared" ref="P28" si="22">SUM(O28-N28+1)</f>
        <v>17</v>
      </c>
      <c r="Q28" s="33"/>
      <c r="R28" s="28"/>
      <c r="S28" s="28"/>
      <c r="T28" s="28"/>
      <c r="U28" s="26"/>
      <c r="V28" s="26"/>
      <c r="W28" s="26"/>
      <c r="X28" s="26"/>
      <c r="Y28" s="26"/>
      <c r="Z28" s="26"/>
      <c r="AA28" s="26"/>
      <c r="AB28" s="26"/>
      <c r="AC28" s="26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42"/>
      <c r="EM28" s="32"/>
      <c r="EN28" s="32"/>
      <c r="EO28" s="32"/>
      <c r="EP28" s="32"/>
      <c r="EQ28" s="32"/>
      <c r="ER28" s="32"/>
      <c r="ES28" s="32"/>
      <c r="ET28" s="32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44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8"/>
      <c r="LF28" s="28"/>
      <c r="LG28" s="28"/>
      <c r="LH28" s="28"/>
      <c r="LI28" s="28"/>
      <c r="LJ28" s="28"/>
      <c r="LK28" s="28"/>
      <c r="LL28" s="28"/>
      <c r="LM28" s="28"/>
      <c r="LN28" s="32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44"/>
      <c r="ON28" s="60"/>
      <c r="OO28" s="60"/>
      <c r="OP28" s="60"/>
      <c r="OQ28" s="60"/>
      <c r="OR28" s="60"/>
      <c r="OS28" s="60"/>
      <c r="OT28" s="60"/>
      <c r="OU28" s="60"/>
      <c r="OV28" s="60"/>
      <c r="OW28" s="60"/>
      <c r="OX28" s="60"/>
      <c r="OY28" s="60"/>
      <c r="OZ28" s="60"/>
      <c r="PA28" s="60"/>
      <c r="PB28" s="60"/>
      <c r="PC28" s="60"/>
      <c r="PD28" s="60"/>
      <c r="PE28" s="33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32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3"/>
      <c r="VA28" s="23"/>
      <c r="VB28" s="23"/>
      <c r="VC28" s="23"/>
      <c r="VD28" s="23"/>
      <c r="VE28" s="23"/>
      <c r="VF28" s="23"/>
      <c r="VG28" s="23"/>
      <c r="VH28" s="23"/>
      <c r="VI28" s="23"/>
      <c r="VJ28" s="23"/>
      <c r="VK28" s="23"/>
      <c r="VL28" s="23"/>
      <c r="VM28" s="23"/>
      <c r="VN28" s="23"/>
      <c r="VO28" s="23"/>
      <c r="VP28" s="23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172">
        <v>1</v>
      </c>
      <c r="XF28" s="172">
        <v>1</v>
      </c>
      <c r="XG28" s="172">
        <v>1</v>
      </c>
      <c r="XH28" s="172">
        <v>1</v>
      </c>
      <c r="XI28" s="172">
        <v>1</v>
      </c>
      <c r="XJ28" s="172">
        <v>1</v>
      </c>
      <c r="XK28" s="172">
        <v>1</v>
      </c>
      <c r="XL28" s="211">
        <v>1</v>
      </c>
      <c r="XM28" s="172">
        <v>1</v>
      </c>
      <c r="XN28" s="172">
        <v>1</v>
      </c>
      <c r="XO28" s="172">
        <v>1</v>
      </c>
      <c r="XP28" s="172">
        <v>1</v>
      </c>
      <c r="XQ28" s="172">
        <v>1</v>
      </c>
      <c r="XR28" s="172">
        <v>1</v>
      </c>
      <c r="XS28" s="172">
        <v>1</v>
      </c>
      <c r="XT28" s="172">
        <v>1</v>
      </c>
      <c r="XU28" s="172">
        <v>1</v>
      </c>
      <c r="XV28" s="28"/>
      <c r="XW28" s="28"/>
      <c r="XX28" s="28"/>
      <c r="XY28" s="28"/>
      <c r="XZ28" s="28"/>
      <c r="YA28" s="28"/>
      <c r="YB28" s="28"/>
      <c r="YC28" s="29"/>
      <c r="YD28" s="29"/>
      <c r="YE28" s="29"/>
      <c r="YF28" s="29"/>
      <c r="YG28" s="29"/>
      <c r="YH28" s="29"/>
      <c r="YI28" s="29"/>
      <c r="YJ28" s="29"/>
      <c r="YK28" s="29"/>
      <c r="YL28" s="29"/>
      <c r="YM28" s="29"/>
      <c r="YN28" s="29"/>
      <c r="YO28" s="29"/>
      <c r="YP28" s="29"/>
      <c r="YQ28" s="29"/>
      <c r="YR28" s="29"/>
      <c r="YS28" s="29"/>
      <c r="YT28" s="29"/>
      <c r="YU28" s="29"/>
      <c r="YV28" s="29"/>
      <c r="YW28" s="29"/>
      <c r="YX28" s="29"/>
      <c r="YY28" s="29"/>
      <c r="YZ28" s="29"/>
      <c r="ZA28" s="29"/>
      <c r="ZB28" s="29"/>
      <c r="ZC28" s="29"/>
      <c r="ZD28" s="29"/>
      <c r="ZE28" s="29"/>
      <c r="ZF28" s="28"/>
      <c r="ZG28" s="28"/>
      <c r="ZH28" s="28"/>
      <c r="ZI28" s="28"/>
      <c r="ZJ28" s="28"/>
      <c r="ZK28" s="28"/>
      <c r="ZL28" s="28"/>
      <c r="ZM28" s="28"/>
      <c r="ZN28" s="28"/>
      <c r="ZO28" s="32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</row>
    <row r="29" spans="1:1822" customFormat="1" ht="15" customHeight="1" x14ac:dyDescent="0.3">
      <c r="A29" s="18"/>
      <c r="B29" s="2" t="s">
        <v>17</v>
      </c>
      <c r="C29" s="202" t="s">
        <v>106</v>
      </c>
      <c r="D29" s="202" t="s">
        <v>107</v>
      </c>
      <c r="E29" s="203"/>
      <c r="F29" s="203"/>
      <c r="G29" s="203"/>
      <c r="H29" s="204"/>
      <c r="I29" s="205"/>
      <c r="J29" s="206"/>
      <c r="K29" s="199" t="s">
        <v>113</v>
      </c>
      <c r="L29" s="199"/>
      <c r="M29" s="199"/>
      <c r="N29" s="207"/>
      <c r="O29" s="207"/>
      <c r="P29" s="24"/>
      <c r="Q29" s="33"/>
      <c r="R29" s="28"/>
      <c r="S29" s="28"/>
      <c r="T29" s="28"/>
      <c r="U29" s="26"/>
      <c r="V29" s="26"/>
      <c r="W29" s="26"/>
      <c r="X29" s="26"/>
      <c r="Y29" s="26"/>
      <c r="Z29" s="26"/>
      <c r="AA29" s="26"/>
      <c r="AB29" s="26"/>
      <c r="AC29" s="26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42"/>
      <c r="EM29" s="32"/>
      <c r="EN29" s="32"/>
      <c r="EO29" s="32"/>
      <c r="EP29" s="32"/>
      <c r="EQ29" s="32"/>
      <c r="ER29" s="32"/>
      <c r="ES29" s="32"/>
      <c r="ET29" s="32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  <c r="IW29" s="28"/>
      <c r="IX29" s="28"/>
      <c r="IY29" s="28"/>
      <c r="IZ29" s="28"/>
      <c r="JA29" s="28"/>
      <c r="JB29" s="28"/>
      <c r="JC29" s="28"/>
      <c r="JD29" s="28"/>
      <c r="JE29" s="28"/>
      <c r="JF29" s="28"/>
      <c r="JG29" s="28"/>
      <c r="JH29" s="28"/>
      <c r="JI29" s="44"/>
      <c r="JJ29" s="28"/>
      <c r="JK29" s="28"/>
      <c r="JL29" s="28"/>
      <c r="JM29" s="28"/>
      <c r="JN29" s="28"/>
      <c r="JO29" s="28"/>
      <c r="JP29" s="28"/>
      <c r="JQ29" s="28"/>
      <c r="JR29" s="28"/>
      <c r="JS29" s="28"/>
      <c r="JT29" s="28"/>
      <c r="JU29" s="28"/>
      <c r="JV29" s="28"/>
      <c r="JW29" s="28"/>
      <c r="JX29" s="28"/>
      <c r="JY29" s="28"/>
      <c r="JZ29" s="28"/>
      <c r="KA29" s="28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8"/>
      <c r="LF29" s="28"/>
      <c r="LG29" s="28"/>
      <c r="LH29" s="28"/>
      <c r="LI29" s="28"/>
      <c r="LJ29" s="28"/>
      <c r="LK29" s="28"/>
      <c r="LL29" s="28"/>
      <c r="LM29" s="28"/>
      <c r="LN29" s="32"/>
      <c r="LO29" s="28"/>
      <c r="LP29" s="28"/>
      <c r="LQ29" s="28"/>
      <c r="LR29" s="28"/>
      <c r="LS29" s="28"/>
      <c r="LT29" s="28"/>
      <c r="LU29" s="28"/>
      <c r="LV29" s="28"/>
      <c r="LW29" s="28"/>
      <c r="LX29" s="28"/>
      <c r="LY29" s="28"/>
      <c r="LZ29" s="28"/>
      <c r="MA29" s="28"/>
      <c r="MB29" s="28"/>
      <c r="MC29" s="28"/>
      <c r="MD29" s="28"/>
      <c r="ME29" s="28"/>
      <c r="MF29" s="28"/>
      <c r="MG29" s="28"/>
      <c r="MH29" s="28"/>
      <c r="MI29" s="28"/>
      <c r="MJ29" s="28"/>
      <c r="MK29" s="28"/>
      <c r="ML29" s="28"/>
      <c r="MM29" s="28"/>
      <c r="MN29" s="28"/>
      <c r="MO29" s="28"/>
      <c r="MP29" s="28"/>
      <c r="MQ29" s="28"/>
      <c r="MR29" s="28"/>
      <c r="MS29" s="28"/>
      <c r="MT29" s="28"/>
      <c r="MU29" s="28"/>
      <c r="MV29" s="28"/>
      <c r="MW29" s="28"/>
      <c r="MX29" s="28"/>
      <c r="MY29" s="28"/>
      <c r="MZ29" s="28"/>
      <c r="NA29" s="28"/>
      <c r="NB29" s="28"/>
      <c r="NC29" s="28"/>
      <c r="ND29" s="28"/>
      <c r="NE29" s="28"/>
      <c r="NF29" s="28"/>
      <c r="NG29" s="28"/>
      <c r="NH29" s="28"/>
      <c r="NI29" s="28"/>
      <c r="NJ29" s="28"/>
      <c r="NK29" s="28"/>
      <c r="NL29" s="28"/>
      <c r="NM29" s="28"/>
      <c r="NN29" s="28"/>
      <c r="NO29" s="28"/>
      <c r="NP29" s="28"/>
      <c r="NQ29" s="28"/>
      <c r="NR29" s="28"/>
      <c r="NS29" s="28"/>
      <c r="NT29" s="28"/>
      <c r="NU29" s="28"/>
      <c r="NV29" s="28"/>
      <c r="NW29" s="28"/>
      <c r="NX29" s="28"/>
      <c r="NY29" s="28"/>
      <c r="NZ29" s="28"/>
      <c r="OA29" s="28"/>
      <c r="OB29" s="28"/>
      <c r="OC29" s="28"/>
      <c r="OD29" s="28"/>
      <c r="OE29" s="28"/>
      <c r="OF29" s="28"/>
      <c r="OG29" s="28"/>
      <c r="OH29" s="28"/>
      <c r="OI29" s="28"/>
      <c r="OJ29" s="28"/>
      <c r="OK29" s="28"/>
      <c r="OL29" s="28"/>
      <c r="OM29" s="44"/>
      <c r="ON29" s="92"/>
      <c r="OO29" s="92"/>
      <c r="OP29" s="92"/>
      <c r="OQ29" s="92"/>
      <c r="OR29" s="92"/>
      <c r="OS29" s="92"/>
      <c r="OT29" s="92"/>
      <c r="OU29" s="92"/>
      <c r="OV29" s="92"/>
      <c r="OW29" s="92"/>
      <c r="OX29" s="92"/>
      <c r="OY29" s="92"/>
      <c r="OZ29" s="92"/>
      <c r="PA29" s="92"/>
      <c r="PB29" s="92"/>
      <c r="PC29" s="92"/>
      <c r="PD29" s="92"/>
      <c r="PE29" s="33"/>
      <c r="PF29" s="28"/>
      <c r="PG29" s="28"/>
      <c r="PH29" s="28"/>
      <c r="PI29" s="28"/>
      <c r="PJ29" s="28"/>
      <c r="PK29" s="28"/>
      <c r="PL29" s="28"/>
      <c r="PM29" s="28"/>
      <c r="PN29" s="28"/>
      <c r="PO29" s="28"/>
      <c r="PP29" s="28"/>
      <c r="PQ29" s="28"/>
      <c r="PR29" s="28"/>
      <c r="PS29" s="28"/>
      <c r="PT29" s="28"/>
      <c r="PU29" s="28"/>
      <c r="PV29" s="28"/>
      <c r="PW29" s="28"/>
      <c r="PX29" s="28"/>
      <c r="PY29" s="28"/>
      <c r="PZ29" s="28"/>
      <c r="QA29" s="28"/>
      <c r="QB29" s="28"/>
      <c r="QC29" s="28"/>
      <c r="QD29" s="28"/>
      <c r="QE29" s="28"/>
      <c r="QF29" s="28"/>
      <c r="QG29" s="28"/>
      <c r="QH29" s="28"/>
      <c r="QI29" s="28"/>
      <c r="QJ29" s="28"/>
      <c r="QK29" s="28"/>
      <c r="QL29" s="28"/>
      <c r="QM29" s="28"/>
      <c r="QN29" s="28"/>
      <c r="QO29" s="28"/>
      <c r="QP29" s="28"/>
      <c r="QQ29" s="28"/>
      <c r="QR29" s="28"/>
      <c r="QS29" s="28"/>
      <c r="QT29" s="28"/>
      <c r="QU29" s="28"/>
      <c r="QV29" s="28"/>
      <c r="QW29" s="28"/>
      <c r="QX29" s="28"/>
      <c r="QY29" s="28"/>
      <c r="QZ29" s="28"/>
      <c r="RA29" s="28"/>
      <c r="RB29" s="28"/>
      <c r="RC29" s="28"/>
      <c r="RD29" s="28"/>
      <c r="RE29" s="28"/>
      <c r="RF29" s="28"/>
      <c r="RG29" s="28"/>
      <c r="RH29" s="28"/>
      <c r="RI29" s="28"/>
      <c r="RJ29" s="28"/>
      <c r="RK29" s="28"/>
      <c r="RL29" s="28"/>
      <c r="RM29" s="28"/>
      <c r="RN29" s="28"/>
      <c r="RO29" s="28"/>
      <c r="RP29" s="28"/>
      <c r="RQ29" s="28"/>
      <c r="RR29" s="28"/>
      <c r="RS29" s="28"/>
      <c r="RT29" s="28"/>
      <c r="RU29" s="28"/>
      <c r="RV29" s="28"/>
      <c r="RW29" s="28"/>
      <c r="RX29" s="28"/>
      <c r="RY29" s="28"/>
      <c r="RZ29" s="28"/>
      <c r="SA29" s="28"/>
      <c r="SB29" s="28"/>
      <c r="SC29" s="28"/>
      <c r="SD29" s="28"/>
      <c r="SE29" s="28"/>
      <c r="SF29" s="28"/>
      <c r="SG29" s="28"/>
      <c r="SH29" s="28"/>
      <c r="SI29" s="28"/>
      <c r="SJ29" s="28"/>
      <c r="SK29" s="28"/>
      <c r="SL29" s="28"/>
      <c r="SM29" s="28"/>
      <c r="SN29" s="28"/>
      <c r="SO29" s="28"/>
      <c r="SP29" s="28"/>
      <c r="SQ29" s="28"/>
      <c r="SR29" s="28"/>
      <c r="SS29" s="28"/>
      <c r="ST29" s="28"/>
      <c r="SU29" s="28"/>
      <c r="SV29" s="28"/>
      <c r="SW29" s="28"/>
      <c r="SX29" s="28"/>
      <c r="SY29" s="28"/>
      <c r="SZ29" s="28"/>
      <c r="TA29" s="28"/>
      <c r="TB29" s="28"/>
      <c r="TC29" s="28"/>
      <c r="TD29" s="28"/>
      <c r="TE29" s="28"/>
      <c r="TF29" s="28"/>
      <c r="TG29" s="28"/>
      <c r="TH29" s="28"/>
      <c r="TI29" s="28"/>
      <c r="TJ29" s="28"/>
      <c r="TK29" s="28"/>
      <c r="TL29" s="28"/>
      <c r="TM29" s="32"/>
      <c r="TN29" s="28"/>
      <c r="TO29" s="28"/>
      <c r="TP29" s="28"/>
      <c r="TQ29" s="28"/>
      <c r="TR29" s="28"/>
      <c r="TS29" s="28"/>
      <c r="TT29" s="28"/>
      <c r="TU29" s="28"/>
      <c r="TV29" s="28"/>
      <c r="TW29" s="28"/>
      <c r="TX29" s="28"/>
      <c r="TY29" s="28"/>
      <c r="TZ29" s="28"/>
      <c r="UA29" s="28"/>
      <c r="UB29" s="28"/>
      <c r="UC29" s="28"/>
      <c r="UD29" s="28"/>
      <c r="UE29" s="28"/>
      <c r="UF29" s="28"/>
      <c r="UG29" s="28"/>
      <c r="UH29" s="28"/>
      <c r="UI29" s="28"/>
      <c r="UJ29" s="28"/>
      <c r="UK29" s="28"/>
      <c r="UL29" s="28"/>
      <c r="UM29" s="28"/>
      <c r="UN29" s="28"/>
      <c r="UO29" s="28"/>
      <c r="UP29" s="28"/>
      <c r="UQ29" s="28"/>
      <c r="UR29" s="28"/>
      <c r="US29" s="28"/>
      <c r="UT29" s="28"/>
      <c r="UU29" s="28"/>
      <c r="UV29" s="28"/>
      <c r="UW29" s="28"/>
      <c r="UX29" s="28"/>
      <c r="UY29" s="28"/>
      <c r="UZ29" s="28"/>
      <c r="VA29" s="28"/>
      <c r="VB29" s="28"/>
      <c r="VC29" s="28"/>
      <c r="VD29" s="28"/>
      <c r="VE29" s="28"/>
      <c r="VF29" s="28"/>
      <c r="VG29" s="28"/>
      <c r="VH29" s="28"/>
      <c r="VI29" s="28"/>
      <c r="VJ29" s="28"/>
      <c r="VK29" s="28"/>
      <c r="VL29" s="28"/>
      <c r="VM29" s="28"/>
      <c r="VN29" s="28"/>
      <c r="VO29" s="28"/>
      <c r="VP29" s="28"/>
      <c r="VQ29" s="28"/>
      <c r="VR29" s="28"/>
      <c r="VS29" s="28"/>
      <c r="VT29" s="28"/>
      <c r="VU29" s="28"/>
      <c r="VV29" s="28"/>
      <c r="VW29" s="28"/>
      <c r="VX29" s="28"/>
      <c r="VY29" s="28"/>
      <c r="VZ29" s="28"/>
      <c r="WA29" s="28"/>
      <c r="WB29" s="28"/>
      <c r="WC29" s="28"/>
      <c r="WD29" s="28"/>
      <c r="WE29" s="28"/>
      <c r="WF29" s="28"/>
      <c r="WG29" s="28"/>
      <c r="WH29" s="28"/>
      <c r="WI29" s="28"/>
      <c r="WJ29" s="28"/>
      <c r="WK29" s="28"/>
      <c r="WL29" s="28"/>
      <c r="WM29" s="28"/>
      <c r="WN29" s="28"/>
      <c r="WO29" s="28"/>
      <c r="WP29" s="28"/>
      <c r="WQ29" s="28"/>
      <c r="WR29" s="28"/>
      <c r="WS29" s="28"/>
      <c r="WT29" s="28"/>
      <c r="WU29" s="28"/>
      <c r="WV29" s="28"/>
      <c r="WW29" s="28"/>
      <c r="WX29" s="28"/>
      <c r="WY29" s="28"/>
      <c r="WZ29" s="28"/>
      <c r="XA29" s="28"/>
      <c r="XB29" s="28"/>
      <c r="XC29" s="28"/>
      <c r="XD29" s="28"/>
      <c r="XE29" s="28"/>
      <c r="XF29" s="28"/>
      <c r="XG29" s="28"/>
      <c r="XH29" s="28"/>
      <c r="XI29" s="28"/>
      <c r="XJ29" s="28"/>
      <c r="XK29" s="28"/>
      <c r="XL29" s="44"/>
      <c r="XM29" s="28"/>
      <c r="XN29" s="28"/>
      <c r="XO29" s="28"/>
      <c r="XP29" s="28"/>
      <c r="XQ29" s="28"/>
      <c r="XR29" s="28"/>
      <c r="XS29" s="28"/>
      <c r="XT29" s="28"/>
      <c r="XU29" s="28"/>
      <c r="XV29" s="28"/>
      <c r="XW29" s="28"/>
      <c r="XX29" s="28"/>
      <c r="XY29" s="28"/>
      <c r="XZ29" s="28"/>
      <c r="YA29" s="28"/>
      <c r="YB29" s="28"/>
      <c r="YC29" s="29"/>
      <c r="YD29" s="29"/>
      <c r="YE29" s="29"/>
      <c r="YF29" s="29"/>
      <c r="YG29" s="29"/>
      <c r="YH29" s="29"/>
      <c r="YI29" s="29"/>
      <c r="YJ29" s="29"/>
      <c r="YK29" s="29"/>
      <c r="YL29" s="29"/>
      <c r="YM29" s="29"/>
      <c r="YN29" s="29"/>
      <c r="YO29" s="29"/>
      <c r="YP29" s="29"/>
      <c r="YQ29" s="29"/>
      <c r="YR29" s="29"/>
      <c r="YS29" s="29"/>
      <c r="YT29" s="29"/>
      <c r="YU29" s="29"/>
      <c r="YV29" s="29"/>
      <c r="YW29" s="29"/>
      <c r="YX29" s="29"/>
      <c r="YY29" s="29"/>
      <c r="YZ29" s="29"/>
      <c r="ZA29" s="29"/>
      <c r="ZB29" s="29"/>
      <c r="ZC29" s="29"/>
      <c r="ZD29" s="29"/>
      <c r="ZE29" s="29"/>
      <c r="ZF29" s="28"/>
      <c r="ZG29" s="28"/>
      <c r="ZH29" s="28"/>
      <c r="ZI29" s="28"/>
      <c r="ZJ29" s="28"/>
      <c r="ZK29" s="28"/>
      <c r="ZL29" s="28"/>
      <c r="ZM29" s="28"/>
      <c r="ZN29" s="28"/>
      <c r="ZO29" s="32"/>
      <c r="ZP29" s="28"/>
      <c r="ZQ29" s="28"/>
      <c r="ZR29" s="28"/>
      <c r="ZS29" s="28"/>
      <c r="ZT29" s="28"/>
      <c r="ZU29" s="28"/>
      <c r="ZV29" s="28"/>
      <c r="ZW29" s="28"/>
      <c r="ZX29" s="28"/>
      <c r="ZY29" s="28"/>
      <c r="ZZ29" s="28"/>
      <c r="AAA29" s="28"/>
      <c r="AAB29" s="28"/>
      <c r="AAC29" s="28"/>
      <c r="AAD29" s="28"/>
      <c r="AAE29" s="28"/>
      <c r="AAF29" s="28"/>
      <c r="AAG29" s="28"/>
      <c r="AAH29" s="28"/>
      <c r="AAI29" s="28"/>
      <c r="AAJ29" s="28"/>
      <c r="AAK29" s="28"/>
      <c r="AAL29" s="28"/>
      <c r="AAM29" s="28"/>
      <c r="AAN29" s="28"/>
      <c r="AAO29" s="28"/>
      <c r="AAP29" s="28"/>
      <c r="AAQ29" s="28"/>
      <c r="AAR29" s="28"/>
      <c r="AAS29" s="28"/>
      <c r="AAT29" s="28"/>
      <c r="AAU29" s="28"/>
      <c r="AAV29" s="28"/>
      <c r="AAW29" s="28"/>
      <c r="AAX29" s="28"/>
      <c r="AAY29" s="28"/>
      <c r="AAZ29" s="28"/>
      <c r="ABA29" s="28"/>
      <c r="ABB29" s="28"/>
      <c r="ABC29" s="28"/>
      <c r="ABD29" s="28"/>
      <c r="ABE29" s="28"/>
      <c r="ABF29" s="28"/>
      <c r="ABG29" s="28"/>
      <c r="ABH29" s="28"/>
      <c r="ABI29" s="28"/>
      <c r="ABJ29" s="28"/>
      <c r="ABK29" s="28"/>
      <c r="ABL29" s="28"/>
      <c r="ABM29" s="28"/>
      <c r="ABN29" s="28"/>
      <c r="ABO29" s="28"/>
      <c r="ABP29" s="28"/>
      <c r="ABQ29" s="28"/>
      <c r="ABR29" s="28"/>
    </row>
    <row r="30" spans="1:1822" customFormat="1" x14ac:dyDescent="0.3">
      <c r="A30" s="18">
        <v>25</v>
      </c>
      <c r="B30" s="2" t="s">
        <v>17</v>
      </c>
      <c r="C30" s="38" t="s">
        <v>57</v>
      </c>
      <c r="D30" s="38" t="s">
        <v>58</v>
      </c>
      <c r="E30" s="21">
        <v>45492</v>
      </c>
      <c r="F30" s="21">
        <v>45492</v>
      </c>
      <c r="G30" s="21">
        <f t="shared" si="0"/>
        <v>45582</v>
      </c>
      <c r="H30" s="22">
        <v>45949</v>
      </c>
      <c r="I30" s="187"/>
      <c r="J30" s="22"/>
      <c r="K30" s="185" t="s">
        <v>101</v>
      </c>
      <c r="L30" s="23">
        <f t="shared" ca="1" si="19"/>
        <v>42.7</v>
      </c>
      <c r="M30" s="23">
        <f t="shared" ca="1" si="17"/>
        <v>25.700000000000003</v>
      </c>
      <c r="N30" s="35">
        <v>46192</v>
      </c>
      <c r="O30" s="35">
        <v>46208</v>
      </c>
      <c r="P30" s="24">
        <f t="shared" si="18"/>
        <v>17</v>
      </c>
      <c r="Q30" s="33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4">
        <v>1</v>
      </c>
      <c r="BQ30" s="24">
        <v>1</v>
      </c>
      <c r="BR30" s="24">
        <v>1</v>
      </c>
      <c r="BS30" s="24">
        <v>1</v>
      </c>
      <c r="BT30" s="24">
        <v>1</v>
      </c>
      <c r="BU30" s="24">
        <v>1</v>
      </c>
      <c r="BV30" s="24">
        <v>1</v>
      </c>
      <c r="BW30" s="24">
        <v>1</v>
      </c>
      <c r="BX30" s="24">
        <v>1</v>
      </c>
      <c r="BY30" s="24">
        <v>1</v>
      </c>
      <c r="BZ30" s="24">
        <v>1</v>
      </c>
      <c r="CA30" s="24">
        <v>1</v>
      </c>
      <c r="CB30" s="24">
        <v>1</v>
      </c>
      <c r="CC30" s="24">
        <v>1</v>
      </c>
      <c r="CD30" s="24">
        <v>1</v>
      </c>
      <c r="CE30" s="24">
        <v>1</v>
      </c>
      <c r="CF30" s="24">
        <v>1</v>
      </c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32"/>
      <c r="CZ30" s="32"/>
      <c r="DA30" s="32"/>
      <c r="DB30" s="32"/>
      <c r="DC30" s="32"/>
      <c r="DD30" s="32"/>
      <c r="DE30" s="32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32"/>
      <c r="IJ30" s="32"/>
      <c r="IK30" s="32"/>
      <c r="IL30" s="32"/>
      <c r="IM30" s="32"/>
      <c r="IN30" s="32"/>
      <c r="IO30" s="32"/>
      <c r="IP30" s="32"/>
      <c r="IQ30" s="32"/>
      <c r="IR30" s="32"/>
      <c r="IS30" s="32"/>
      <c r="IT30" s="32"/>
      <c r="IU30" s="32"/>
      <c r="IV30" s="32"/>
      <c r="IW30" s="32"/>
      <c r="IX30" s="32"/>
      <c r="IY30" s="32"/>
      <c r="IZ30" s="32"/>
      <c r="JA30" s="32"/>
      <c r="JB30" s="32"/>
      <c r="JC30" s="32"/>
      <c r="JD30" s="32"/>
      <c r="JE30" s="32"/>
      <c r="JF30" s="32"/>
      <c r="JG30" s="32"/>
      <c r="JH30" s="32"/>
      <c r="JI30" s="31"/>
      <c r="JJ30" s="28"/>
      <c r="JK30" s="43">
        <v>1</v>
      </c>
      <c r="JL30" s="43">
        <v>1</v>
      </c>
      <c r="JM30" s="43">
        <v>1</v>
      </c>
      <c r="JN30" s="43">
        <v>1</v>
      </c>
      <c r="JO30" s="43">
        <v>1</v>
      </c>
      <c r="JP30" s="43">
        <v>1</v>
      </c>
      <c r="JQ30" s="43">
        <v>1</v>
      </c>
      <c r="JR30" s="43">
        <v>1</v>
      </c>
      <c r="JS30" s="43">
        <v>1</v>
      </c>
      <c r="JT30" s="43">
        <v>1</v>
      </c>
      <c r="JU30" s="43">
        <v>1</v>
      </c>
      <c r="JV30" s="43">
        <v>1</v>
      </c>
      <c r="JW30" s="43">
        <v>1</v>
      </c>
      <c r="JX30" s="43">
        <v>1</v>
      </c>
      <c r="JY30" s="43">
        <v>1</v>
      </c>
      <c r="JZ30" s="43">
        <v>1</v>
      </c>
      <c r="KA30" s="43">
        <v>1</v>
      </c>
      <c r="KB30" s="28"/>
      <c r="KC30" s="28"/>
      <c r="KD30" s="26"/>
      <c r="KE30" s="26"/>
      <c r="KF30" s="26"/>
      <c r="KG30" s="26"/>
      <c r="KH30" s="28"/>
      <c r="KI30" s="32"/>
      <c r="KJ30" s="32"/>
      <c r="KK30" s="32"/>
      <c r="KL30" s="32"/>
      <c r="KM30" s="32"/>
      <c r="KN30" s="32"/>
      <c r="KO30" s="32"/>
      <c r="KP30" s="32"/>
      <c r="KQ30" s="32"/>
      <c r="KR30" s="26"/>
      <c r="KS30" s="26"/>
      <c r="KT30" s="26"/>
      <c r="KU30" s="26"/>
      <c r="KV30" s="26"/>
      <c r="KW30" s="26"/>
      <c r="KX30" s="26"/>
      <c r="KY30" s="26"/>
      <c r="KZ30" s="26"/>
      <c r="LA30" s="26"/>
      <c r="LB30" s="26"/>
      <c r="LC30" s="26"/>
      <c r="LD30" s="26"/>
      <c r="LE30" s="26"/>
      <c r="LF30" s="26"/>
      <c r="LG30" s="26"/>
      <c r="LH30" s="26"/>
      <c r="LI30" s="42"/>
      <c r="LJ30" s="42"/>
      <c r="LK30" s="42"/>
      <c r="LL30" s="42"/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28"/>
      <c r="LZ30" s="28"/>
      <c r="MA30" s="28"/>
      <c r="MB30" s="28"/>
      <c r="MC30" s="28"/>
      <c r="MD30" s="28"/>
      <c r="ME30" s="28"/>
      <c r="MF30" s="28"/>
      <c r="MG30" s="28"/>
      <c r="MH30" s="28"/>
      <c r="MI30" s="28"/>
      <c r="MJ30" s="28"/>
      <c r="MK30" s="28"/>
      <c r="ML30" s="28"/>
      <c r="MM30" s="42"/>
      <c r="MN30" s="42"/>
      <c r="MO30" s="42"/>
      <c r="MP30" s="42"/>
      <c r="MQ30" s="42"/>
      <c r="MR30" s="42"/>
      <c r="MS30" s="42"/>
      <c r="MT30" s="42"/>
      <c r="MU30" s="42"/>
      <c r="MV30" s="42"/>
      <c r="MW30" s="42"/>
      <c r="MX30" s="42"/>
      <c r="MY30" s="42"/>
      <c r="MZ30" s="42"/>
      <c r="NA30" s="42"/>
      <c r="NB30" s="42"/>
      <c r="NC30" s="28"/>
      <c r="ND30" s="28"/>
      <c r="NE30" s="28"/>
      <c r="NF30" s="28"/>
      <c r="NG30" s="28"/>
      <c r="NH30" s="28"/>
      <c r="NI30" s="28"/>
      <c r="NJ30" s="28"/>
      <c r="NK30" s="28"/>
      <c r="NL30" s="28"/>
      <c r="NM30" s="28"/>
      <c r="NN30" s="28"/>
      <c r="NO30" s="28"/>
      <c r="NP30" s="28"/>
      <c r="NQ30" s="28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2"/>
      <c r="OF30" s="42"/>
      <c r="OG30" s="42"/>
      <c r="OH30" s="28"/>
      <c r="OI30" s="28"/>
      <c r="OJ30" s="28"/>
      <c r="OK30" s="28"/>
      <c r="OL30" s="28"/>
      <c r="OM30" s="28"/>
      <c r="ON30" s="34"/>
      <c r="OO30" s="34"/>
      <c r="OP30" s="34"/>
      <c r="OQ30" s="34"/>
      <c r="OR30" s="34"/>
      <c r="OS30" s="34"/>
      <c r="OT30" s="34"/>
      <c r="OU30" s="34"/>
      <c r="OV30" s="34"/>
      <c r="OW30" s="66"/>
      <c r="OX30" s="66"/>
      <c r="OY30" s="66"/>
      <c r="OZ30" s="66"/>
      <c r="PA30" s="66"/>
      <c r="PB30" s="74"/>
      <c r="PC30" s="74"/>
      <c r="PD30" s="74"/>
      <c r="PE30" s="42"/>
      <c r="PF30" s="42"/>
      <c r="PG30" s="42"/>
      <c r="PH30" s="26"/>
      <c r="PI30" s="26"/>
      <c r="PJ30" s="26"/>
      <c r="PK30" s="26"/>
      <c r="PL30" s="26"/>
      <c r="PM30" s="26"/>
      <c r="PN30" s="26"/>
      <c r="PO30" s="26"/>
      <c r="PP30" s="26"/>
      <c r="PQ30" s="26"/>
      <c r="PR30" s="26"/>
      <c r="PS30" s="26"/>
      <c r="PT30" s="26"/>
      <c r="PU30" s="26"/>
      <c r="PV30" s="26"/>
      <c r="PW30" s="26"/>
      <c r="PX30" s="26"/>
      <c r="PY30" s="26"/>
      <c r="PZ30" s="28"/>
      <c r="QA30" s="28"/>
      <c r="QB30" s="28"/>
      <c r="QC30" s="172">
        <v>1</v>
      </c>
      <c r="QD30" s="172">
        <v>1</v>
      </c>
      <c r="QE30" s="172">
        <v>1</v>
      </c>
      <c r="QF30" s="172">
        <v>1</v>
      </c>
      <c r="QG30" s="172">
        <v>1</v>
      </c>
      <c r="QH30" s="172">
        <v>1</v>
      </c>
      <c r="QI30" s="172">
        <v>1</v>
      </c>
      <c r="QJ30" s="172">
        <v>1</v>
      </c>
      <c r="QK30" s="172">
        <v>1</v>
      </c>
      <c r="QL30" s="172">
        <v>1</v>
      </c>
      <c r="QM30" s="172">
        <v>1</v>
      </c>
      <c r="QN30" s="172">
        <v>1</v>
      </c>
      <c r="QO30" s="172">
        <v>1</v>
      </c>
      <c r="QP30" s="172">
        <v>1</v>
      </c>
      <c r="QQ30" s="172">
        <v>1</v>
      </c>
      <c r="QR30" s="172">
        <v>1</v>
      </c>
      <c r="QS30" s="172">
        <v>1</v>
      </c>
      <c r="QT30" s="28"/>
      <c r="QU30" s="28"/>
      <c r="QV30" s="28"/>
      <c r="QW30" s="28"/>
      <c r="QX30" s="28"/>
      <c r="QY30" s="28"/>
      <c r="QZ30" s="28"/>
      <c r="RA30" s="28"/>
      <c r="RB30" s="28"/>
      <c r="RC30" s="28"/>
      <c r="RD30" s="28"/>
      <c r="RE30" s="28"/>
      <c r="RF30" s="28"/>
      <c r="RG30" s="28"/>
      <c r="RH30" s="28"/>
      <c r="RI30" s="28"/>
      <c r="RJ30" s="28"/>
      <c r="RK30" s="28"/>
      <c r="RL30" s="28"/>
      <c r="RM30" s="28"/>
      <c r="RN30" s="28"/>
      <c r="RO30" s="28"/>
      <c r="RP30" s="28"/>
      <c r="RQ30" s="28"/>
      <c r="RR30" s="28"/>
      <c r="RS30" s="28"/>
      <c r="RT30" s="28"/>
      <c r="RU30" s="28"/>
      <c r="RV30" s="28"/>
      <c r="RW30" s="28"/>
      <c r="RX30" s="28"/>
      <c r="RY30" s="28"/>
      <c r="RZ30" s="28"/>
      <c r="SA30" s="28"/>
      <c r="SB30" s="28"/>
      <c r="SC30" s="28"/>
      <c r="SD30" s="28"/>
      <c r="SE30" s="28"/>
      <c r="SF30" s="28"/>
      <c r="SG30" s="28"/>
      <c r="SH30" s="28"/>
      <c r="SI30" s="28"/>
      <c r="SJ30" s="28"/>
      <c r="SK30" s="28"/>
      <c r="SL30" s="28"/>
      <c r="SM30" s="28"/>
      <c r="SN30" s="28"/>
      <c r="SO30" s="28"/>
      <c r="SP30" s="28"/>
      <c r="SQ30" s="28"/>
      <c r="SR30" s="28"/>
      <c r="SS30" s="28"/>
      <c r="ST30" s="28"/>
      <c r="SU30" s="28"/>
      <c r="SV30" s="28"/>
      <c r="SW30" s="28"/>
      <c r="SX30" s="28"/>
      <c r="SY30" s="28"/>
      <c r="SZ30" s="28"/>
      <c r="TA30" s="28"/>
      <c r="TB30" s="28"/>
      <c r="TC30" s="28"/>
      <c r="TD30" s="28"/>
      <c r="TE30" s="28"/>
      <c r="TF30" s="28"/>
      <c r="TG30" s="28"/>
      <c r="TH30" s="28"/>
      <c r="TI30" s="28"/>
      <c r="TJ30" s="28"/>
      <c r="TK30" s="28"/>
      <c r="TL30" s="28"/>
      <c r="TM30" s="32"/>
      <c r="TN30" s="28"/>
      <c r="TO30" s="28"/>
      <c r="TP30" s="28"/>
      <c r="TQ30" s="28"/>
      <c r="TR30" s="28"/>
      <c r="TS30" s="28"/>
      <c r="TT30" s="28"/>
      <c r="TU30" s="28"/>
      <c r="TV30" s="28"/>
      <c r="TW30" s="28"/>
      <c r="TX30" s="28"/>
      <c r="TY30" s="28"/>
      <c r="TZ30" s="28"/>
      <c r="UA30" s="28"/>
      <c r="UB30" s="28"/>
      <c r="UC30" s="28"/>
      <c r="UD30" s="28"/>
      <c r="UE30" s="28"/>
      <c r="UF30" s="28"/>
      <c r="UG30" s="28"/>
      <c r="UH30" s="28"/>
      <c r="UI30" s="28"/>
      <c r="UJ30" s="28"/>
      <c r="UK30" s="28"/>
      <c r="UL30" s="28"/>
      <c r="UM30" s="28"/>
      <c r="UN30" s="28"/>
      <c r="UO30" s="28"/>
      <c r="UP30" s="28"/>
      <c r="UQ30" s="28"/>
      <c r="UR30" s="28"/>
      <c r="US30" s="28"/>
      <c r="UT30" s="28"/>
      <c r="UU30" s="28"/>
      <c r="UV30" s="28"/>
      <c r="UW30" s="28"/>
      <c r="UX30" s="28"/>
      <c r="UY30" s="28"/>
      <c r="UZ30" s="28"/>
      <c r="VA30" s="28"/>
      <c r="VB30" s="28"/>
      <c r="VC30" s="28"/>
      <c r="VD30" s="28"/>
      <c r="VE30" s="28"/>
      <c r="VF30" s="28"/>
      <c r="VG30" s="28"/>
      <c r="VH30" s="28"/>
      <c r="VI30" s="28"/>
      <c r="VJ30" s="28"/>
      <c r="VK30" s="28"/>
      <c r="VL30" s="28"/>
      <c r="VM30" s="28"/>
      <c r="VN30" s="28"/>
      <c r="VO30" s="28"/>
      <c r="VP30" s="28"/>
      <c r="VQ30" s="28"/>
      <c r="VR30" s="28"/>
      <c r="VS30" s="28"/>
      <c r="VT30" s="28"/>
      <c r="VU30" s="28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32"/>
      <c r="WK30" s="32"/>
      <c r="WL30" s="32"/>
      <c r="WM30" s="32"/>
      <c r="WN30" s="32"/>
      <c r="WO30" s="32"/>
      <c r="WP30" s="32"/>
      <c r="WQ30" s="32"/>
      <c r="WR30" s="32"/>
      <c r="WS30" s="32"/>
      <c r="WT30" s="32"/>
      <c r="WU30" s="32"/>
      <c r="WV30" s="32"/>
      <c r="WW30" s="32"/>
      <c r="WX30" s="32"/>
      <c r="WY30" s="32"/>
      <c r="WZ30" s="32"/>
      <c r="XA30" s="32"/>
      <c r="XB30" s="32"/>
      <c r="XC30" s="32"/>
      <c r="XD30" s="32"/>
      <c r="XE30" s="32"/>
      <c r="XF30" s="32"/>
      <c r="XG30" s="32"/>
      <c r="XH30" s="32"/>
      <c r="XI30" s="32"/>
      <c r="XJ30" s="32"/>
      <c r="XK30" s="28"/>
      <c r="XL30" s="44"/>
      <c r="XM30" s="28"/>
      <c r="XN30" s="28"/>
      <c r="XO30" s="28"/>
      <c r="XP30" s="28"/>
      <c r="XQ30" s="28"/>
      <c r="XR30" s="28"/>
      <c r="XS30" s="28"/>
      <c r="XT30" s="28"/>
      <c r="XU30" s="28"/>
      <c r="XV30" s="28"/>
      <c r="XW30" s="28"/>
      <c r="XX30" s="28"/>
      <c r="XY30" s="28"/>
      <c r="XZ30" s="28"/>
      <c r="YA30" s="28"/>
      <c r="YB30" s="28"/>
      <c r="YC30" s="28"/>
      <c r="YD30" s="28"/>
      <c r="YE30" s="26"/>
      <c r="YF30" s="26"/>
      <c r="YG30" s="26"/>
      <c r="YH30" s="26"/>
      <c r="YI30" s="28"/>
      <c r="YJ30" s="28"/>
      <c r="YK30" s="28"/>
      <c r="YL30" s="28"/>
      <c r="YM30" s="28"/>
      <c r="YN30" s="28"/>
      <c r="YO30" s="28"/>
      <c r="YP30" s="28"/>
      <c r="YQ30" s="26"/>
      <c r="YR30" s="26"/>
      <c r="YS30" s="26"/>
      <c r="YT30" s="42"/>
      <c r="YU30" s="28"/>
      <c r="YV30" s="28"/>
      <c r="YW30" s="28"/>
      <c r="YX30" s="28"/>
      <c r="YY30" s="28"/>
      <c r="YZ30" s="28"/>
      <c r="ZA30" s="28"/>
      <c r="ZB30" s="28"/>
      <c r="ZC30" s="28"/>
      <c r="ZD30" s="28"/>
      <c r="ZE30" s="28"/>
      <c r="ZF30" s="28"/>
      <c r="ZG30" s="28"/>
      <c r="ZH30" s="28"/>
      <c r="ZI30" s="28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2"/>
      <c r="ZW30" s="42"/>
      <c r="ZX30" s="42"/>
      <c r="ZY30" s="42"/>
      <c r="ZZ30" s="28"/>
      <c r="AAA30" s="28"/>
      <c r="AAB30" s="172">
        <v>1</v>
      </c>
      <c r="AAC30" s="172">
        <v>1</v>
      </c>
      <c r="AAD30" s="172">
        <v>1</v>
      </c>
      <c r="AAE30" s="172">
        <v>1</v>
      </c>
      <c r="AAF30" s="172">
        <v>1</v>
      </c>
      <c r="AAG30" s="172">
        <v>1</v>
      </c>
      <c r="AAH30" s="172">
        <v>1</v>
      </c>
      <c r="AAI30" s="172">
        <v>1</v>
      </c>
      <c r="AAJ30" s="172">
        <v>1</v>
      </c>
      <c r="AAK30" s="172">
        <v>1</v>
      </c>
      <c r="AAL30" s="172">
        <v>1</v>
      </c>
      <c r="AAM30" s="172">
        <v>1</v>
      </c>
      <c r="AAN30" s="225">
        <v>1</v>
      </c>
      <c r="AAO30" s="225">
        <v>1</v>
      </c>
      <c r="AAP30" s="225">
        <v>1</v>
      </c>
      <c r="AAQ30" s="225">
        <v>1</v>
      </c>
      <c r="AAR30" s="225">
        <v>1</v>
      </c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28"/>
      <c r="ABE30" s="28"/>
      <c r="ABF30" s="28"/>
      <c r="ABG30" s="28"/>
      <c r="ABH30" s="28"/>
      <c r="ABI30" s="28"/>
      <c r="ABJ30" s="28"/>
      <c r="ABK30" s="28"/>
      <c r="ABL30" s="28"/>
      <c r="ABM30" s="28"/>
      <c r="ABN30" s="28"/>
      <c r="ABO30" s="28"/>
      <c r="ABP30" s="28"/>
      <c r="ABQ30" s="28"/>
      <c r="ABR30" s="28"/>
    </row>
    <row r="31" spans="1:1822" s="37" customFormat="1" x14ac:dyDescent="0.3">
      <c r="A31" s="18">
        <v>26</v>
      </c>
      <c r="B31" s="2" t="s">
        <v>17</v>
      </c>
      <c r="C31" s="186" t="s">
        <v>59</v>
      </c>
      <c r="D31" s="186" t="s">
        <v>60</v>
      </c>
      <c r="E31" s="21">
        <v>45492</v>
      </c>
      <c r="F31" s="21">
        <v>45492</v>
      </c>
      <c r="G31" s="21">
        <v>45582</v>
      </c>
      <c r="H31" s="63">
        <v>45833</v>
      </c>
      <c r="I31" s="79"/>
      <c r="J31" s="21"/>
      <c r="K31" s="185" t="s">
        <v>102</v>
      </c>
      <c r="L31" s="23">
        <f ca="1">IF(F31=0,"NA",ROUND(($L$1-F31+1)/365*30,1))</f>
        <v>42.7</v>
      </c>
      <c r="M31" s="23">
        <f ca="1">IF(L31="NA",0,L31-P31)</f>
        <v>25.700000000000003</v>
      </c>
      <c r="N31" s="50">
        <v>46013</v>
      </c>
      <c r="O31" s="50">
        <v>46029</v>
      </c>
      <c r="P31" s="24">
        <f>SUM(O31-N31+1)</f>
        <v>17</v>
      </c>
      <c r="Q31" s="83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84"/>
      <c r="BR31" s="84"/>
      <c r="BS31" s="84"/>
      <c r="BT31" s="84"/>
      <c r="BU31" s="84"/>
      <c r="BV31" s="84"/>
      <c r="BW31" s="84"/>
      <c r="BX31" s="84"/>
      <c r="BY31" s="48"/>
      <c r="BZ31" s="48"/>
      <c r="CA31" s="48"/>
      <c r="CB31" s="48"/>
      <c r="CC31" s="48"/>
      <c r="CD31" s="48"/>
      <c r="CE31" s="48"/>
      <c r="CF31" s="48"/>
      <c r="CG31" s="48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85">
        <v>1</v>
      </c>
      <c r="DC31" s="85">
        <v>1</v>
      </c>
      <c r="DD31" s="85">
        <v>1</v>
      </c>
      <c r="DE31" s="85">
        <v>1</v>
      </c>
      <c r="DF31" s="85">
        <v>1</v>
      </c>
      <c r="DG31" s="85">
        <v>1</v>
      </c>
      <c r="DH31" s="85">
        <v>1</v>
      </c>
      <c r="DI31" s="85">
        <v>1</v>
      </c>
      <c r="DJ31" s="85">
        <v>1</v>
      </c>
      <c r="DK31" s="85">
        <v>1</v>
      </c>
      <c r="DL31" s="85">
        <v>1</v>
      </c>
      <c r="DM31" s="85">
        <v>1</v>
      </c>
      <c r="DN31" s="85">
        <v>1</v>
      </c>
      <c r="DO31" s="85">
        <v>1</v>
      </c>
      <c r="DP31" s="85">
        <v>1</v>
      </c>
      <c r="DQ31" s="85">
        <v>1</v>
      </c>
      <c r="DR31" s="85">
        <v>1</v>
      </c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58"/>
      <c r="HV31" s="58"/>
      <c r="HW31" s="58"/>
      <c r="HX31" s="58"/>
      <c r="HY31" s="58"/>
      <c r="HZ31" s="58"/>
      <c r="IA31" s="58"/>
      <c r="IB31" s="58"/>
      <c r="IC31" s="58"/>
      <c r="ID31" s="58"/>
      <c r="IE31" s="58"/>
      <c r="IF31" s="58"/>
      <c r="IG31" s="58"/>
      <c r="IH31" s="58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  <c r="IX31" s="73"/>
      <c r="IY31" s="73"/>
      <c r="IZ31" s="73"/>
      <c r="JA31" s="73"/>
      <c r="JB31" s="73"/>
      <c r="JC31" s="73"/>
      <c r="JD31" s="73"/>
      <c r="JE31" s="73"/>
      <c r="JF31" s="73"/>
      <c r="JG31" s="73"/>
      <c r="JH31" s="73"/>
      <c r="JI31" s="86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48"/>
      <c r="KE31" s="48"/>
      <c r="KF31" s="48"/>
      <c r="KG31" s="48"/>
      <c r="KH31" s="29"/>
      <c r="KI31" s="29"/>
      <c r="KJ31" s="29"/>
      <c r="KK31" s="29"/>
      <c r="KL31" s="29"/>
      <c r="KM31" s="29"/>
      <c r="KN31" s="29"/>
      <c r="KO31" s="29"/>
      <c r="KP31" s="58"/>
      <c r="KQ31" s="58"/>
      <c r="KR31" s="58"/>
      <c r="KS31" s="58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58"/>
      <c r="LJ31" s="58"/>
      <c r="LK31" s="87"/>
      <c r="LL31" s="87"/>
      <c r="LM31" s="87"/>
      <c r="LN31" s="87"/>
      <c r="LO31" s="87"/>
      <c r="LP31" s="87"/>
      <c r="LQ31" s="88">
        <v>1</v>
      </c>
      <c r="LR31" s="88">
        <v>1</v>
      </c>
      <c r="LS31" s="88">
        <v>1</v>
      </c>
      <c r="LT31" s="88">
        <v>1</v>
      </c>
      <c r="LU31" s="88">
        <v>1</v>
      </c>
      <c r="LV31" s="88">
        <v>1</v>
      </c>
      <c r="LW31" s="88">
        <v>1</v>
      </c>
      <c r="LX31" s="88">
        <v>1</v>
      </c>
      <c r="LY31" s="88">
        <v>1</v>
      </c>
      <c r="LZ31" s="88">
        <v>1</v>
      </c>
      <c r="MA31" s="88">
        <v>1</v>
      </c>
      <c r="MB31" s="88">
        <v>1</v>
      </c>
      <c r="MC31" s="88">
        <v>1</v>
      </c>
      <c r="MD31" s="88">
        <v>1</v>
      </c>
      <c r="ME31" s="88">
        <v>1</v>
      </c>
      <c r="MF31" s="88">
        <v>1</v>
      </c>
      <c r="MG31" s="88">
        <v>1</v>
      </c>
      <c r="MH31" s="29"/>
      <c r="MI31" s="29"/>
      <c r="MJ31" s="29"/>
      <c r="MK31" s="29"/>
      <c r="ML31" s="29"/>
      <c r="MM31" s="58"/>
      <c r="MN31" s="58"/>
      <c r="MO31" s="58"/>
      <c r="MP31" s="58"/>
      <c r="MQ31" s="58"/>
      <c r="MR31" s="58"/>
      <c r="MS31" s="58"/>
      <c r="MT31" s="58"/>
      <c r="MU31" s="58"/>
      <c r="MV31" s="58"/>
      <c r="MW31" s="58"/>
      <c r="MX31" s="58"/>
      <c r="MY31" s="58"/>
      <c r="MZ31" s="58"/>
      <c r="NA31" s="58"/>
      <c r="NB31" s="58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58"/>
      <c r="NS31" s="58"/>
      <c r="NT31" s="58"/>
      <c r="NU31" s="58"/>
      <c r="NV31" s="58"/>
      <c r="NW31" s="58"/>
      <c r="NX31" s="58"/>
      <c r="NY31" s="58"/>
      <c r="NZ31" s="58"/>
      <c r="OA31" s="58"/>
      <c r="OB31" s="58"/>
      <c r="OC31" s="58"/>
      <c r="OD31" s="58"/>
      <c r="OE31" s="58"/>
      <c r="OF31" s="58"/>
      <c r="OG31" s="58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48"/>
      <c r="OX31" s="48"/>
      <c r="OY31" s="48"/>
      <c r="OZ31" s="48"/>
      <c r="PA31" s="48"/>
      <c r="PB31" s="58"/>
      <c r="PC31" s="58"/>
      <c r="PD31" s="58"/>
      <c r="PE31" s="58"/>
      <c r="PF31" s="58"/>
      <c r="PG31" s="5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194">
        <v>1</v>
      </c>
      <c r="TF31" s="194">
        <v>1</v>
      </c>
      <c r="TG31" s="194">
        <v>1</v>
      </c>
      <c r="TH31" s="194">
        <v>1</v>
      </c>
      <c r="TI31" s="194">
        <v>1</v>
      </c>
      <c r="TJ31" s="194">
        <v>1</v>
      </c>
      <c r="TK31" s="194">
        <v>1</v>
      </c>
      <c r="TL31" s="194">
        <v>1</v>
      </c>
      <c r="TM31" s="194">
        <v>1</v>
      </c>
      <c r="TN31" s="194">
        <v>1</v>
      </c>
      <c r="TO31" s="194">
        <v>1</v>
      </c>
      <c r="TP31" s="194">
        <v>1</v>
      </c>
      <c r="TQ31" s="194">
        <v>1</v>
      </c>
      <c r="TR31" s="194">
        <v>1</v>
      </c>
      <c r="TS31" s="194">
        <v>1</v>
      </c>
      <c r="TT31" s="194">
        <v>1</v>
      </c>
      <c r="TU31" s="194">
        <v>1</v>
      </c>
      <c r="TV31" s="29"/>
      <c r="TW31" s="29"/>
      <c r="TX31" s="29"/>
      <c r="TY31" s="29"/>
      <c r="TZ31" s="29"/>
      <c r="UA31" s="29"/>
      <c r="UB31" s="29"/>
      <c r="UC31" s="29"/>
      <c r="UD31" s="29"/>
      <c r="UE31" s="29"/>
      <c r="UF31" s="29"/>
      <c r="UG31" s="29"/>
      <c r="UH31" s="29"/>
      <c r="UI31" s="29"/>
      <c r="UJ31" s="29"/>
      <c r="UK31" s="29"/>
      <c r="UL31" s="29"/>
      <c r="UM31" s="29"/>
      <c r="UN31" s="29"/>
      <c r="UO31" s="29"/>
      <c r="UP31" s="29"/>
      <c r="UQ31" s="29"/>
      <c r="UR31" s="29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  <c r="VF31" s="29"/>
      <c r="VG31" s="29"/>
      <c r="VH31" s="29"/>
      <c r="VI31" s="29"/>
      <c r="VJ31" s="29"/>
      <c r="VK31" s="29"/>
      <c r="VL31" s="29"/>
      <c r="VM31" s="29"/>
      <c r="VN31" s="29"/>
      <c r="VO31" s="29"/>
      <c r="VP31" s="29"/>
      <c r="VQ31" s="29"/>
      <c r="VR31" s="29"/>
      <c r="VS31" s="29"/>
      <c r="VT31" s="29"/>
      <c r="VU31" s="29"/>
      <c r="VV31" s="58"/>
      <c r="VW31" s="58"/>
      <c r="VX31" s="58"/>
      <c r="VY31" s="58"/>
      <c r="VZ31" s="58"/>
      <c r="WA31" s="58"/>
      <c r="WB31" s="58"/>
      <c r="WC31" s="58"/>
      <c r="WD31" s="58"/>
      <c r="WE31" s="58"/>
      <c r="WF31" s="58"/>
      <c r="WG31" s="58"/>
      <c r="WH31" s="58"/>
      <c r="WI31" s="58"/>
      <c r="WJ31" s="73"/>
      <c r="WK31" s="73"/>
      <c r="WL31" s="73"/>
      <c r="WM31" s="73"/>
      <c r="WN31" s="73"/>
      <c r="WO31" s="73"/>
      <c r="WP31" s="89"/>
      <c r="WQ31" s="89"/>
      <c r="WR31" s="89"/>
      <c r="WS31" s="89"/>
      <c r="WT31" s="89"/>
      <c r="WU31" s="89"/>
      <c r="WV31" s="89"/>
      <c r="WW31" s="89"/>
      <c r="WX31" s="89"/>
      <c r="WY31" s="89"/>
      <c r="WZ31" s="89"/>
      <c r="XA31" s="89"/>
      <c r="XB31" s="89"/>
      <c r="XC31" s="89"/>
      <c r="XD31" s="89"/>
      <c r="XE31" s="89"/>
      <c r="XF31" s="89"/>
      <c r="XG31" s="89"/>
      <c r="XH31" s="89"/>
      <c r="XI31" s="89"/>
      <c r="XJ31" s="89"/>
      <c r="XK31" s="89"/>
      <c r="XL31" s="90"/>
      <c r="XM31" s="89"/>
      <c r="XN31" s="89"/>
      <c r="XO31" s="89"/>
      <c r="XP31" s="89"/>
      <c r="XQ31" s="89"/>
      <c r="XR31" s="89"/>
      <c r="XS31" s="89"/>
      <c r="XT31" s="29"/>
      <c r="XU31" s="29"/>
      <c r="XV31" s="29"/>
      <c r="XW31" s="29"/>
      <c r="XX31" s="29"/>
      <c r="XY31" s="29"/>
      <c r="XZ31" s="29"/>
      <c r="YA31" s="29"/>
      <c r="YB31" s="29"/>
      <c r="YC31" s="29"/>
      <c r="YD31" s="29"/>
      <c r="YE31" s="48"/>
      <c r="YF31" s="48"/>
      <c r="YG31" s="48"/>
      <c r="YH31" s="48"/>
      <c r="YI31" s="29"/>
      <c r="YJ31" s="29"/>
      <c r="YK31" s="29"/>
      <c r="YL31" s="29"/>
      <c r="YM31" s="29"/>
      <c r="YN31" s="29"/>
      <c r="YO31" s="29"/>
      <c r="YP31" s="29"/>
      <c r="YQ31" s="58"/>
      <c r="YR31" s="58"/>
      <c r="YS31" s="58"/>
      <c r="YT31" s="58"/>
      <c r="YU31" s="29"/>
      <c r="YV31" s="29"/>
      <c r="YW31" s="29"/>
      <c r="YX31" s="29"/>
      <c r="YY31" s="29"/>
      <c r="YZ31" s="29"/>
      <c r="ZA31" s="29"/>
      <c r="ZB31" s="29"/>
      <c r="ZC31" s="29"/>
      <c r="ZD31" s="29"/>
      <c r="ZE31" s="29"/>
      <c r="ZF31" s="29"/>
      <c r="ZG31" s="29"/>
      <c r="ZH31" s="29"/>
      <c r="ZI31" s="29"/>
      <c r="ZJ31" s="58"/>
      <c r="ZK31" s="58"/>
      <c r="ZL31" s="58"/>
      <c r="ZM31" s="58"/>
      <c r="ZN31" s="58"/>
      <c r="ZO31" s="58"/>
      <c r="ZP31" s="58"/>
      <c r="ZQ31" s="58"/>
      <c r="ZR31" s="58"/>
      <c r="ZS31" s="58"/>
      <c r="ZT31" s="58"/>
      <c r="ZU31" s="58"/>
      <c r="ZV31" s="58"/>
      <c r="ZW31" s="58"/>
      <c r="ZX31" s="58"/>
      <c r="ZY31" s="58"/>
      <c r="ZZ31" s="29"/>
      <c r="AAA31" s="29"/>
      <c r="AAB31" s="29"/>
      <c r="AAC31" s="29"/>
      <c r="AAD31" s="29"/>
      <c r="AAE31" s="29"/>
      <c r="AAF31" s="29"/>
      <c r="AAG31" s="29"/>
      <c r="AAH31" s="29"/>
      <c r="AAI31" s="29"/>
      <c r="AAJ31" s="29"/>
      <c r="AAK31" s="29"/>
      <c r="AAL31" s="29"/>
      <c r="AAM31" s="29"/>
      <c r="AAN31" s="58"/>
      <c r="AAO31" s="58"/>
      <c r="AAP31" s="58"/>
      <c r="AAQ31" s="58"/>
      <c r="AAR31" s="58"/>
      <c r="AAS31" s="58"/>
      <c r="AAT31" s="58"/>
      <c r="AAU31" s="58"/>
      <c r="AAV31" s="58"/>
      <c r="AAW31" s="58"/>
      <c r="AAX31" s="58"/>
      <c r="AAY31" s="58"/>
      <c r="AAZ31" s="58"/>
      <c r="ABA31" s="58"/>
      <c r="ABB31" s="58"/>
      <c r="ABC31" s="58"/>
      <c r="ABD31" s="29"/>
      <c r="ABE31" s="29"/>
      <c r="ABF31" s="29"/>
      <c r="ABG31" s="29"/>
      <c r="ABH31" s="29"/>
      <c r="ABI31" s="29"/>
      <c r="ABJ31" s="29"/>
      <c r="ABK31" s="29"/>
      <c r="ABL31" s="29"/>
      <c r="ABM31" s="29"/>
      <c r="ABN31" s="29"/>
      <c r="ABO31" s="29"/>
      <c r="ABP31" s="29"/>
      <c r="ABQ31" s="91"/>
      <c r="ABR31" s="92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</row>
    <row r="32" spans="1:1822" s="37" customFormat="1" x14ac:dyDescent="0.3">
      <c r="A32" s="18">
        <v>27</v>
      </c>
      <c r="B32" s="2" t="s">
        <v>17</v>
      </c>
      <c r="C32" s="93" t="s">
        <v>61</v>
      </c>
      <c r="D32" s="94" t="s">
        <v>62</v>
      </c>
      <c r="E32" s="79">
        <v>45698</v>
      </c>
      <c r="F32" s="95">
        <v>45710</v>
      </c>
      <c r="G32" s="21">
        <f t="shared" si="0"/>
        <v>45800</v>
      </c>
      <c r="H32" s="189">
        <v>45851</v>
      </c>
      <c r="I32" s="59"/>
      <c r="J32" s="59"/>
      <c r="K32" s="208" t="s">
        <v>122</v>
      </c>
      <c r="L32" s="60">
        <f t="shared" ca="1" si="19"/>
        <v>24.8</v>
      </c>
      <c r="M32" s="60">
        <f t="shared" ca="1" si="17"/>
        <v>7.8000000000000007</v>
      </c>
      <c r="N32" s="96">
        <v>45996</v>
      </c>
      <c r="O32" s="96">
        <v>46012</v>
      </c>
      <c r="P32" s="97">
        <f t="shared" si="18"/>
        <v>17</v>
      </c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8"/>
      <c r="BR32" s="98"/>
      <c r="BS32" s="98"/>
      <c r="BT32" s="98"/>
      <c r="BU32" s="98"/>
      <c r="BV32" s="98"/>
      <c r="BW32" s="98"/>
      <c r="BX32" s="98"/>
      <c r="BY32" s="99"/>
      <c r="BZ32" s="99"/>
      <c r="CA32" s="99"/>
      <c r="CB32" s="99"/>
      <c r="CC32" s="99"/>
      <c r="CD32" s="99"/>
      <c r="CE32" s="99"/>
      <c r="CF32" s="99"/>
      <c r="CG32" s="99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92"/>
      <c r="DT32" s="92"/>
      <c r="DU32" s="92"/>
      <c r="DV32" s="92"/>
      <c r="DW32" s="92"/>
      <c r="DX32" s="92"/>
      <c r="DY32" s="92"/>
      <c r="DZ32" s="92"/>
      <c r="EA32" s="92"/>
      <c r="EB32" s="92"/>
      <c r="EC32" s="92"/>
      <c r="ED32" s="92"/>
      <c r="EE32" s="92"/>
      <c r="EF32" s="92"/>
      <c r="EG32" s="92"/>
      <c r="EH32" s="92"/>
      <c r="EI32" s="92"/>
      <c r="EJ32" s="92"/>
      <c r="EK32" s="92"/>
      <c r="EL32" s="92"/>
      <c r="EM32" s="92"/>
      <c r="EN32" s="92"/>
      <c r="EO32" s="92"/>
      <c r="EP32" s="92"/>
      <c r="EQ32" s="92"/>
      <c r="ER32" s="92"/>
      <c r="ES32" s="92"/>
      <c r="ET32" s="92"/>
      <c r="EU32" s="92"/>
      <c r="EV32" s="92"/>
      <c r="EW32" s="92"/>
      <c r="EX32" s="92"/>
      <c r="EY32" s="92"/>
      <c r="EZ32" s="92"/>
      <c r="FA32" s="92"/>
      <c r="FB32" s="92"/>
      <c r="FC32" s="92"/>
      <c r="FD32" s="92"/>
      <c r="FE32" s="92"/>
      <c r="FF32" s="92"/>
      <c r="FG32" s="92"/>
      <c r="FH32" s="92"/>
      <c r="FI32" s="92"/>
      <c r="FJ32" s="92"/>
      <c r="FK32" s="92"/>
      <c r="FL32" s="92"/>
      <c r="FM32" s="92"/>
      <c r="FN32" s="92"/>
      <c r="FO32" s="92"/>
      <c r="FP32" s="92"/>
      <c r="FQ32" s="92"/>
      <c r="FR32" s="92"/>
      <c r="FS32" s="92"/>
      <c r="FT32" s="92"/>
      <c r="FU32" s="92"/>
      <c r="FV32" s="92"/>
      <c r="FW32" s="92"/>
      <c r="FX32" s="92"/>
      <c r="FY32" s="92"/>
      <c r="FZ32" s="92"/>
      <c r="GA32" s="92"/>
      <c r="GB32" s="92"/>
      <c r="GC32" s="92"/>
      <c r="GD32" s="92"/>
      <c r="GE32" s="92"/>
      <c r="GF32" s="92"/>
      <c r="GG32" s="92"/>
      <c r="GH32" s="92"/>
      <c r="GI32" s="92"/>
      <c r="GJ32" s="92"/>
      <c r="GK32" s="92"/>
      <c r="GL32" s="92"/>
      <c r="GM32" s="92"/>
      <c r="GN32" s="92"/>
      <c r="GO32" s="92"/>
      <c r="GP32" s="92"/>
      <c r="GQ32" s="92"/>
      <c r="GR32" s="92"/>
      <c r="GS32" s="92"/>
      <c r="GT32" s="92"/>
      <c r="GU32" s="92"/>
      <c r="GV32" s="92"/>
      <c r="GW32" s="92"/>
      <c r="GX32" s="92"/>
      <c r="GY32" s="92"/>
      <c r="GZ32" s="92"/>
      <c r="HA32" s="92"/>
      <c r="HB32" s="92"/>
      <c r="HC32" s="92"/>
      <c r="HD32" s="92"/>
      <c r="HE32" s="92"/>
      <c r="HF32" s="92"/>
      <c r="HG32" s="92"/>
      <c r="HH32" s="92"/>
      <c r="HI32" s="92"/>
      <c r="HJ32" s="92"/>
      <c r="HK32" s="92"/>
      <c r="HL32" s="92"/>
      <c r="HM32" s="92"/>
      <c r="HN32" s="92"/>
      <c r="HO32" s="92"/>
      <c r="HP32" s="92"/>
      <c r="HQ32" s="92"/>
      <c r="HR32" s="92"/>
      <c r="HS32" s="92"/>
      <c r="HT32" s="92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1"/>
      <c r="IJ32" s="101"/>
      <c r="IK32" s="101"/>
      <c r="IL32" s="101"/>
      <c r="IM32" s="101"/>
      <c r="IN32" s="101"/>
      <c r="IO32" s="101"/>
      <c r="IP32" s="101"/>
      <c r="IQ32" s="101"/>
      <c r="IR32" s="101"/>
      <c r="IS32" s="101"/>
      <c r="IT32" s="101"/>
      <c r="IU32" s="101"/>
      <c r="IV32" s="101"/>
      <c r="IW32" s="101"/>
      <c r="IX32" s="101"/>
      <c r="IY32" s="101"/>
      <c r="IZ32" s="101"/>
      <c r="JA32" s="101"/>
      <c r="JB32" s="101"/>
      <c r="JC32" s="101"/>
      <c r="JD32" s="101"/>
      <c r="JE32" s="101"/>
      <c r="JF32" s="101"/>
      <c r="JG32" s="101"/>
      <c r="JH32" s="101"/>
      <c r="JI32" s="101"/>
      <c r="JJ32" s="92"/>
      <c r="JK32" s="92"/>
      <c r="JL32" s="92"/>
      <c r="JM32" s="92"/>
      <c r="JN32" s="92"/>
      <c r="JO32" s="92"/>
      <c r="JP32" s="92"/>
      <c r="JQ32" s="92"/>
      <c r="JR32" s="92"/>
      <c r="JS32" s="92"/>
      <c r="JT32" s="92"/>
      <c r="JU32" s="92"/>
      <c r="JV32" s="92"/>
      <c r="JW32" s="92"/>
      <c r="JX32" s="92"/>
      <c r="JY32" s="92"/>
      <c r="JZ32" s="92"/>
      <c r="KA32" s="92"/>
      <c r="KB32" s="92"/>
      <c r="KC32" s="92"/>
      <c r="KD32" s="99"/>
      <c r="KE32" s="99"/>
      <c r="KF32" s="99"/>
      <c r="KG32" s="99"/>
      <c r="KH32" s="92"/>
      <c r="KI32" s="92"/>
      <c r="KJ32" s="92"/>
      <c r="KK32" s="92"/>
      <c r="KL32" s="92"/>
      <c r="KM32" s="92"/>
      <c r="KN32" s="92"/>
      <c r="KO32" s="92"/>
      <c r="KP32" s="100"/>
      <c r="KQ32" s="100"/>
      <c r="KR32" s="100"/>
      <c r="KS32" s="100"/>
      <c r="KT32" s="92"/>
      <c r="KU32" s="92"/>
      <c r="KV32" s="92"/>
      <c r="KW32" s="92"/>
      <c r="KX32" s="92"/>
      <c r="KY32" s="92"/>
      <c r="KZ32" s="92"/>
      <c r="LA32" s="92"/>
      <c r="LB32" s="92"/>
      <c r="LC32" s="92"/>
      <c r="LD32" s="92"/>
      <c r="LE32" s="92"/>
      <c r="LF32" s="92"/>
      <c r="LW32" s="92"/>
      <c r="LX32" s="92"/>
      <c r="LY32" s="92"/>
      <c r="LZ32" s="92"/>
      <c r="MA32" s="92"/>
      <c r="MB32" s="92"/>
      <c r="MC32" s="92"/>
      <c r="MD32" s="92"/>
      <c r="ME32" s="92"/>
      <c r="MF32" s="92"/>
      <c r="MG32" s="92"/>
      <c r="MH32" s="92"/>
      <c r="MI32" s="61">
        <v>1</v>
      </c>
      <c r="MJ32" s="61">
        <v>1</v>
      </c>
      <c r="MK32" s="61">
        <v>1</v>
      </c>
      <c r="ML32" s="61">
        <v>1</v>
      </c>
      <c r="MM32" s="61">
        <v>1</v>
      </c>
      <c r="MN32" s="180">
        <v>1</v>
      </c>
      <c r="MO32" s="181">
        <v>1</v>
      </c>
      <c r="MP32" s="181">
        <v>1</v>
      </c>
      <c r="MQ32" s="181">
        <v>1</v>
      </c>
      <c r="MR32" s="181">
        <v>1</v>
      </c>
      <c r="MS32" s="181">
        <v>1</v>
      </c>
      <c r="MT32" s="181">
        <v>1</v>
      </c>
      <c r="MU32" s="181">
        <v>1</v>
      </c>
      <c r="MV32" s="181">
        <v>1</v>
      </c>
      <c r="MW32" s="181">
        <v>1</v>
      </c>
      <c r="MX32" s="181">
        <v>1</v>
      </c>
      <c r="MY32" s="181">
        <v>1</v>
      </c>
      <c r="MZ32" s="100"/>
      <c r="NA32" s="100"/>
      <c r="NB32" s="100"/>
      <c r="NC32" s="92"/>
      <c r="ND32" s="92"/>
      <c r="NE32" s="92"/>
      <c r="NF32" s="92"/>
      <c r="NG32" s="92"/>
      <c r="NH32" s="92"/>
      <c r="NI32" s="92"/>
      <c r="NJ32" s="92"/>
      <c r="NK32" s="92"/>
      <c r="NL32" s="92"/>
      <c r="NM32" s="92"/>
      <c r="NN32" s="92"/>
      <c r="NO32" s="92"/>
      <c r="NP32" s="92"/>
      <c r="NQ32" s="92"/>
      <c r="NR32" s="100"/>
      <c r="NS32" s="100"/>
      <c r="NT32" s="100"/>
      <c r="NU32" s="100"/>
      <c r="NV32" s="100"/>
      <c r="NW32" s="100"/>
      <c r="NX32" s="100"/>
      <c r="NY32" s="100"/>
      <c r="NZ32" s="100"/>
      <c r="OA32" s="100"/>
      <c r="OB32" s="100"/>
      <c r="OC32" s="100"/>
      <c r="OD32" s="100"/>
      <c r="OE32" s="100"/>
      <c r="OF32" s="100"/>
      <c r="OG32" s="100"/>
      <c r="OH32" s="92"/>
      <c r="OI32" s="92"/>
      <c r="OJ32" s="92"/>
      <c r="OK32" s="92"/>
      <c r="OL32" s="92"/>
      <c r="OM32" s="92"/>
      <c r="ON32" s="92"/>
      <c r="OO32" s="92"/>
      <c r="OP32" s="92"/>
      <c r="OQ32" s="92"/>
      <c r="OR32" s="92"/>
      <c r="OS32" s="92"/>
      <c r="OT32" s="92"/>
      <c r="OU32" s="92"/>
      <c r="OV32" s="92"/>
      <c r="OW32" s="99"/>
      <c r="OX32" s="99"/>
      <c r="OY32" s="99"/>
      <c r="OZ32" s="99"/>
      <c r="PA32" s="99"/>
      <c r="PB32" s="100"/>
      <c r="PC32" s="100"/>
      <c r="PD32" s="100"/>
      <c r="PE32" s="100"/>
      <c r="PF32" s="100"/>
      <c r="PG32" s="100"/>
      <c r="PH32" s="99"/>
      <c r="PI32" s="99"/>
      <c r="PJ32" s="99"/>
      <c r="PK32" s="99"/>
      <c r="PL32" s="99"/>
      <c r="PM32" s="99"/>
      <c r="PN32" s="99"/>
      <c r="PO32" s="99"/>
      <c r="PP32" s="99"/>
      <c r="PQ32" s="99"/>
      <c r="PR32" s="99"/>
      <c r="PS32" s="99"/>
      <c r="PT32" s="99"/>
      <c r="PU32" s="99"/>
      <c r="PV32" s="99"/>
      <c r="PW32" s="99"/>
      <c r="PX32" s="99"/>
      <c r="PY32" s="99"/>
      <c r="PZ32" s="92"/>
      <c r="QA32" s="92"/>
      <c r="QB32" s="92"/>
      <c r="QC32" s="92"/>
      <c r="QD32" s="92"/>
      <c r="QE32" s="92"/>
      <c r="QF32" s="92"/>
      <c r="QG32" s="92"/>
      <c r="QH32" s="92"/>
      <c r="QI32" s="92"/>
      <c r="QJ32" s="92"/>
      <c r="QK32" s="92"/>
      <c r="QL32" s="92"/>
      <c r="QM32" s="92"/>
      <c r="QN32" s="92"/>
      <c r="QO32" s="92"/>
      <c r="QP32" s="92"/>
      <c r="QQ32" s="92"/>
      <c r="QR32" s="92"/>
      <c r="QS32" s="92"/>
      <c r="QT32" s="92"/>
      <c r="QU32" s="92"/>
      <c r="QV32" s="92"/>
      <c r="QW32" s="92"/>
      <c r="QX32" s="92"/>
      <c r="QY32" s="92"/>
      <c r="QZ32" s="92"/>
      <c r="RA32" s="92"/>
      <c r="RB32" s="92"/>
      <c r="RC32" s="92"/>
      <c r="RD32" s="92"/>
      <c r="RE32" s="92"/>
      <c r="RF32" s="92"/>
      <c r="RG32" s="92"/>
      <c r="RH32" s="92"/>
      <c r="RI32" s="92"/>
      <c r="RJ32" s="92"/>
      <c r="RK32" s="92"/>
      <c r="RL32" s="92"/>
      <c r="RM32" s="92"/>
      <c r="RN32" s="92"/>
      <c r="RO32" s="92"/>
      <c r="RP32" s="92"/>
      <c r="RQ32" s="92"/>
      <c r="RR32" s="92"/>
      <c r="RS32" s="92"/>
      <c r="RT32" s="92"/>
      <c r="RU32" s="92"/>
      <c r="RV32" s="92"/>
      <c r="RW32" s="92"/>
      <c r="RX32" s="92"/>
      <c r="RY32" s="92"/>
      <c r="RZ32" s="92"/>
      <c r="SA32" s="92"/>
      <c r="SB32" s="92"/>
      <c r="SC32" s="92"/>
      <c r="SD32" s="92"/>
      <c r="SE32" s="92"/>
      <c r="SF32" s="92"/>
      <c r="SG32" s="92"/>
      <c r="SH32" s="92"/>
      <c r="SI32" s="92"/>
      <c r="SJ32" s="92"/>
      <c r="SK32" s="92"/>
      <c r="SL32" s="92"/>
      <c r="SM32" s="92"/>
      <c r="SN32" s="61">
        <v>1</v>
      </c>
      <c r="SO32" s="61">
        <v>1</v>
      </c>
      <c r="SP32" s="61">
        <v>1</v>
      </c>
      <c r="SQ32" s="61">
        <v>1</v>
      </c>
      <c r="SR32" s="61">
        <v>1</v>
      </c>
      <c r="SS32" s="61">
        <v>1</v>
      </c>
      <c r="ST32" s="61">
        <v>1</v>
      </c>
      <c r="SU32" s="61">
        <v>1</v>
      </c>
      <c r="SV32" s="61">
        <v>1</v>
      </c>
      <c r="SW32" s="61">
        <v>1</v>
      </c>
      <c r="SX32" s="61">
        <v>1</v>
      </c>
      <c r="SY32" s="61">
        <v>1</v>
      </c>
      <c r="SZ32" s="61">
        <v>1</v>
      </c>
      <c r="TA32" s="61">
        <v>1</v>
      </c>
      <c r="TB32" s="61">
        <v>1</v>
      </c>
      <c r="TC32" s="61">
        <v>1</v>
      </c>
      <c r="TD32" s="61">
        <v>1</v>
      </c>
      <c r="TE32" s="92"/>
      <c r="TF32" s="92"/>
      <c r="TG32" s="92"/>
      <c r="TH32" s="92"/>
      <c r="TI32" s="92"/>
      <c r="TJ32" s="92"/>
      <c r="TK32" s="92"/>
      <c r="TL32" s="92"/>
      <c r="TM32" s="92"/>
      <c r="TN32" s="92"/>
      <c r="TO32" s="92"/>
      <c r="TP32" s="92"/>
      <c r="TQ32" s="92"/>
      <c r="TR32" s="92"/>
      <c r="TS32" s="92"/>
      <c r="TT32" s="92"/>
      <c r="TU32" s="92"/>
      <c r="TV32" s="92"/>
      <c r="TW32" s="92"/>
      <c r="TX32" s="92"/>
      <c r="TY32" s="92"/>
      <c r="TZ32" s="92"/>
      <c r="UA32" s="92"/>
      <c r="UB32" s="92"/>
      <c r="UC32" s="92"/>
      <c r="UD32" s="92"/>
      <c r="UE32" s="92"/>
      <c r="UF32" s="92"/>
      <c r="UG32" s="92"/>
      <c r="UH32" s="92"/>
      <c r="UI32" s="92"/>
      <c r="UJ32" s="92"/>
      <c r="UK32" s="92"/>
      <c r="UL32" s="92"/>
      <c r="UM32" s="92"/>
      <c r="UN32" s="92"/>
      <c r="UO32" s="92"/>
      <c r="UP32" s="92"/>
      <c r="UQ32" s="92"/>
      <c r="UR32" s="92"/>
      <c r="US32" s="92"/>
      <c r="UT32" s="92"/>
      <c r="UU32" s="92"/>
      <c r="UV32" s="92"/>
      <c r="UW32" s="92"/>
      <c r="UX32" s="92"/>
      <c r="UY32" s="92"/>
      <c r="UZ32" s="92"/>
      <c r="VA32" s="92"/>
      <c r="VB32" s="92"/>
      <c r="VC32" s="92"/>
      <c r="VD32" s="92"/>
      <c r="VE32" s="92"/>
      <c r="VF32" s="92"/>
      <c r="VG32" s="92"/>
      <c r="VH32" s="92"/>
      <c r="VI32" s="92"/>
      <c r="VJ32" s="92"/>
      <c r="VK32" s="92"/>
      <c r="VL32" s="92"/>
      <c r="VM32" s="92"/>
      <c r="VN32" s="92"/>
      <c r="VO32" s="92"/>
      <c r="VP32" s="92"/>
      <c r="VQ32" s="92"/>
      <c r="VR32" s="92"/>
      <c r="VS32" s="92"/>
      <c r="VT32" s="92"/>
      <c r="VU32" s="92"/>
      <c r="VV32" s="100"/>
      <c r="VW32" s="100"/>
      <c r="VX32" s="100"/>
      <c r="VY32" s="100"/>
      <c r="VZ32" s="100"/>
      <c r="WA32" s="100"/>
      <c r="WB32" s="100"/>
      <c r="WC32" s="100"/>
      <c r="WD32" s="100"/>
      <c r="WE32" s="100"/>
      <c r="WF32" s="100"/>
      <c r="WG32" s="100"/>
      <c r="WH32" s="100"/>
      <c r="WI32" s="100"/>
      <c r="WJ32" s="101"/>
      <c r="WK32" s="101"/>
      <c r="WL32" s="101"/>
      <c r="WM32" s="101"/>
      <c r="WN32" s="101"/>
      <c r="WO32" s="101"/>
      <c r="WP32" s="102"/>
      <c r="WQ32" s="102"/>
      <c r="WR32" s="102"/>
      <c r="WS32" s="102"/>
      <c r="WT32" s="102"/>
      <c r="WU32" s="102"/>
      <c r="WV32" s="102"/>
      <c r="WW32" s="102"/>
      <c r="WX32" s="102"/>
      <c r="WY32" s="102"/>
      <c r="WZ32" s="102"/>
      <c r="XA32" s="102"/>
      <c r="XB32" s="102"/>
      <c r="XC32" s="102"/>
      <c r="XD32" s="102"/>
      <c r="XE32" s="102"/>
      <c r="XF32" s="102"/>
      <c r="XG32" s="102"/>
      <c r="XH32" s="102"/>
      <c r="XI32" s="102"/>
      <c r="XJ32" s="102"/>
      <c r="XK32" s="102"/>
      <c r="XL32" s="102"/>
      <c r="XM32" s="102"/>
      <c r="XN32" s="102"/>
      <c r="XO32" s="102"/>
      <c r="XP32" s="102"/>
      <c r="XQ32" s="102"/>
      <c r="XR32" s="102"/>
      <c r="XS32" s="102"/>
      <c r="XT32" s="92"/>
      <c r="XU32" s="92"/>
      <c r="XV32" s="92"/>
      <c r="XW32" s="92"/>
      <c r="XX32" s="92"/>
      <c r="XY32" s="92"/>
      <c r="XZ32" s="92"/>
      <c r="YA32" s="92"/>
      <c r="YB32" s="92"/>
      <c r="YC32" s="92"/>
      <c r="YD32" s="92"/>
      <c r="YE32" s="99"/>
      <c r="YF32" s="99"/>
      <c r="YG32" s="99"/>
      <c r="YH32" s="99"/>
      <c r="YI32" s="92"/>
      <c r="YJ32" s="92"/>
      <c r="YK32" s="92"/>
      <c r="YL32" s="92"/>
      <c r="YM32" s="92"/>
      <c r="YN32" s="92"/>
      <c r="YO32" s="92"/>
      <c r="YP32" s="92"/>
      <c r="YQ32" s="100"/>
      <c r="YR32" s="100"/>
      <c r="YS32" s="100"/>
      <c r="YT32" s="100"/>
      <c r="YU32" s="92"/>
      <c r="YV32" s="92"/>
      <c r="YW32" s="92"/>
      <c r="YX32" s="92"/>
      <c r="YY32" s="92"/>
      <c r="YZ32" s="92"/>
      <c r="ZA32" s="92"/>
      <c r="ZB32" s="92"/>
      <c r="ZC32" s="92"/>
      <c r="ZD32" s="92"/>
      <c r="ZE32" s="92"/>
      <c r="ZF32" s="92"/>
      <c r="ZG32" s="92"/>
      <c r="ZH32" s="92"/>
      <c r="ZI32" s="92"/>
      <c r="ZJ32" s="100"/>
      <c r="ZK32" s="100"/>
      <c r="ZL32" s="100"/>
      <c r="ZM32" s="100"/>
      <c r="ZN32" s="100"/>
      <c r="ZO32" s="100"/>
      <c r="ZP32" s="100"/>
      <c r="ZQ32" s="100"/>
      <c r="ZR32" s="100"/>
      <c r="ZS32" s="100"/>
      <c r="ZT32" s="100"/>
      <c r="ZU32" s="100"/>
      <c r="ZV32" s="100"/>
      <c r="ZW32" s="100"/>
      <c r="ZX32" s="100"/>
      <c r="ZY32" s="100"/>
      <c r="ZZ32" s="92"/>
      <c r="AAA32" s="92"/>
      <c r="AAB32" s="92"/>
      <c r="AAC32" s="92"/>
      <c r="AAD32" s="92"/>
      <c r="AAE32" s="92"/>
      <c r="AAF32" s="92"/>
      <c r="AAG32" s="92"/>
      <c r="AAH32" s="92"/>
      <c r="AAI32" s="92"/>
      <c r="AAJ32" s="92"/>
      <c r="AAK32" s="92"/>
      <c r="AAL32" s="92"/>
      <c r="AAM32" s="92"/>
      <c r="AAN32" s="100"/>
      <c r="AAO32" s="100"/>
      <c r="AAP32" s="100"/>
      <c r="AAQ32" s="100"/>
      <c r="AAR32" s="100"/>
      <c r="AAS32" s="100"/>
      <c r="AAT32" s="100"/>
      <c r="AAU32" s="100"/>
      <c r="AAV32" s="100"/>
      <c r="AAW32" s="100"/>
      <c r="AAX32" s="100"/>
      <c r="AAY32" s="100"/>
      <c r="AAZ32" s="100"/>
      <c r="ABA32" s="100"/>
      <c r="ABB32" s="100"/>
      <c r="ABC32" s="100"/>
      <c r="ABD32" s="92"/>
      <c r="ABE32" s="92"/>
      <c r="ABF32" s="92"/>
      <c r="ABG32" s="92"/>
      <c r="ABH32" s="92"/>
      <c r="ABI32" s="92"/>
      <c r="ABJ32" s="92"/>
      <c r="ABK32" s="92"/>
      <c r="ABL32" s="92"/>
      <c r="ABM32" s="92"/>
      <c r="ABN32" s="92"/>
      <c r="ABO32" s="92"/>
      <c r="ABP32" s="92"/>
      <c r="ABQ32" s="103"/>
      <c r="ABR32" s="9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</row>
    <row r="33" spans="1:1822" s="37" customFormat="1" x14ac:dyDescent="0.3">
      <c r="A33" s="19"/>
      <c r="B33" s="2"/>
      <c r="C33" s="104"/>
      <c r="D33" s="105"/>
      <c r="E33" s="79"/>
      <c r="F33" s="95"/>
      <c r="G33" s="79"/>
      <c r="H33" s="59"/>
      <c r="I33" s="59"/>
      <c r="J33" s="59"/>
      <c r="K33" s="60"/>
      <c r="L33" s="60"/>
      <c r="M33" s="60"/>
      <c r="N33" s="101"/>
      <c r="O33" s="101"/>
      <c r="P33" s="106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8"/>
      <c r="BR33" s="98"/>
      <c r="BS33" s="98"/>
      <c r="BT33" s="98"/>
      <c r="BU33" s="98"/>
      <c r="BV33" s="98"/>
      <c r="BW33" s="98"/>
      <c r="BX33" s="98"/>
      <c r="BY33" s="99"/>
      <c r="BZ33" s="99"/>
      <c r="CA33" s="99"/>
      <c r="CB33" s="99"/>
      <c r="CC33" s="99"/>
      <c r="CD33" s="99"/>
      <c r="CE33" s="99"/>
      <c r="CF33" s="99"/>
      <c r="CG33" s="99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2"/>
      <c r="DA33" s="92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92"/>
      <c r="DT33" s="92"/>
      <c r="DU33" s="92"/>
      <c r="DV33" s="92"/>
      <c r="DW33" s="92"/>
      <c r="DX33" s="92"/>
      <c r="DY33" s="92"/>
      <c r="DZ33" s="92"/>
      <c r="EA33" s="92"/>
      <c r="EB33" s="92"/>
      <c r="EC33" s="92"/>
      <c r="ED33" s="92"/>
      <c r="EE33" s="92"/>
      <c r="EF33" s="92"/>
      <c r="EG33" s="92"/>
      <c r="EH33" s="92"/>
      <c r="EI33" s="92"/>
      <c r="EJ33" s="92"/>
      <c r="EK33" s="92"/>
      <c r="EL33" s="92"/>
      <c r="EM33" s="92"/>
      <c r="EN33" s="92"/>
      <c r="EO33" s="92"/>
      <c r="EP33" s="92"/>
      <c r="EQ33" s="92"/>
      <c r="ER33" s="92"/>
      <c r="ES33" s="92"/>
      <c r="ET33" s="92"/>
      <c r="EU33" s="92"/>
      <c r="EV33" s="92"/>
      <c r="EW33" s="92"/>
      <c r="EX33" s="92"/>
      <c r="EY33" s="92"/>
      <c r="EZ33" s="92"/>
      <c r="FA33" s="92"/>
      <c r="FB33" s="92"/>
      <c r="FC33" s="92"/>
      <c r="FD33" s="92"/>
      <c r="FE33" s="92"/>
      <c r="FF33" s="92"/>
      <c r="FG33" s="92"/>
      <c r="FH33" s="92"/>
      <c r="FI33" s="92"/>
      <c r="FJ33" s="92"/>
      <c r="FK33" s="92"/>
      <c r="FL33" s="92"/>
      <c r="FM33" s="92"/>
      <c r="FN33" s="92"/>
      <c r="FO33" s="92"/>
      <c r="FP33" s="92"/>
      <c r="FQ33" s="92"/>
      <c r="FR33" s="92"/>
      <c r="FS33" s="92"/>
      <c r="FT33" s="92"/>
      <c r="FU33" s="92"/>
      <c r="FV33" s="92"/>
      <c r="FW33" s="92"/>
      <c r="FX33" s="92"/>
      <c r="FY33" s="92"/>
      <c r="FZ33" s="92"/>
      <c r="GA33" s="92"/>
      <c r="GB33" s="92"/>
      <c r="GC33" s="92"/>
      <c r="GD33" s="92"/>
      <c r="GE33" s="92"/>
      <c r="GF33" s="92"/>
      <c r="GG33" s="92"/>
      <c r="GH33" s="92"/>
      <c r="GI33" s="92"/>
      <c r="GJ33" s="92"/>
      <c r="GK33" s="92"/>
      <c r="GL33" s="92"/>
      <c r="GM33" s="92"/>
      <c r="GN33" s="92"/>
      <c r="GO33" s="92"/>
      <c r="GP33" s="92"/>
      <c r="GQ33" s="92"/>
      <c r="GR33" s="92"/>
      <c r="GS33" s="92"/>
      <c r="GT33" s="92"/>
      <c r="GU33" s="92"/>
      <c r="GV33" s="92"/>
      <c r="GW33" s="92"/>
      <c r="GX33" s="92"/>
      <c r="GY33" s="92"/>
      <c r="GZ33" s="92"/>
      <c r="HA33" s="92"/>
      <c r="HB33" s="92"/>
      <c r="HC33" s="92"/>
      <c r="HD33" s="92"/>
      <c r="HE33" s="92"/>
      <c r="HF33" s="92"/>
      <c r="HG33" s="92"/>
      <c r="HH33" s="92"/>
      <c r="HI33" s="92"/>
      <c r="HJ33" s="92"/>
      <c r="HK33" s="92"/>
      <c r="HL33" s="92"/>
      <c r="HM33" s="92"/>
      <c r="HN33" s="92"/>
      <c r="HO33" s="92"/>
      <c r="HP33" s="92"/>
      <c r="HQ33" s="92"/>
      <c r="HR33" s="92"/>
      <c r="HS33" s="92"/>
      <c r="HT33" s="92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1"/>
      <c r="IJ33" s="101"/>
      <c r="IK33" s="101"/>
      <c r="IL33" s="101"/>
      <c r="IM33" s="101"/>
      <c r="IN33" s="101"/>
      <c r="IO33" s="101"/>
      <c r="IP33" s="101"/>
      <c r="IQ33" s="101"/>
      <c r="IR33" s="101"/>
      <c r="IS33" s="101"/>
      <c r="IT33" s="101"/>
      <c r="IU33" s="101"/>
      <c r="IV33" s="101"/>
      <c r="IW33" s="101"/>
      <c r="IX33" s="101"/>
      <c r="IY33" s="101"/>
      <c r="IZ33" s="101"/>
      <c r="JA33" s="101"/>
      <c r="JB33" s="101"/>
      <c r="JC33" s="101"/>
      <c r="JD33" s="101"/>
      <c r="JE33" s="101"/>
      <c r="JF33" s="101"/>
      <c r="JG33" s="101"/>
      <c r="JH33" s="101"/>
      <c r="JI33" s="101"/>
      <c r="JJ33" s="92"/>
      <c r="JK33" s="92"/>
      <c r="JL33" s="92"/>
      <c r="JM33" s="92"/>
      <c r="JN33" s="92"/>
      <c r="JO33" s="92"/>
      <c r="JP33" s="92"/>
      <c r="JQ33" s="92"/>
      <c r="JR33" s="92"/>
      <c r="JS33" s="92"/>
      <c r="JT33" s="92"/>
      <c r="JU33" s="92"/>
      <c r="JV33" s="92"/>
      <c r="JW33" s="92"/>
      <c r="JX33" s="92"/>
      <c r="JY33" s="92"/>
      <c r="JZ33" s="92"/>
      <c r="KA33" s="92"/>
      <c r="KB33" s="92"/>
      <c r="KC33" s="92"/>
      <c r="KD33" s="99"/>
      <c r="KE33" s="99"/>
      <c r="KF33" s="99"/>
      <c r="KG33" s="99"/>
      <c r="KH33" s="92"/>
      <c r="KI33" s="92"/>
      <c r="KJ33" s="92"/>
      <c r="KK33" s="92"/>
      <c r="KL33" s="92"/>
      <c r="KM33" s="92"/>
      <c r="KN33" s="92"/>
      <c r="KO33" s="92"/>
      <c r="KP33" s="100"/>
      <c r="KQ33" s="100"/>
      <c r="KR33" s="100"/>
      <c r="KS33" s="100"/>
      <c r="KT33" s="92"/>
      <c r="KU33" s="92"/>
      <c r="KV33" s="92"/>
      <c r="KW33" s="92"/>
      <c r="KX33" s="92"/>
      <c r="KY33" s="92"/>
      <c r="KZ33" s="92"/>
      <c r="LA33" s="92"/>
      <c r="LB33" s="92"/>
      <c r="LC33" s="92"/>
      <c r="LD33" s="92"/>
      <c r="LE33" s="92"/>
      <c r="LF33" s="92"/>
      <c r="LG33" s="92"/>
      <c r="LH33" s="92"/>
      <c r="LI33" s="100"/>
      <c r="LJ33" s="100"/>
      <c r="LK33" s="59"/>
      <c r="LL33" s="59"/>
      <c r="LM33" s="59"/>
      <c r="LN33" s="59"/>
      <c r="LO33" s="59"/>
      <c r="LP33" s="59"/>
      <c r="LQ33" s="60"/>
      <c r="LR33" s="60"/>
      <c r="LS33" s="60"/>
      <c r="LT33" s="60"/>
      <c r="LU33" s="60"/>
      <c r="LV33" s="60"/>
      <c r="LW33" s="60"/>
      <c r="LX33" s="60"/>
      <c r="LY33" s="60"/>
      <c r="LZ33" s="60"/>
      <c r="MA33" s="60"/>
      <c r="MB33" s="60"/>
      <c r="MC33" s="60"/>
      <c r="MD33" s="60"/>
      <c r="ME33" s="60"/>
      <c r="MF33" s="60"/>
      <c r="MG33" s="60"/>
      <c r="MH33" s="92"/>
      <c r="MI33" s="92"/>
      <c r="MJ33" s="92"/>
      <c r="MK33" s="92"/>
      <c r="ML33" s="92"/>
      <c r="MM33" s="100"/>
      <c r="MN33" s="100"/>
      <c r="MO33" s="100"/>
      <c r="MP33" s="100"/>
      <c r="MQ33" s="100"/>
      <c r="MR33" s="100"/>
      <c r="MS33" s="100"/>
      <c r="MT33" s="100"/>
      <c r="MU33" s="100"/>
      <c r="MV33" s="100"/>
      <c r="MW33" s="100"/>
      <c r="MX33" s="100"/>
      <c r="MY33" s="100"/>
      <c r="MZ33" s="100"/>
      <c r="NA33" s="100"/>
      <c r="NB33" s="100"/>
      <c r="NC33" s="92"/>
      <c r="ND33" s="92"/>
      <c r="NE33" s="92"/>
      <c r="NF33" s="92"/>
      <c r="NG33" s="92"/>
      <c r="NH33" s="92"/>
      <c r="NI33" s="92"/>
      <c r="NJ33" s="92"/>
      <c r="NK33" s="92"/>
      <c r="NL33" s="92"/>
      <c r="NM33" s="92"/>
      <c r="NN33" s="92"/>
      <c r="NO33" s="92"/>
      <c r="NP33" s="92"/>
      <c r="NQ33" s="92"/>
      <c r="NR33" s="100"/>
      <c r="NS33" s="100"/>
      <c r="NT33" s="100"/>
      <c r="NU33" s="100"/>
      <c r="NV33" s="100"/>
      <c r="NW33" s="100"/>
      <c r="NX33" s="100"/>
      <c r="NY33" s="100"/>
      <c r="NZ33" s="100"/>
      <c r="OA33" s="100"/>
      <c r="OB33" s="100"/>
      <c r="OC33" s="100"/>
      <c r="OD33" s="100"/>
      <c r="OE33" s="100"/>
      <c r="OF33" s="100"/>
      <c r="OG33" s="100"/>
      <c r="OH33" s="92"/>
      <c r="OI33" s="92"/>
      <c r="OJ33" s="92"/>
      <c r="OK33" s="92"/>
      <c r="OL33" s="92"/>
      <c r="OM33" s="92"/>
      <c r="ON33" s="92"/>
      <c r="OO33" s="92"/>
      <c r="OP33" s="92"/>
      <c r="OQ33" s="92"/>
      <c r="OR33" s="92"/>
      <c r="OS33" s="92"/>
      <c r="OT33" s="92"/>
      <c r="OU33" s="92"/>
      <c r="OV33" s="92"/>
      <c r="OW33" s="99"/>
      <c r="OX33" s="99"/>
      <c r="OY33" s="99"/>
      <c r="OZ33" s="99"/>
      <c r="PA33" s="99"/>
      <c r="PB33" s="100"/>
      <c r="PC33" s="100"/>
      <c r="PD33" s="100"/>
      <c r="PE33" s="100"/>
      <c r="PF33" s="100"/>
      <c r="PG33" s="100"/>
      <c r="PH33" s="99"/>
      <c r="PI33" s="99"/>
      <c r="PJ33" s="99"/>
      <c r="PK33" s="99"/>
      <c r="PL33" s="99"/>
      <c r="PM33" s="99"/>
      <c r="PN33" s="99"/>
      <c r="PO33" s="99"/>
      <c r="PP33" s="99"/>
      <c r="PQ33" s="99"/>
      <c r="PR33" s="99"/>
      <c r="PS33" s="99"/>
      <c r="PT33" s="99"/>
      <c r="PU33" s="99"/>
      <c r="PV33" s="99"/>
      <c r="PW33" s="99"/>
      <c r="PX33" s="99"/>
      <c r="PY33" s="99"/>
      <c r="PZ33" s="92"/>
      <c r="QA33" s="92"/>
      <c r="QB33" s="92"/>
      <c r="QC33" s="92"/>
      <c r="QD33" s="92"/>
      <c r="QE33" s="92"/>
      <c r="QF33" s="92"/>
      <c r="QG33" s="92"/>
      <c r="QH33" s="92"/>
      <c r="QI33" s="92"/>
      <c r="QJ33" s="92"/>
      <c r="QK33" s="92"/>
      <c r="QL33" s="92"/>
      <c r="QM33" s="92"/>
      <c r="QN33" s="92"/>
      <c r="QO33" s="92"/>
      <c r="QP33" s="92"/>
      <c r="QQ33" s="92"/>
      <c r="QR33" s="92"/>
      <c r="QS33" s="92"/>
      <c r="QT33" s="92"/>
      <c r="QU33" s="92"/>
      <c r="QV33" s="92"/>
      <c r="QW33" s="92"/>
      <c r="QX33" s="92"/>
      <c r="QY33" s="92"/>
      <c r="QZ33" s="92"/>
      <c r="RA33" s="92"/>
      <c r="RB33" s="92"/>
      <c r="RC33" s="92"/>
      <c r="RD33" s="92"/>
      <c r="RE33" s="92"/>
      <c r="RF33" s="92"/>
      <c r="RG33" s="92"/>
      <c r="RH33" s="92"/>
      <c r="RI33" s="92"/>
      <c r="RJ33" s="92"/>
      <c r="RK33" s="92"/>
      <c r="RL33" s="92"/>
      <c r="RM33" s="92"/>
      <c r="RN33" s="92"/>
      <c r="RO33" s="92"/>
      <c r="RP33" s="92"/>
      <c r="RQ33" s="92"/>
      <c r="RR33" s="92"/>
      <c r="RS33" s="92"/>
      <c r="RT33" s="92"/>
      <c r="RU33" s="92"/>
      <c r="RV33" s="92"/>
      <c r="RW33" s="92"/>
      <c r="RX33" s="92"/>
      <c r="RY33" s="92"/>
      <c r="RZ33" s="92"/>
      <c r="SA33" s="92"/>
      <c r="SB33" s="92"/>
      <c r="SC33" s="92"/>
      <c r="SD33" s="92"/>
      <c r="SE33" s="92"/>
      <c r="SF33" s="92"/>
      <c r="SG33" s="92"/>
      <c r="SH33" s="92"/>
      <c r="SI33" s="92"/>
      <c r="SJ33" s="92"/>
      <c r="SK33" s="92"/>
      <c r="SL33" s="92"/>
      <c r="SM33" s="92"/>
      <c r="SN33" s="92"/>
      <c r="SO33" s="92"/>
      <c r="SP33" s="92"/>
      <c r="SQ33" s="92"/>
      <c r="SR33" s="92"/>
      <c r="SS33" s="92"/>
      <c r="ST33" s="92"/>
      <c r="SU33" s="92"/>
      <c r="SV33" s="92"/>
      <c r="SW33" s="92"/>
      <c r="SX33" s="92"/>
      <c r="SY33" s="92"/>
      <c r="SZ33" s="92"/>
      <c r="TA33" s="92"/>
      <c r="TB33" s="92"/>
      <c r="TC33" s="92"/>
      <c r="TD33" s="92"/>
      <c r="TE33" s="92"/>
      <c r="TF33" s="92"/>
      <c r="TG33" s="92"/>
      <c r="TH33" s="92"/>
      <c r="TI33" s="92"/>
      <c r="TJ33" s="92"/>
      <c r="TK33" s="92"/>
      <c r="TL33" s="92"/>
      <c r="TM33" s="92"/>
      <c r="TN33" s="92"/>
      <c r="TO33" s="92"/>
      <c r="TP33" s="92"/>
      <c r="TQ33" s="92"/>
      <c r="TR33" s="92"/>
      <c r="TS33" s="92"/>
      <c r="TT33" s="92"/>
      <c r="TU33" s="92"/>
      <c r="TV33" s="92"/>
      <c r="TW33" s="92"/>
      <c r="TX33" s="92"/>
      <c r="TY33" s="92"/>
      <c r="TZ33" s="92"/>
      <c r="UA33" s="92"/>
      <c r="UB33" s="92"/>
      <c r="UC33" s="92"/>
      <c r="UD33" s="92"/>
      <c r="UE33" s="92"/>
      <c r="UF33" s="92"/>
      <c r="UG33" s="92"/>
      <c r="UH33" s="92"/>
      <c r="UI33" s="92"/>
      <c r="UJ33" s="92"/>
      <c r="UK33" s="92"/>
      <c r="UL33" s="92"/>
      <c r="UM33" s="92"/>
      <c r="UN33" s="92"/>
      <c r="UO33" s="92"/>
      <c r="UP33" s="92"/>
      <c r="UQ33" s="92"/>
      <c r="UR33" s="92"/>
      <c r="US33" s="92"/>
      <c r="UT33" s="92"/>
      <c r="UU33" s="92"/>
      <c r="UV33" s="92"/>
      <c r="UW33" s="92"/>
      <c r="UX33" s="92"/>
      <c r="UY33" s="92"/>
      <c r="UZ33" s="92"/>
      <c r="VA33" s="92"/>
      <c r="VB33" s="92"/>
      <c r="VC33" s="92"/>
      <c r="VD33" s="92"/>
      <c r="VE33" s="92"/>
      <c r="VF33" s="92"/>
      <c r="VG33" s="92"/>
      <c r="VH33" s="92"/>
      <c r="VI33" s="92"/>
      <c r="VJ33" s="92"/>
      <c r="VK33" s="92"/>
      <c r="VL33" s="92"/>
      <c r="VM33" s="92"/>
      <c r="VN33" s="92"/>
      <c r="VO33" s="92"/>
      <c r="VP33" s="92"/>
      <c r="VQ33" s="92"/>
      <c r="VR33" s="92"/>
      <c r="VS33" s="92"/>
      <c r="VT33" s="92"/>
      <c r="VU33" s="92"/>
      <c r="VV33" s="100"/>
      <c r="VW33" s="100"/>
      <c r="VX33" s="100"/>
      <c r="VY33" s="100"/>
      <c r="VZ33" s="100"/>
      <c r="WA33" s="100"/>
      <c r="WB33" s="100"/>
      <c r="WC33" s="100"/>
      <c r="WD33" s="100"/>
      <c r="WE33" s="100"/>
      <c r="WF33" s="100"/>
      <c r="WG33" s="100"/>
      <c r="WH33" s="100"/>
      <c r="WI33" s="100"/>
      <c r="WJ33" s="101"/>
      <c r="WK33" s="101"/>
      <c r="WL33" s="101"/>
      <c r="WM33" s="101"/>
      <c r="WN33" s="101"/>
      <c r="WO33" s="101"/>
      <c r="WP33" s="102"/>
      <c r="WQ33" s="102"/>
      <c r="WR33" s="102"/>
      <c r="WS33" s="102"/>
      <c r="WT33" s="102"/>
      <c r="WU33" s="102"/>
      <c r="WV33" s="102"/>
      <c r="WW33" s="102"/>
      <c r="WX33" s="102"/>
      <c r="WY33" s="102"/>
      <c r="WZ33" s="102"/>
      <c r="XA33" s="102"/>
      <c r="XB33" s="102"/>
      <c r="XC33" s="102"/>
      <c r="XD33" s="102"/>
      <c r="XE33" s="102"/>
      <c r="XF33" s="102"/>
      <c r="XG33" s="102"/>
      <c r="XH33" s="102"/>
      <c r="XI33" s="102"/>
      <c r="XJ33" s="102"/>
      <c r="XK33" s="102"/>
      <c r="XL33" s="102"/>
      <c r="XM33" s="102"/>
      <c r="XN33" s="102"/>
      <c r="XO33" s="102"/>
      <c r="XP33" s="102"/>
      <c r="XQ33" s="102"/>
      <c r="XR33" s="102"/>
      <c r="XS33" s="102"/>
      <c r="XT33" s="92"/>
      <c r="XU33" s="92"/>
      <c r="XV33" s="92"/>
      <c r="XW33" s="92"/>
      <c r="XX33" s="92"/>
      <c r="XY33" s="92"/>
      <c r="XZ33" s="92"/>
      <c r="YA33" s="92"/>
      <c r="YB33" s="92"/>
      <c r="YC33" s="92"/>
      <c r="YD33" s="92"/>
      <c r="YE33" s="99"/>
      <c r="YF33" s="99"/>
      <c r="YG33" s="99"/>
      <c r="YH33" s="99"/>
      <c r="YI33" s="92"/>
      <c r="YJ33" s="92"/>
      <c r="YK33" s="92"/>
      <c r="YL33" s="92"/>
      <c r="YM33" s="92"/>
      <c r="YN33" s="92"/>
      <c r="YO33" s="92"/>
      <c r="YP33" s="92"/>
      <c r="YQ33" s="100"/>
      <c r="YR33" s="100"/>
      <c r="YS33" s="100"/>
      <c r="YT33" s="100"/>
      <c r="YU33" s="92"/>
      <c r="YV33" s="92"/>
      <c r="YW33" s="92"/>
      <c r="YX33" s="92"/>
      <c r="YY33" s="92"/>
      <c r="YZ33" s="92"/>
      <c r="ZA33" s="92"/>
      <c r="ZB33" s="92"/>
      <c r="ZC33" s="92"/>
      <c r="ZD33" s="92"/>
      <c r="ZE33" s="92"/>
      <c r="ZF33" s="92"/>
      <c r="ZG33" s="92"/>
      <c r="ZH33" s="92"/>
      <c r="ZI33" s="92"/>
      <c r="ZJ33" s="100"/>
      <c r="ZK33" s="100"/>
      <c r="ZL33" s="100"/>
      <c r="ZM33" s="100"/>
      <c r="ZN33" s="100"/>
      <c r="ZO33" s="100"/>
      <c r="ZP33" s="100"/>
      <c r="ZQ33" s="100"/>
      <c r="ZR33" s="100"/>
      <c r="ZS33" s="100"/>
      <c r="ZT33" s="100"/>
      <c r="ZU33" s="100"/>
      <c r="ZV33" s="100"/>
      <c r="ZW33" s="100"/>
      <c r="ZX33" s="100"/>
      <c r="ZY33" s="100"/>
      <c r="ZZ33" s="92"/>
      <c r="AAA33" s="92"/>
      <c r="AAB33" s="92"/>
      <c r="AAC33" s="92"/>
      <c r="AAD33" s="92"/>
      <c r="AAE33" s="92"/>
      <c r="AAF33" s="92"/>
      <c r="AAG33" s="92"/>
      <c r="AAH33" s="92"/>
      <c r="AAI33" s="92"/>
      <c r="AAJ33" s="92"/>
      <c r="AAK33" s="92"/>
      <c r="AAL33" s="92"/>
      <c r="AAM33" s="92"/>
      <c r="AAN33" s="100"/>
      <c r="AAO33" s="100"/>
      <c r="AAP33" s="100"/>
      <c r="AAQ33" s="100"/>
      <c r="AAR33" s="100"/>
      <c r="AAS33" s="100"/>
      <c r="AAT33" s="100"/>
      <c r="AAU33" s="100"/>
      <c r="AAV33" s="100"/>
      <c r="AAW33" s="100"/>
      <c r="AAX33" s="100"/>
      <c r="AAY33" s="100"/>
      <c r="AAZ33" s="100"/>
      <c r="ABA33" s="100"/>
      <c r="ABB33" s="100"/>
      <c r="ABC33" s="100"/>
      <c r="ABD33" s="92"/>
      <c r="ABE33" s="92"/>
      <c r="ABF33" s="92"/>
      <c r="ABG33" s="92"/>
      <c r="ABH33" s="92"/>
      <c r="ABI33" s="92"/>
      <c r="ABJ33" s="92"/>
      <c r="ABK33" s="92"/>
      <c r="ABL33" s="92"/>
      <c r="ABM33" s="92"/>
      <c r="ABN33" s="92"/>
      <c r="ABO33" s="92"/>
      <c r="ABP33" s="92"/>
      <c r="ABQ33" s="103"/>
      <c r="ABR33" s="92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</row>
    <row r="34" spans="1:1822" s="37" customFormat="1" x14ac:dyDescent="0.3">
      <c r="A34" s="19"/>
      <c r="B34" s="2"/>
      <c r="C34" s="107"/>
      <c r="D34" s="108"/>
      <c r="E34" s="79"/>
      <c r="F34" s="79"/>
      <c r="G34" s="79"/>
      <c r="H34" s="79"/>
      <c r="I34" s="79"/>
      <c r="J34" s="79"/>
      <c r="K34" s="60"/>
      <c r="L34" s="60"/>
      <c r="M34" s="60"/>
      <c r="N34" s="79"/>
      <c r="O34" s="79"/>
      <c r="P34" s="106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8"/>
      <c r="BR34" s="98"/>
      <c r="BS34" s="98"/>
      <c r="BT34" s="98"/>
      <c r="BU34" s="98"/>
      <c r="BV34" s="98"/>
      <c r="BW34" s="98"/>
      <c r="BX34" s="98"/>
      <c r="BY34" s="99"/>
      <c r="BZ34" s="99"/>
      <c r="CA34" s="99"/>
      <c r="CB34" s="99"/>
      <c r="CC34" s="99"/>
      <c r="CD34" s="99"/>
      <c r="CE34" s="99"/>
      <c r="CF34" s="99"/>
      <c r="CG34" s="99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92"/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2"/>
      <c r="ET34" s="92"/>
      <c r="EU34" s="92"/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2"/>
      <c r="FH34" s="92"/>
      <c r="FI34" s="92"/>
      <c r="FJ34" s="92"/>
      <c r="FK34" s="92"/>
      <c r="FL34" s="92"/>
      <c r="FM34" s="92"/>
      <c r="FN34" s="92"/>
      <c r="FO34" s="92"/>
      <c r="FP34" s="92"/>
      <c r="FQ34" s="92"/>
      <c r="FR34" s="92"/>
      <c r="FS34" s="92"/>
      <c r="FT34" s="92"/>
      <c r="FU34" s="92"/>
      <c r="FV34" s="92"/>
      <c r="FW34" s="92"/>
      <c r="FX34" s="92"/>
      <c r="FY34" s="92"/>
      <c r="FZ34" s="92"/>
      <c r="GA34" s="92"/>
      <c r="GB34" s="92"/>
      <c r="GC34" s="92"/>
      <c r="GD34" s="92"/>
      <c r="GE34" s="92"/>
      <c r="GF34" s="92"/>
      <c r="GG34" s="92"/>
      <c r="GH34" s="92"/>
      <c r="GI34" s="92"/>
      <c r="GJ34" s="92"/>
      <c r="GK34" s="92"/>
      <c r="GL34" s="92"/>
      <c r="GM34" s="92"/>
      <c r="GN34" s="92"/>
      <c r="GO34" s="92"/>
      <c r="GP34" s="92"/>
      <c r="GQ34" s="92"/>
      <c r="GR34" s="92"/>
      <c r="GS34" s="92"/>
      <c r="GT34" s="92"/>
      <c r="GU34" s="92"/>
      <c r="GV34" s="92"/>
      <c r="GW34" s="92"/>
      <c r="GX34" s="92"/>
      <c r="GY34" s="92"/>
      <c r="GZ34" s="92"/>
      <c r="HA34" s="92"/>
      <c r="HB34" s="92"/>
      <c r="HC34" s="92"/>
      <c r="HD34" s="92"/>
      <c r="HE34" s="92"/>
      <c r="HF34" s="92"/>
      <c r="HG34" s="92"/>
      <c r="HH34" s="92"/>
      <c r="HI34" s="92"/>
      <c r="HJ34" s="92"/>
      <c r="HK34" s="92"/>
      <c r="HL34" s="92"/>
      <c r="HM34" s="92"/>
      <c r="HN34" s="92"/>
      <c r="HO34" s="92"/>
      <c r="HP34" s="92"/>
      <c r="HQ34" s="92"/>
      <c r="HR34" s="92"/>
      <c r="HS34" s="92"/>
      <c r="HT34" s="92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1"/>
      <c r="IJ34" s="101"/>
      <c r="IK34" s="101"/>
      <c r="IL34" s="101"/>
      <c r="IM34" s="101"/>
      <c r="IN34" s="101"/>
      <c r="IO34" s="101"/>
      <c r="IP34" s="101"/>
      <c r="IQ34" s="101"/>
      <c r="IR34" s="101"/>
      <c r="IS34" s="101"/>
      <c r="IT34" s="101"/>
      <c r="IU34" s="101"/>
      <c r="IV34" s="101"/>
      <c r="IW34" s="101"/>
      <c r="IX34" s="101"/>
      <c r="IY34" s="101"/>
      <c r="IZ34" s="101"/>
      <c r="JA34" s="101"/>
      <c r="JB34" s="101"/>
      <c r="JC34" s="101"/>
      <c r="JD34" s="101"/>
      <c r="JE34" s="101"/>
      <c r="JF34" s="101"/>
      <c r="JG34" s="101"/>
      <c r="JH34" s="101"/>
      <c r="JI34" s="101"/>
      <c r="JJ34" s="92"/>
      <c r="JK34" s="92"/>
      <c r="JL34" s="92"/>
      <c r="JM34" s="92"/>
      <c r="JN34" s="92"/>
      <c r="JO34" s="92"/>
      <c r="JP34" s="92"/>
      <c r="JQ34" s="92"/>
      <c r="JR34" s="92"/>
      <c r="JS34" s="92"/>
      <c r="JT34" s="92"/>
      <c r="JU34" s="92"/>
      <c r="JV34" s="92"/>
      <c r="JW34" s="92"/>
      <c r="JX34" s="92"/>
      <c r="JY34" s="92"/>
      <c r="JZ34" s="92"/>
      <c r="KA34" s="92"/>
      <c r="KB34" s="92"/>
      <c r="KC34" s="92"/>
      <c r="KD34" s="99"/>
      <c r="KE34" s="99"/>
      <c r="KF34" s="99"/>
      <c r="KG34" s="99"/>
      <c r="KH34" s="92"/>
      <c r="KI34" s="92"/>
      <c r="KJ34" s="92"/>
      <c r="KK34" s="92"/>
      <c r="KL34" s="92"/>
      <c r="KM34" s="92"/>
      <c r="KN34" s="92"/>
      <c r="KO34" s="92"/>
      <c r="KP34" s="100"/>
      <c r="KQ34" s="100"/>
      <c r="KR34" s="100"/>
      <c r="KS34" s="100"/>
      <c r="KT34" s="92"/>
      <c r="KU34" s="92"/>
      <c r="KV34" s="92"/>
      <c r="KW34" s="92"/>
      <c r="KX34" s="92"/>
      <c r="KY34" s="92"/>
      <c r="KZ34" s="92"/>
      <c r="LA34" s="92"/>
      <c r="LB34" s="92"/>
      <c r="LC34" s="92"/>
      <c r="LD34" s="92"/>
      <c r="LE34" s="92"/>
      <c r="LF34" s="92"/>
      <c r="LG34" s="92"/>
      <c r="LH34" s="92"/>
      <c r="LI34" s="100"/>
      <c r="LJ34" s="100"/>
      <c r="LK34" s="59"/>
      <c r="LL34" s="59"/>
      <c r="LM34" s="59"/>
      <c r="LN34" s="59"/>
      <c r="LO34" s="59"/>
      <c r="LP34" s="59"/>
      <c r="LQ34" s="60"/>
      <c r="LR34" s="60"/>
      <c r="LS34" s="60"/>
      <c r="LT34" s="60"/>
      <c r="LU34" s="60"/>
      <c r="LV34" s="60"/>
      <c r="LW34" s="60"/>
      <c r="LX34" s="60"/>
      <c r="LY34" s="60"/>
      <c r="LZ34" s="60"/>
      <c r="MA34" s="60"/>
      <c r="MB34" s="60"/>
      <c r="MC34" s="60"/>
      <c r="MD34" s="60"/>
      <c r="ME34" s="60"/>
      <c r="MF34" s="60"/>
      <c r="MG34" s="60"/>
      <c r="MH34" s="92"/>
      <c r="MI34" s="92"/>
      <c r="MJ34" s="92"/>
      <c r="MK34" s="92"/>
      <c r="ML34" s="92"/>
      <c r="MM34" s="100"/>
      <c r="MN34" s="100"/>
      <c r="MO34" s="100"/>
      <c r="MP34" s="100"/>
      <c r="MQ34" s="100"/>
      <c r="MR34" s="100"/>
      <c r="MS34" s="100"/>
      <c r="MT34" s="100"/>
      <c r="MU34" s="100"/>
      <c r="MV34" s="100"/>
      <c r="MW34" s="100"/>
      <c r="MX34" s="100"/>
      <c r="MY34" s="100"/>
      <c r="MZ34" s="100"/>
      <c r="NA34" s="100"/>
      <c r="NB34" s="100"/>
      <c r="NC34" s="92"/>
      <c r="ND34" s="92"/>
      <c r="NE34" s="92"/>
      <c r="NF34" s="92"/>
      <c r="NG34" s="92"/>
      <c r="NH34" s="92"/>
      <c r="NI34" s="92"/>
      <c r="NJ34" s="92"/>
      <c r="NK34" s="92"/>
      <c r="NL34" s="92"/>
      <c r="NM34" s="92"/>
      <c r="NN34" s="92"/>
      <c r="NO34" s="92"/>
      <c r="NP34" s="92"/>
      <c r="NQ34" s="92"/>
      <c r="NR34" s="100"/>
      <c r="NS34" s="100"/>
      <c r="NT34" s="100"/>
      <c r="NU34" s="100"/>
      <c r="NV34" s="100"/>
      <c r="NW34" s="100"/>
      <c r="NX34" s="100"/>
      <c r="NY34" s="100"/>
      <c r="NZ34" s="100"/>
      <c r="OA34" s="100"/>
      <c r="OB34" s="100"/>
      <c r="OC34" s="100"/>
      <c r="OD34" s="100"/>
      <c r="OE34" s="100"/>
      <c r="OF34" s="100"/>
      <c r="OG34" s="100"/>
      <c r="OH34" s="92"/>
      <c r="OI34" s="92"/>
      <c r="OJ34" s="92"/>
      <c r="OK34" s="92"/>
      <c r="OL34" s="92"/>
      <c r="OM34" s="92"/>
      <c r="ON34" s="92"/>
      <c r="OO34" s="92"/>
      <c r="OP34" s="92"/>
      <c r="OQ34" s="92"/>
      <c r="OR34" s="92"/>
      <c r="OS34" s="92"/>
      <c r="OT34" s="92"/>
      <c r="OU34" s="92"/>
      <c r="OV34" s="92"/>
      <c r="OW34" s="99"/>
      <c r="OX34" s="99"/>
      <c r="OY34" s="99"/>
      <c r="OZ34" s="99"/>
      <c r="PA34" s="99"/>
      <c r="PB34" s="100"/>
      <c r="PC34" s="100"/>
      <c r="PD34" s="100"/>
      <c r="PE34" s="100"/>
      <c r="PF34" s="100"/>
      <c r="PG34" s="100"/>
      <c r="PH34" s="99"/>
      <c r="PI34" s="99"/>
      <c r="PJ34" s="99"/>
      <c r="PK34" s="99"/>
      <c r="PL34" s="99"/>
      <c r="PM34" s="99"/>
      <c r="PN34" s="99"/>
      <c r="PO34" s="99"/>
      <c r="PP34" s="99"/>
      <c r="PQ34" s="99"/>
      <c r="PR34" s="99"/>
      <c r="PS34" s="99"/>
      <c r="PT34" s="99"/>
      <c r="PU34" s="99"/>
      <c r="PV34" s="99"/>
      <c r="PW34" s="99"/>
      <c r="PX34" s="99"/>
      <c r="PY34" s="99"/>
      <c r="PZ34" s="92"/>
      <c r="QA34" s="92"/>
      <c r="QB34" s="92"/>
      <c r="QC34" s="92"/>
      <c r="QD34" s="92"/>
      <c r="QE34" s="92"/>
      <c r="QF34" s="92"/>
      <c r="QG34" s="92"/>
      <c r="QH34" s="92"/>
      <c r="QI34" s="92"/>
      <c r="QJ34" s="92"/>
      <c r="QK34" s="92"/>
      <c r="QL34" s="92"/>
      <c r="QM34" s="92"/>
      <c r="QN34" s="92"/>
      <c r="QO34" s="92"/>
      <c r="QP34" s="92"/>
      <c r="QQ34" s="92"/>
      <c r="QR34" s="92"/>
      <c r="QS34" s="92"/>
      <c r="QT34" s="92"/>
      <c r="QU34" s="92"/>
      <c r="QV34" s="92"/>
      <c r="QW34" s="92"/>
      <c r="QX34" s="92"/>
      <c r="QY34" s="92"/>
      <c r="QZ34" s="92"/>
      <c r="RA34" s="92"/>
      <c r="RB34" s="92"/>
      <c r="RC34" s="92"/>
      <c r="RD34" s="92"/>
      <c r="RE34" s="92"/>
      <c r="RF34" s="92"/>
      <c r="RG34" s="92"/>
      <c r="RH34" s="92"/>
      <c r="RI34" s="92"/>
      <c r="RJ34" s="92"/>
      <c r="RK34" s="92"/>
      <c r="RL34" s="92"/>
      <c r="RM34" s="92"/>
      <c r="RN34" s="92"/>
      <c r="RO34" s="92"/>
      <c r="RP34" s="92"/>
      <c r="RQ34" s="92"/>
      <c r="RR34" s="92"/>
      <c r="RS34" s="92"/>
      <c r="RT34" s="92"/>
      <c r="RU34" s="92"/>
      <c r="RV34" s="92"/>
      <c r="RW34" s="92"/>
      <c r="RX34" s="92"/>
      <c r="RY34" s="92"/>
      <c r="RZ34" s="92"/>
      <c r="SA34" s="92"/>
      <c r="SB34" s="92"/>
      <c r="SC34" s="92"/>
      <c r="SD34" s="92"/>
      <c r="SE34" s="92"/>
      <c r="SF34" s="92"/>
      <c r="SG34" s="92"/>
      <c r="SH34" s="92"/>
      <c r="SI34" s="92"/>
      <c r="SJ34" s="92"/>
      <c r="SK34" s="92"/>
      <c r="SL34" s="92"/>
      <c r="SM34" s="92"/>
      <c r="SN34" s="92"/>
      <c r="SO34" s="92"/>
      <c r="SP34" s="92"/>
      <c r="SQ34" s="92"/>
      <c r="SR34" s="92"/>
      <c r="SS34" s="92"/>
      <c r="ST34" s="92"/>
      <c r="SU34" s="92"/>
      <c r="SV34" s="92"/>
      <c r="SW34" s="92"/>
      <c r="SX34" s="92"/>
      <c r="SY34" s="92"/>
      <c r="SZ34" s="92"/>
      <c r="TA34" s="92"/>
      <c r="TB34" s="92"/>
      <c r="TC34" s="92"/>
      <c r="TD34" s="92"/>
      <c r="TE34" s="92"/>
      <c r="TF34" s="92"/>
      <c r="TG34" s="92"/>
      <c r="TH34" s="92"/>
      <c r="TI34" s="92"/>
      <c r="TJ34" s="92"/>
      <c r="TK34" s="92"/>
      <c r="TL34" s="92"/>
      <c r="TM34" s="92"/>
      <c r="TN34" s="92"/>
      <c r="TO34" s="92"/>
      <c r="TP34" s="92"/>
      <c r="TQ34" s="92"/>
      <c r="TR34" s="92"/>
      <c r="TS34" s="92"/>
      <c r="TT34" s="92"/>
      <c r="TU34" s="92"/>
      <c r="TV34" s="92"/>
      <c r="TW34" s="92"/>
      <c r="TX34" s="92"/>
      <c r="TY34" s="92"/>
      <c r="TZ34" s="92"/>
      <c r="UA34" s="92"/>
      <c r="UB34" s="92"/>
      <c r="UC34" s="92"/>
      <c r="UD34" s="92"/>
      <c r="UE34" s="92"/>
      <c r="UF34" s="92"/>
      <c r="UG34" s="92"/>
      <c r="UH34" s="92"/>
      <c r="UI34" s="92"/>
      <c r="UJ34" s="92"/>
      <c r="UK34" s="92"/>
      <c r="UL34" s="92"/>
      <c r="UM34" s="92"/>
      <c r="UN34" s="92"/>
      <c r="UO34" s="92"/>
      <c r="UP34" s="92"/>
      <c r="UQ34" s="92"/>
      <c r="UR34" s="92"/>
      <c r="US34" s="92"/>
      <c r="UT34" s="92"/>
      <c r="UU34" s="92"/>
      <c r="UV34" s="92"/>
      <c r="UW34" s="92"/>
      <c r="UX34" s="92"/>
      <c r="UY34" s="92"/>
      <c r="UZ34" s="92"/>
      <c r="VA34" s="92"/>
      <c r="VB34" s="92"/>
      <c r="VC34" s="92"/>
      <c r="VD34" s="92"/>
      <c r="VE34" s="92"/>
      <c r="VF34" s="92"/>
      <c r="VG34" s="92"/>
      <c r="VH34" s="92"/>
      <c r="VI34" s="92"/>
      <c r="VJ34" s="92"/>
      <c r="VK34" s="92"/>
      <c r="VL34" s="92"/>
      <c r="VM34" s="92"/>
      <c r="VN34" s="92"/>
      <c r="VO34" s="92"/>
      <c r="VP34" s="92"/>
      <c r="VQ34" s="92"/>
      <c r="VR34" s="92"/>
      <c r="VS34" s="92"/>
      <c r="VT34" s="92"/>
      <c r="VU34" s="92"/>
      <c r="VV34" s="100"/>
      <c r="VW34" s="100"/>
      <c r="VX34" s="100"/>
      <c r="VY34" s="100"/>
      <c r="VZ34" s="100"/>
      <c r="WA34" s="100"/>
      <c r="WB34" s="100"/>
      <c r="WC34" s="100"/>
      <c r="WD34" s="100"/>
      <c r="WE34" s="100"/>
      <c r="WF34" s="100"/>
      <c r="WG34" s="100"/>
      <c r="WH34" s="100"/>
      <c r="WI34" s="100"/>
      <c r="WJ34" s="101"/>
      <c r="WK34" s="101"/>
      <c r="WL34" s="101"/>
      <c r="WM34" s="101"/>
      <c r="WN34" s="101"/>
      <c r="WO34" s="101"/>
      <c r="WP34" s="102"/>
      <c r="WQ34" s="102"/>
      <c r="WR34" s="102"/>
      <c r="WS34" s="102"/>
      <c r="WT34" s="102"/>
      <c r="WU34" s="102"/>
      <c r="WV34" s="102"/>
      <c r="WW34" s="102"/>
      <c r="WX34" s="102"/>
      <c r="WY34" s="102"/>
      <c r="WZ34" s="102"/>
      <c r="XA34" s="102"/>
      <c r="XB34" s="102"/>
      <c r="XC34" s="102"/>
      <c r="XD34" s="102"/>
      <c r="XE34" s="102"/>
      <c r="XF34" s="102"/>
      <c r="XG34" s="102"/>
      <c r="XH34" s="102"/>
      <c r="XI34" s="102"/>
      <c r="XJ34" s="102"/>
      <c r="XK34" s="102"/>
      <c r="XL34" s="102"/>
      <c r="XM34" s="102"/>
      <c r="XN34" s="102"/>
      <c r="XO34" s="102"/>
      <c r="XP34" s="102"/>
      <c r="XQ34" s="102"/>
      <c r="XR34" s="102"/>
      <c r="XS34" s="102"/>
      <c r="XT34" s="92"/>
      <c r="XU34" s="92"/>
      <c r="XV34" s="92"/>
      <c r="XW34" s="92"/>
      <c r="XX34" s="92"/>
      <c r="XY34" s="92"/>
      <c r="XZ34" s="92"/>
      <c r="YA34" s="92"/>
      <c r="YB34" s="92"/>
      <c r="YC34" s="92"/>
      <c r="YD34" s="92"/>
      <c r="YE34" s="99"/>
      <c r="YF34" s="99"/>
      <c r="YG34" s="99"/>
      <c r="YH34" s="99"/>
      <c r="YI34" s="92"/>
      <c r="YJ34" s="92"/>
      <c r="YK34" s="92"/>
      <c r="YL34" s="92"/>
      <c r="YM34" s="92"/>
      <c r="YN34" s="92"/>
      <c r="YO34" s="92"/>
      <c r="YP34" s="92"/>
      <c r="YQ34" s="100"/>
      <c r="YR34" s="100"/>
      <c r="YS34" s="100"/>
      <c r="YT34" s="100"/>
      <c r="YU34" s="92"/>
      <c r="YV34" s="92"/>
      <c r="YW34" s="92"/>
      <c r="YX34" s="92"/>
      <c r="YY34" s="92"/>
      <c r="YZ34" s="92"/>
      <c r="ZA34" s="92"/>
      <c r="ZB34" s="92"/>
      <c r="ZC34" s="92"/>
      <c r="ZD34" s="92"/>
      <c r="ZE34" s="92"/>
      <c r="ZF34" s="92"/>
      <c r="ZG34" s="92"/>
      <c r="ZH34" s="92"/>
      <c r="ZI34" s="92"/>
      <c r="ZJ34" s="100"/>
      <c r="ZK34" s="100"/>
      <c r="ZL34" s="100"/>
      <c r="ZM34" s="100"/>
      <c r="ZN34" s="100"/>
      <c r="ZO34" s="100"/>
      <c r="ZP34" s="100"/>
      <c r="ZQ34" s="100"/>
      <c r="ZR34" s="100"/>
      <c r="ZS34" s="100"/>
      <c r="ZT34" s="100"/>
      <c r="ZU34" s="100"/>
      <c r="ZV34" s="100"/>
      <c r="ZW34" s="100"/>
      <c r="ZX34" s="100"/>
      <c r="ZY34" s="100"/>
      <c r="ZZ34" s="92"/>
      <c r="AAA34" s="92"/>
      <c r="AAB34" s="92"/>
      <c r="AAC34" s="92"/>
      <c r="AAD34" s="92"/>
      <c r="AAE34" s="92"/>
      <c r="AAF34" s="92"/>
      <c r="AAG34" s="92"/>
      <c r="AAH34" s="92"/>
      <c r="AAI34" s="92"/>
      <c r="AAJ34" s="92"/>
      <c r="AAK34" s="92"/>
      <c r="AAL34" s="92"/>
      <c r="AAM34" s="92"/>
      <c r="AAN34" s="100"/>
      <c r="AAO34" s="100"/>
      <c r="AAP34" s="100"/>
      <c r="AAQ34" s="100"/>
      <c r="AAR34" s="100"/>
      <c r="AAS34" s="100"/>
      <c r="AAT34" s="100"/>
      <c r="AAU34" s="100"/>
      <c r="AAV34" s="100"/>
      <c r="AAW34" s="100"/>
      <c r="AAX34" s="100"/>
      <c r="AAY34" s="100"/>
      <c r="AAZ34" s="100"/>
      <c r="ABA34" s="100"/>
      <c r="ABB34" s="100"/>
      <c r="ABC34" s="100"/>
      <c r="ABD34" s="92"/>
      <c r="ABE34" s="92"/>
      <c r="ABF34" s="92"/>
      <c r="ABG34" s="92"/>
      <c r="ABH34" s="92"/>
      <c r="ABI34" s="92"/>
      <c r="ABJ34" s="92"/>
      <c r="ABK34" s="92"/>
      <c r="ABL34" s="92"/>
      <c r="ABM34" s="92"/>
      <c r="ABN34" s="92"/>
      <c r="ABO34" s="92"/>
      <c r="ABP34" s="92"/>
      <c r="ABQ34" s="103"/>
      <c r="ABR34" s="92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</row>
    <row r="35" spans="1:1822" s="37" customFormat="1" x14ac:dyDescent="0.3">
      <c r="A35" s="19"/>
      <c r="B35" s="2"/>
      <c r="C35" s="107"/>
      <c r="D35" s="108"/>
      <c r="E35" s="79"/>
      <c r="F35" s="79"/>
      <c r="G35" s="79"/>
      <c r="H35" s="79"/>
      <c r="I35" s="79"/>
      <c r="J35" s="79"/>
      <c r="K35" s="60"/>
      <c r="L35" s="60"/>
      <c r="M35" s="60"/>
      <c r="N35" s="79"/>
      <c r="O35" s="79"/>
      <c r="P35" s="106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8"/>
      <c r="BR35" s="98"/>
      <c r="BS35" s="98"/>
      <c r="BT35" s="98"/>
      <c r="BU35" s="98"/>
      <c r="BV35" s="98"/>
      <c r="BW35" s="98"/>
      <c r="BX35" s="98"/>
      <c r="BY35" s="99"/>
      <c r="BZ35" s="99"/>
      <c r="CA35" s="99"/>
      <c r="CB35" s="99"/>
      <c r="CC35" s="99"/>
      <c r="CD35" s="99"/>
      <c r="CE35" s="99"/>
      <c r="CF35" s="99"/>
      <c r="CG35" s="99"/>
      <c r="CH35" s="92"/>
      <c r="CI35" s="92"/>
      <c r="CJ35" s="92"/>
      <c r="CK35" s="92"/>
      <c r="CL35" s="92"/>
      <c r="CM35" s="92"/>
      <c r="CN35" s="92"/>
      <c r="CO35" s="92"/>
      <c r="CP35" s="92"/>
      <c r="CQ35" s="92"/>
      <c r="CR35" s="92"/>
      <c r="CS35" s="92"/>
      <c r="CT35" s="92"/>
      <c r="CU35" s="92"/>
      <c r="CV35" s="92"/>
      <c r="CW35" s="92"/>
      <c r="CX35" s="92"/>
      <c r="CY35" s="92"/>
      <c r="CZ35" s="92"/>
      <c r="DA35" s="92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92"/>
      <c r="DT35" s="92"/>
      <c r="DU35" s="92"/>
      <c r="DV35" s="92"/>
      <c r="DW35" s="92"/>
      <c r="DX35" s="92"/>
      <c r="DY35" s="92"/>
      <c r="DZ35" s="92"/>
      <c r="EA35" s="92"/>
      <c r="EB35" s="92"/>
      <c r="EC35" s="92"/>
      <c r="ED35" s="92"/>
      <c r="EE35" s="92"/>
      <c r="EF35" s="92"/>
      <c r="EG35" s="92"/>
      <c r="EH35" s="92"/>
      <c r="EI35" s="92"/>
      <c r="EJ35" s="92"/>
      <c r="EK35" s="92"/>
      <c r="EL35" s="92"/>
      <c r="EM35" s="92"/>
      <c r="EN35" s="92"/>
      <c r="EO35" s="92"/>
      <c r="EP35" s="92"/>
      <c r="EQ35" s="92"/>
      <c r="ER35" s="92"/>
      <c r="ES35" s="92"/>
      <c r="ET35" s="92"/>
      <c r="EU35" s="92"/>
      <c r="EV35" s="92"/>
      <c r="EW35" s="92"/>
      <c r="EX35" s="92"/>
      <c r="EY35" s="92"/>
      <c r="EZ35" s="92"/>
      <c r="FA35" s="92"/>
      <c r="FB35" s="92"/>
      <c r="FC35" s="92"/>
      <c r="FD35" s="92"/>
      <c r="FE35" s="92"/>
      <c r="FF35" s="92"/>
      <c r="FG35" s="92"/>
      <c r="FH35" s="92"/>
      <c r="FI35" s="92"/>
      <c r="FJ35" s="92"/>
      <c r="FK35" s="92"/>
      <c r="FL35" s="92"/>
      <c r="FM35" s="92"/>
      <c r="FN35" s="92"/>
      <c r="FO35" s="92"/>
      <c r="FP35" s="92"/>
      <c r="FQ35" s="92"/>
      <c r="FR35" s="92"/>
      <c r="FS35" s="92"/>
      <c r="FT35" s="92"/>
      <c r="FU35" s="92"/>
      <c r="FV35" s="92"/>
      <c r="FW35" s="92"/>
      <c r="FX35" s="92"/>
      <c r="FY35" s="92"/>
      <c r="FZ35" s="92"/>
      <c r="GA35" s="92"/>
      <c r="GB35" s="92"/>
      <c r="GC35" s="92"/>
      <c r="GD35" s="92"/>
      <c r="GE35" s="92"/>
      <c r="GF35" s="92"/>
      <c r="GG35" s="92"/>
      <c r="GH35" s="92"/>
      <c r="GI35" s="92"/>
      <c r="GJ35" s="92"/>
      <c r="GK35" s="92"/>
      <c r="GL35" s="92"/>
      <c r="GM35" s="92"/>
      <c r="GN35" s="92"/>
      <c r="GO35" s="92"/>
      <c r="GP35" s="92"/>
      <c r="GQ35" s="92"/>
      <c r="GR35" s="92"/>
      <c r="GS35" s="92"/>
      <c r="GT35" s="92"/>
      <c r="GU35" s="92"/>
      <c r="GV35" s="92"/>
      <c r="GW35" s="92"/>
      <c r="GX35" s="92"/>
      <c r="GY35" s="92"/>
      <c r="GZ35" s="92"/>
      <c r="HA35" s="92"/>
      <c r="HB35" s="92"/>
      <c r="HC35" s="92"/>
      <c r="HD35" s="92"/>
      <c r="HE35" s="92"/>
      <c r="HF35" s="92"/>
      <c r="HG35" s="92"/>
      <c r="HH35" s="92"/>
      <c r="HI35" s="92"/>
      <c r="HJ35" s="92"/>
      <c r="HK35" s="92"/>
      <c r="HL35" s="92"/>
      <c r="HM35" s="92"/>
      <c r="HN35" s="92"/>
      <c r="HO35" s="92"/>
      <c r="HP35" s="92"/>
      <c r="HQ35" s="92"/>
      <c r="HR35" s="92"/>
      <c r="HS35" s="92"/>
      <c r="HT35" s="92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1"/>
      <c r="IJ35" s="101"/>
      <c r="IK35" s="101"/>
      <c r="IL35" s="101"/>
      <c r="IM35" s="101"/>
      <c r="IN35" s="101"/>
      <c r="IO35" s="101"/>
      <c r="IP35" s="101"/>
      <c r="IQ35" s="101"/>
      <c r="IR35" s="101"/>
      <c r="IS35" s="101"/>
      <c r="IT35" s="101"/>
      <c r="IU35" s="101"/>
      <c r="IV35" s="101"/>
      <c r="IW35" s="101"/>
      <c r="IX35" s="101"/>
      <c r="IY35" s="101"/>
      <c r="IZ35" s="101"/>
      <c r="JA35" s="101"/>
      <c r="JB35" s="101"/>
      <c r="JC35" s="101"/>
      <c r="JD35" s="101"/>
      <c r="JE35" s="101"/>
      <c r="JF35" s="101"/>
      <c r="JG35" s="101"/>
      <c r="JH35" s="101"/>
      <c r="JI35" s="101"/>
      <c r="JJ35" s="92"/>
      <c r="JK35" s="92"/>
      <c r="JL35" s="92"/>
      <c r="JM35" s="92"/>
      <c r="JN35" s="92"/>
      <c r="JO35" s="92"/>
      <c r="JP35" s="92"/>
      <c r="JQ35" s="92"/>
      <c r="JR35" s="92"/>
      <c r="JS35" s="92"/>
      <c r="JT35" s="92"/>
      <c r="JU35" s="92"/>
      <c r="JV35" s="92"/>
      <c r="JW35" s="92"/>
      <c r="JX35" s="92"/>
      <c r="JY35" s="92"/>
      <c r="JZ35" s="92"/>
      <c r="KA35" s="92"/>
      <c r="KB35" s="92"/>
      <c r="KC35" s="92"/>
      <c r="KD35" s="99"/>
      <c r="KE35" s="99"/>
      <c r="KF35" s="99"/>
      <c r="KG35" s="99"/>
      <c r="KH35" s="92"/>
      <c r="KI35" s="92"/>
      <c r="KJ35" s="92"/>
      <c r="KK35" s="92"/>
      <c r="KL35" s="92"/>
      <c r="KM35" s="92"/>
      <c r="KN35" s="92"/>
      <c r="KO35" s="92"/>
      <c r="KP35" s="100"/>
      <c r="KQ35" s="100"/>
      <c r="KR35" s="100"/>
      <c r="KS35" s="100"/>
      <c r="KT35" s="92"/>
      <c r="KU35" s="92"/>
      <c r="KV35" s="92"/>
      <c r="KW35" s="92"/>
      <c r="KX35" s="92"/>
      <c r="KY35" s="92"/>
      <c r="KZ35" s="92"/>
      <c r="LA35" s="92"/>
      <c r="LB35" s="92"/>
      <c r="LC35" s="92"/>
      <c r="LD35" s="92"/>
      <c r="LE35" s="92"/>
      <c r="LF35" s="92"/>
      <c r="LG35" s="92"/>
      <c r="LH35" s="92"/>
      <c r="LI35" s="100"/>
      <c r="LJ35" s="100"/>
      <c r="LK35" s="59"/>
      <c r="LL35" s="59"/>
      <c r="LM35" s="59"/>
      <c r="LN35" s="59"/>
      <c r="LO35" s="59"/>
      <c r="LP35" s="59"/>
      <c r="LQ35" s="60"/>
      <c r="LR35" s="60"/>
      <c r="LS35" s="60"/>
      <c r="LT35" s="60"/>
      <c r="LU35" s="60"/>
      <c r="LV35" s="60"/>
      <c r="LW35" s="60"/>
      <c r="LX35" s="60"/>
      <c r="LY35" s="60"/>
      <c r="LZ35" s="60"/>
      <c r="MA35" s="60"/>
      <c r="MB35" s="60"/>
      <c r="MC35" s="60"/>
      <c r="MD35" s="60"/>
      <c r="ME35" s="60"/>
      <c r="MF35" s="60"/>
      <c r="MG35" s="60"/>
      <c r="MH35" s="92"/>
      <c r="MI35" s="92"/>
      <c r="MJ35" s="92"/>
      <c r="MK35" s="92"/>
      <c r="ML35" s="92"/>
      <c r="MM35" s="100"/>
      <c r="MN35" s="100"/>
      <c r="MO35" s="100"/>
      <c r="MP35" s="100"/>
      <c r="MQ35" s="100"/>
      <c r="MR35" s="100"/>
      <c r="MS35" s="100"/>
      <c r="MT35" s="100"/>
      <c r="MU35" s="100"/>
      <c r="MV35" s="100"/>
      <c r="MW35" s="100"/>
      <c r="MX35" s="100"/>
      <c r="MY35" s="100"/>
      <c r="MZ35" s="100"/>
      <c r="NA35" s="100"/>
      <c r="NB35" s="100"/>
      <c r="NC35" s="92"/>
      <c r="ND35" s="92"/>
      <c r="NE35" s="92"/>
      <c r="NF35" s="92"/>
      <c r="NG35" s="92"/>
      <c r="NH35" s="92"/>
      <c r="NI35" s="92"/>
      <c r="NJ35" s="92"/>
      <c r="NK35" s="92"/>
      <c r="NL35" s="92"/>
      <c r="NM35" s="92"/>
      <c r="NN35" s="92"/>
      <c r="NO35" s="92"/>
      <c r="NP35" s="92"/>
      <c r="NQ35" s="92"/>
      <c r="NR35" s="100"/>
      <c r="NS35" s="100"/>
      <c r="NT35" s="100"/>
      <c r="NU35" s="100"/>
      <c r="NV35" s="100"/>
      <c r="NW35" s="100"/>
      <c r="NX35" s="100"/>
      <c r="NY35" s="100"/>
      <c r="NZ35" s="100"/>
      <c r="OA35" s="100"/>
      <c r="OB35" s="100"/>
      <c r="OC35" s="100"/>
      <c r="OD35" s="100"/>
      <c r="OE35" s="100"/>
      <c r="OF35" s="100"/>
      <c r="OG35" s="100"/>
      <c r="OH35" s="92"/>
      <c r="OI35" s="92"/>
      <c r="OJ35" s="92"/>
      <c r="OK35" s="92"/>
      <c r="OL35" s="92"/>
      <c r="OM35" s="92"/>
      <c r="ON35" s="92"/>
      <c r="OO35" s="92"/>
      <c r="OP35" s="92"/>
      <c r="OQ35" s="92"/>
      <c r="OR35" s="92"/>
      <c r="OS35" s="92"/>
      <c r="OT35" s="92"/>
      <c r="OU35" s="92"/>
      <c r="OV35" s="92"/>
      <c r="OW35" s="99"/>
      <c r="OX35" s="99"/>
      <c r="OY35" s="99"/>
      <c r="OZ35" s="99"/>
      <c r="PA35" s="99"/>
      <c r="PB35" s="100"/>
      <c r="PC35" s="100"/>
      <c r="PD35" s="100"/>
      <c r="PE35" s="100"/>
      <c r="PF35" s="100"/>
      <c r="PG35" s="100"/>
      <c r="PH35" s="99"/>
      <c r="PI35" s="99"/>
      <c r="PJ35" s="99"/>
      <c r="PK35" s="99"/>
      <c r="PL35" s="99"/>
      <c r="PM35" s="99"/>
      <c r="PN35" s="99"/>
      <c r="PO35" s="99"/>
      <c r="PP35" s="99"/>
      <c r="PQ35" s="99"/>
      <c r="PR35" s="99"/>
      <c r="PS35" s="99"/>
      <c r="PT35" s="99"/>
      <c r="PU35" s="99"/>
      <c r="PV35" s="99"/>
      <c r="PW35" s="99"/>
      <c r="PX35" s="99"/>
      <c r="PY35" s="99"/>
      <c r="PZ35" s="92"/>
      <c r="QA35" s="92"/>
      <c r="QB35" s="92"/>
      <c r="QC35" s="92"/>
      <c r="QD35" s="92"/>
      <c r="QE35" s="92"/>
      <c r="QF35" s="92"/>
      <c r="QG35" s="92"/>
      <c r="QH35" s="92"/>
      <c r="QI35" s="92"/>
      <c r="QJ35" s="92"/>
      <c r="QK35" s="92"/>
      <c r="QL35" s="92"/>
      <c r="QM35" s="92"/>
      <c r="QN35" s="92"/>
      <c r="QO35" s="92"/>
      <c r="QP35" s="92"/>
      <c r="QQ35" s="92"/>
      <c r="QR35" s="92"/>
      <c r="QS35" s="92"/>
      <c r="QT35" s="92"/>
      <c r="QU35" s="92"/>
      <c r="QV35" s="92"/>
      <c r="QW35" s="92"/>
      <c r="QX35" s="92"/>
      <c r="QY35" s="92"/>
      <c r="QZ35" s="92"/>
      <c r="RA35" s="92"/>
      <c r="RB35" s="92"/>
      <c r="RC35" s="92"/>
      <c r="RD35" s="92"/>
      <c r="RE35" s="92"/>
      <c r="RF35" s="92"/>
      <c r="RG35" s="92"/>
      <c r="RH35" s="92"/>
      <c r="RI35" s="92"/>
      <c r="RJ35" s="92"/>
      <c r="RK35" s="92"/>
      <c r="RL35" s="92"/>
      <c r="RM35" s="92"/>
      <c r="RN35" s="92"/>
      <c r="RO35" s="92"/>
      <c r="RP35" s="92"/>
      <c r="RQ35" s="92"/>
      <c r="RR35" s="92"/>
      <c r="RS35" s="92"/>
      <c r="RT35" s="92"/>
      <c r="RU35" s="92"/>
      <c r="RV35" s="92"/>
      <c r="RW35" s="92"/>
      <c r="RX35" s="92"/>
      <c r="RY35" s="92"/>
      <c r="RZ35" s="92"/>
      <c r="SA35" s="92"/>
      <c r="SB35" s="92"/>
      <c r="SC35" s="92"/>
      <c r="SD35" s="92"/>
      <c r="SE35" s="92"/>
      <c r="SF35" s="92"/>
      <c r="SG35" s="92"/>
      <c r="SH35" s="92"/>
      <c r="SI35" s="92"/>
      <c r="SJ35" s="92"/>
      <c r="SK35" s="92"/>
      <c r="SL35" s="92"/>
      <c r="SM35" s="92"/>
      <c r="SN35" s="92"/>
      <c r="SO35" s="92"/>
      <c r="SP35" s="92"/>
      <c r="SQ35" s="92"/>
      <c r="SR35" s="92"/>
      <c r="SS35" s="92"/>
      <c r="ST35" s="92"/>
      <c r="SU35" s="92"/>
      <c r="SV35" s="92"/>
      <c r="SW35" s="92"/>
      <c r="SX35" s="92"/>
      <c r="SY35" s="92"/>
      <c r="SZ35" s="92"/>
      <c r="TA35" s="92"/>
      <c r="TB35" s="92"/>
      <c r="TC35" s="92"/>
      <c r="TD35" s="92"/>
      <c r="TE35" s="92"/>
      <c r="TF35" s="92"/>
      <c r="TG35" s="92"/>
      <c r="TH35" s="92"/>
      <c r="TI35" s="92"/>
      <c r="TJ35" s="92"/>
      <c r="TK35" s="92"/>
      <c r="TL35" s="92"/>
      <c r="TM35" s="92"/>
      <c r="TN35" s="92"/>
      <c r="TO35" s="92"/>
      <c r="TP35" s="92"/>
      <c r="TQ35" s="92"/>
      <c r="TR35" s="92"/>
      <c r="TS35" s="92"/>
      <c r="TT35" s="92"/>
      <c r="TU35" s="92"/>
      <c r="TV35" s="92"/>
      <c r="TW35" s="92"/>
      <c r="TX35" s="92"/>
      <c r="TY35" s="92"/>
      <c r="TZ35" s="92"/>
      <c r="UA35" s="92"/>
      <c r="UB35" s="92"/>
      <c r="UC35" s="92"/>
      <c r="UD35" s="92"/>
      <c r="UE35" s="92"/>
      <c r="UF35" s="92"/>
      <c r="UG35" s="92"/>
      <c r="UH35" s="92"/>
      <c r="UI35" s="92"/>
      <c r="UJ35" s="92"/>
      <c r="UK35" s="92"/>
      <c r="UL35" s="92"/>
      <c r="UM35" s="92"/>
      <c r="UN35" s="92"/>
      <c r="UO35" s="92"/>
      <c r="UP35" s="92"/>
      <c r="UQ35" s="92"/>
      <c r="UR35" s="92"/>
      <c r="US35" s="92"/>
      <c r="UT35" s="92"/>
      <c r="UU35" s="92"/>
      <c r="UV35" s="92"/>
      <c r="UW35" s="92"/>
      <c r="UX35" s="92"/>
      <c r="UY35" s="92"/>
      <c r="UZ35" s="92"/>
      <c r="VA35" s="92"/>
      <c r="VB35" s="92"/>
      <c r="VC35" s="92"/>
      <c r="VD35" s="92"/>
      <c r="VE35" s="92"/>
      <c r="VF35" s="92"/>
      <c r="VG35" s="92"/>
      <c r="VH35" s="92"/>
      <c r="VI35" s="92"/>
      <c r="VJ35" s="92"/>
      <c r="VK35" s="92"/>
      <c r="VL35" s="92"/>
      <c r="VM35" s="92"/>
      <c r="VN35" s="92"/>
      <c r="VO35" s="92"/>
      <c r="VP35" s="92"/>
      <c r="VQ35" s="92"/>
      <c r="VR35" s="92"/>
      <c r="VS35" s="92"/>
      <c r="VT35" s="92"/>
      <c r="VU35" s="92"/>
      <c r="VV35" s="100"/>
      <c r="VW35" s="100"/>
      <c r="VX35" s="100"/>
      <c r="VY35" s="100"/>
      <c r="VZ35" s="100"/>
      <c r="WA35" s="100"/>
      <c r="WB35" s="100"/>
      <c r="WC35" s="100"/>
      <c r="WD35" s="100"/>
      <c r="WE35" s="100"/>
      <c r="WF35" s="100"/>
      <c r="WG35" s="100"/>
      <c r="WH35" s="100"/>
      <c r="WI35" s="100"/>
      <c r="WJ35" s="101"/>
      <c r="WK35" s="101"/>
      <c r="WL35" s="101"/>
      <c r="WM35" s="101"/>
      <c r="WN35" s="101"/>
      <c r="WO35" s="101"/>
      <c r="WP35" s="102"/>
      <c r="WQ35" s="102"/>
      <c r="WR35" s="102"/>
      <c r="WS35" s="102"/>
      <c r="WT35" s="102"/>
      <c r="WU35" s="102"/>
      <c r="WV35" s="102"/>
      <c r="WW35" s="102"/>
      <c r="WX35" s="102"/>
      <c r="WY35" s="102"/>
      <c r="WZ35" s="102"/>
      <c r="XA35" s="102"/>
      <c r="XB35" s="102"/>
      <c r="XC35" s="102"/>
      <c r="XD35" s="102"/>
      <c r="XE35" s="102"/>
      <c r="XF35" s="102"/>
      <c r="XG35" s="102"/>
      <c r="XH35" s="102"/>
      <c r="XI35" s="102"/>
      <c r="XJ35" s="102"/>
      <c r="XK35" s="102"/>
      <c r="XL35" s="102"/>
      <c r="XM35" s="102"/>
      <c r="XN35" s="102"/>
      <c r="XO35" s="102"/>
      <c r="XP35" s="102"/>
      <c r="XQ35" s="102"/>
      <c r="XR35" s="102"/>
      <c r="XS35" s="102"/>
      <c r="XT35" s="92"/>
      <c r="XU35" s="92"/>
      <c r="XV35" s="92"/>
      <c r="XW35" s="92"/>
      <c r="XX35" s="92"/>
      <c r="XY35" s="92"/>
      <c r="XZ35" s="92"/>
      <c r="YA35" s="92"/>
      <c r="YB35" s="92"/>
      <c r="YC35" s="92"/>
      <c r="YD35" s="92"/>
      <c r="YE35" s="99"/>
      <c r="YF35" s="99"/>
      <c r="YG35" s="99"/>
      <c r="YH35" s="99"/>
      <c r="YI35" s="92"/>
      <c r="YJ35" s="92"/>
      <c r="YK35" s="92"/>
      <c r="YL35" s="92"/>
      <c r="YM35" s="92"/>
      <c r="YN35" s="92"/>
      <c r="YO35" s="92"/>
      <c r="YP35" s="92"/>
      <c r="YQ35" s="100"/>
      <c r="YR35" s="100"/>
      <c r="YS35" s="100"/>
      <c r="YT35" s="100"/>
      <c r="YU35" s="92"/>
      <c r="YV35" s="92"/>
      <c r="YW35" s="92"/>
      <c r="YX35" s="92"/>
      <c r="YY35" s="92"/>
      <c r="YZ35" s="92"/>
      <c r="ZA35" s="92"/>
      <c r="ZB35" s="92"/>
      <c r="ZC35" s="92"/>
      <c r="ZD35" s="92"/>
      <c r="ZE35" s="92"/>
      <c r="ZF35" s="92"/>
      <c r="ZG35" s="92"/>
      <c r="ZH35" s="92"/>
      <c r="ZI35" s="92"/>
      <c r="ZJ35" s="100"/>
      <c r="ZK35" s="100"/>
      <c r="ZL35" s="100"/>
      <c r="ZM35" s="100"/>
      <c r="ZN35" s="100"/>
      <c r="ZO35" s="100"/>
      <c r="ZP35" s="100"/>
      <c r="ZQ35" s="100"/>
      <c r="ZR35" s="100"/>
      <c r="ZS35" s="100"/>
      <c r="ZT35" s="100"/>
      <c r="ZU35" s="100"/>
      <c r="ZV35" s="100"/>
      <c r="ZW35" s="100"/>
      <c r="ZX35" s="100"/>
      <c r="ZY35" s="100"/>
      <c r="ZZ35" s="92"/>
      <c r="AAA35" s="92"/>
      <c r="AAB35" s="92"/>
      <c r="AAC35" s="92"/>
      <c r="AAD35" s="92"/>
      <c r="AAE35" s="92"/>
      <c r="AAF35" s="92"/>
      <c r="AAG35" s="92"/>
      <c r="AAH35" s="92"/>
      <c r="AAI35" s="92"/>
      <c r="AAJ35" s="92"/>
      <c r="AAK35" s="92"/>
      <c r="AAL35" s="92"/>
      <c r="AAM35" s="92"/>
      <c r="AAN35" s="100"/>
      <c r="AAO35" s="100"/>
      <c r="AAP35" s="100"/>
      <c r="AAQ35" s="100"/>
      <c r="AAR35" s="100"/>
      <c r="AAS35" s="100"/>
      <c r="AAT35" s="100"/>
      <c r="AAU35" s="100"/>
      <c r="AAV35" s="100"/>
      <c r="AAW35" s="100"/>
      <c r="AAX35" s="100"/>
      <c r="AAY35" s="100"/>
      <c r="AAZ35" s="100"/>
      <c r="ABA35" s="100"/>
      <c r="ABB35" s="100"/>
      <c r="ABC35" s="100"/>
      <c r="ABD35" s="92"/>
      <c r="ABE35" s="92"/>
      <c r="ABF35" s="92"/>
      <c r="ABG35" s="92"/>
      <c r="ABH35" s="92"/>
      <c r="ABI35" s="92"/>
      <c r="ABJ35" s="92"/>
      <c r="ABK35" s="92"/>
      <c r="ABL35" s="92"/>
      <c r="ABM35" s="92"/>
      <c r="ABN35" s="92"/>
      <c r="ABO35" s="92"/>
      <c r="ABP35" s="92"/>
      <c r="ABQ35" s="103"/>
      <c r="ABR35" s="92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</row>
    <row r="36" spans="1:1822" s="37" customFormat="1" x14ac:dyDescent="0.3">
      <c r="A36" s="19"/>
      <c r="B36" s="2"/>
      <c r="C36" s="109"/>
      <c r="D36" s="105"/>
      <c r="E36" s="79"/>
      <c r="F36" s="95"/>
      <c r="G36" s="79"/>
      <c r="H36" s="59"/>
      <c r="I36" s="59"/>
      <c r="J36" s="59"/>
      <c r="K36" s="60"/>
      <c r="L36" s="60"/>
      <c r="M36" s="60"/>
      <c r="N36" s="101"/>
      <c r="O36" s="101"/>
      <c r="P36" s="106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92"/>
      <c r="HV36" s="92"/>
      <c r="HW36" s="92"/>
      <c r="HX36" s="92"/>
      <c r="HY36" s="92"/>
      <c r="HZ36" s="92"/>
      <c r="IA36" s="92"/>
      <c r="IB36" s="92"/>
      <c r="IC36" s="92"/>
      <c r="ID36" s="92"/>
      <c r="IE36" s="92"/>
      <c r="IF36" s="92"/>
      <c r="IG36" s="92"/>
      <c r="IH36" s="92"/>
      <c r="II36" s="92"/>
      <c r="IJ36" s="92"/>
      <c r="IK36" s="92"/>
      <c r="IL36" s="92"/>
      <c r="IM36" s="92"/>
      <c r="IN36" s="92"/>
      <c r="IO36" s="92"/>
      <c r="IP36" s="92"/>
      <c r="IQ36" s="92"/>
      <c r="IR36" s="92"/>
      <c r="IS36" s="92"/>
      <c r="IT36" s="92"/>
      <c r="IU36" s="92"/>
      <c r="IV36" s="92"/>
      <c r="IW36" s="92"/>
      <c r="IX36" s="92"/>
      <c r="IY36" s="92"/>
      <c r="IZ36" s="92"/>
      <c r="JA36" s="92"/>
      <c r="JB36" s="92"/>
      <c r="JC36" s="92"/>
      <c r="JD36" s="92"/>
      <c r="JE36" s="92"/>
      <c r="JF36" s="92"/>
      <c r="JG36" s="92"/>
      <c r="JH36" s="92"/>
      <c r="JI36" s="92"/>
      <c r="JJ36" s="92"/>
      <c r="JK36" s="92"/>
      <c r="JL36" s="92"/>
      <c r="JM36" s="92"/>
      <c r="JN36" s="92"/>
      <c r="JO36" s="92"/>
      <c r="JP36" s="92"/>
      <c r="JQ36" s="92"/>
      <c r="JR36" s="92"/>
      <c r="JS36" s="92"/>
      <c r="JT36" s="92"/>
      <c r="JU36" s="92"/>
      <c r="JV36" s="92"/>
      <c r="JW36" s="92"/>
      <c r="JX36" s="92"/>
      <c r="JY36" s="92"/>
      <c r="JZ36" s="92"/>
      <c r="KA36" s="92"/>
      <c r="KB36" s="92"/>
      <c r="KC36" s="92"/>
      <c r="KD36" s="92"/>
      <c r="KE36" s="92"/>
      <c r="KF36" s="92"/>
      <c r="KG36" s="92"/>
      <c r="KH36" s="92"/>
      <c r="KI36" s="92"/>
      <c r="KJ36" s="92"/>
      <c r="KK36" s="92"/>
      <c r="KL36" s="92"/>
      <c r="KM36" s="92"/>
      <c r="KN36" s="92"/>
      <c r="KO36" s="92"/>
      <c r="KP36" s="92"/>
      <c r="KQ36" s="92"/>
      <c r="KR36" s="92"/>
      <c r="KS36" s="92"/>
      <c r="KT36" s="92"/>
      <c r="KU36" s="92"/>
      <c r="KV36" s="92"/>
      <c r="KW36" s="92"/>
      <c r="KX36" s="92"/>
      <c r="KY36" s="92"/>
      <c r="KZ36" s="92"/>
      <c r="LA36" s="92"/>
      <c r="LB36" s="92"/>
      <c r="LC36" s="92"/>
      <c r="LD36" s="92"/>
      <c r="LE36" s="92"/>
      <c r="LF36" s="92"/>
      <c r="LG36" s="92"/>
      <c r="LH36" s="92"/>
      <c r="LI36" s="92"/>
      <c r="LJ36" s="92"/>
      <c r="LK36" s="92"/>
      <c r="LL36" s="92"/>
      <c r="LM36" s="92"/>
      <c r="LN36" s="92"/>
      <c r="LO36" s="92"/>
      <c r="LP36" s="92"/>
      <c r="LQ36" s="92"/>
      <c r="LR36" s="92"/>
      <c r="LS36" s="92"/>
      <c r="LT36" s="92"/>
      <c r="LU36" s="92"/>
      <c r="LV36" s="92"/>
      <c r="LW36" s="92"/>
      <c r="LX36" s="92"/>
      <c r="LY36" s="92"/>
      <c r="LZ36" s="92"/>
      <c r="MA36" s="92"/>
      <c r="MB36" s="92"/>
      <c r="MC36" s="92"/>
      <c r="MD36" s="92"/>
      <c r="ME36" s="92"/>
      <c r="MF36" s="92"/>
      <c r="MG36" s="92"/>
      <c r="MH36" s="92"/>
      <c r="MI36" s="92"/>
      <c r="MJ36" s="92"/>
      <c r="MK36" s="92"/>
      <c r="ML36" s="92"/>
      <c r="MM36" s="92"/>
      <c r="MN36" s="92"/>
      <c r="MO36" s="92"/>
      <c r="MP36" s="92"/>
      <c r="MQ36" s="92"/>
      <c r="MR36" s="92"/>
      <c r="MS36" s="92"/>
      <c r="MT36" s="92"/>
      <c r="MU36" s="92"/>
      <c r="MV36" s="92"/>
      <c r="MW36" s="92"/>
      <c r="MX36" s="92"/>
      <c r="MY36" s="92"/>
      <c r="MZ36" s="92"/>
      <c r="NA36" s="92"/>
      <c r="NB36" s="92"/>
      <c r="NC36" s="92"/>
      <c r="ND36" s="92"/>
      <c r="NE36" s="92"/>
      <c r="NF36" s="92"/>
      <c r="NG36" s="92"/>
      <c r="NH36" s="92"/>
      <c r="NI36" s="92"/>
      <c r="NJ36" s="92"/>
      <c r="NK36" s="92"/>
      <c r="NL36" s="92"/>
      <c r="NM36" s="92"/>
      <c r="NN36" s="92"/>
      <c r="NO36" s="92"/>
      <c r="NP36" s="92"/>
      <c r="NQ36" s="92"/>
      <c r="NR36" s="92"/>
      <c r="NS36" s="92"/>
      <c r="NT36" s="92"/>
      <c r="NU36" s="92"/>
      <c r="NV36" s="92"/>
      <c r="NW36" s="92"/>
      <c r="NX36" s="92"/>
      <c r="NY36" s="92"/>
      <c r="NZ36" s="92"/>
      <c r="OA36" s="92"/>
      <c r="OB36" s="92"/>
      <c r="OC36" s="92"/>
      <c r="OD36" s="92"/>
      <c r="OE36" s="92"/>
      <c r="OF36" s="92"/>
      <c r="OG36" s="92"/>
      <c r="OH36" s="92"/>
      <c r="OI36" s="92"/>
      <c r="OJ36" s="92"/>
      <c r="OK36" s="92"/>
      <c r="OL36" s="92"/>
      <c r="OM36" s="92"/>
      <c r="ON36" s="92"/>
      <c r="OO36" s="92"/>
      <c r="OP36" s="92"/>
      <c r="OQ36" s="92"/>
      <c r="OR36" s="92"/>
      <c r="OS36" s="92"/>
      <c r="OT36" s="92"/>
      <c r="OU36" s="92"/>
      <c r="OV36" s="92"/>
      <c r="OW36" s="92"/>
      <c r="OX36" s="92"/>
      <c r="OY36" s="92"/>
      <c r="OZ36" s="92"/>
      <c r="PA36" s="92"/>
      <c r="PB36" s="92"/>
      <c r="PC36" s="92"/>
      <c r="PD36" s="92"/>
      <c r="PE36" s="92"/>
      <c r="PF36" s="92"/>
      <c r="PG36" s="92"/>
      <c r="PH36" s="92"/>
      <c r="PI36" s="92"/>
      <c r="PJ36" s="92"/>
      <c r="PK36" s="92"/>
      <c r="PL36" s="92"/>
      <c r="PM36" s="92"/>
      <c r="PN36" s="92"/>
      <c r="PO36" s="92"/>
      <c r="PP36" s="92"/>
      <c r="PQ36" s="92"/>
      <c r="PR36" s="92"/>
      <c r="PS36" s="92"/>
      <c r="PT36" s="92"/>
      <c r="PU36" s="92"/>
      <c r="PV36" s="92"/>
      <c r="PW36" s="92"/>
      <c r="PX36" s="92"/>
      <c r="PY36" s="92"/>
      <c r="PZ36" s="92"/>
      <c r="QA36" s="92"/>
      <c r="QB36" s="92"/>
      <c r="QC36" s="92"/>
      <c r="QD36" s="92"/>
      <c r="QE36" s="92"/>
      <c r="QF36" s="92"/>
      <c r="QG36" s="92"/>
      <c r="QH36" s="92"/>
      <c r="QI36" s="92"/>
      <c r="QJ36" s="92"/>
      <c r="QK36" s="92"/>
      <c r="QL36" s="92"/>
      <c r="QM36" s="92"/>
      <c r="QN36" s="92"/>
      <c r="QO36" s="92"/>
      <c r="QP36" s="92"/>
      <c r="QQ36" s="92"/>
      <c r="QR36" s="92"/>
      <c r="QS36" s="92"/>
      <c r="QT36" s="92"/>
      <c r="QU36" s="92"/>
      <c r="QV36" s="92"/>
      <c r="QW36" s="92"/>
      <c r="QX36" s="92"/>
      <c r="QY36" s="92"/>
      <c r="QZ36" s="92"/>
      <c r="RA36" s="92"/>
      <c r="RB36" s="92"/>
      <c r="RC36" s="92"/>
      <c r="RD36" s="92"/>
      <c r="RE36" s="92"/>
      <c r="RF36" s="92"/>
      <c r="RG36" s="92"/>
      <c r="RH36" s="92"/>
      <c r="RI36" s="92"/>
      <c r="RJ36" s="92"/>
      <c r="RK36" s="92"/>
      <c r="RL36" s="92"/>
      <c r="RM36" s="92"/>
      <c r="RN36" s="92"/>
      <c r="RO36" s="92"/>
      <c r="RP36" s="92"/>
      <c r="RQ36" s="92"/>
      <c r="RR36" s="92"/>
      <c r="RS36" s="92"/>
      <c r="RT36" s="92"/>
      <c r="RU36" s="92"/>
      <c r="RV36" s="92"/>
      <c r="RW36" s="92"/>
      <c r="RX36" s="92"/>
      <c r="RY36" s="92"/>
      <c r="RZ36" s="92"/>
      <c r="SA36" s="92"/>
      <c r="SB36" s="92"/>
      <c r="SC36" s="92"/>
      <c r="SD36" s="92"/>
      <c r="SE36" s="92"/>
      <c r="SF36" s="92"/>
      <c r="SG36" s="92"/>
      <c r="SH36" s="92"/>
      <c r="SI36" s="92"/>
      <c r="SJ36" s="92"/>
      <c r="SK36" s="92"/>
      <c r="SL36" s="92"/>
      <c r="SM36" s="92"/>
      <c r="SN36" s="92"/>
      <c r="SO36" s="92"/>
      <c r="SP36" s="92"/>
      <c r="SQ36" s="92"/>
      <c r="SR36" s="92"/>
      <c r="SS36" s="92"/>
      <c r="ST36" s="92"/>
      <c r="SU36" s="92"/>
      <c r="SV36" s="92"/>
      <c r="SW36" s="92"/>
      <c r="SX36" s="92"/>
      <c r="SY36" s="92"/>
      <c r="SZ36" s="92"/>
      <c r="TA36" s="92"/>
      <c r="TB36" s="92"/>
      <c r="TC36" s="92"/>
      <c r="TD36" s="92"/>
      <c r="TE36" s="92"/>
      <c r="TF36" s="92"/>
      <c r="TG36" s="92"/>
      <c r="TH36" s="92"/>
      <c r="TI36" s="92"/>
      <c r="TJ36" s="92"/>
      <c r="TK36" s="92"/>
      <c r="TL36" s="92"/>
      <c r="TM36" s="92"/>
      <c r="TN36" s="92"/>
      <c r="TO36" s="92"/>
      <c r="TP36" s="92"/>
      <c r="TQ36" s="92"/>
      <c r="TR36" s="92"/>
      <c r="TS36" s="92"/>
      <c r="TT36" s="92"/>
      <c r="TU36" s="92"/>
      <c r="TV36" s="92"/>
      <c r="TW36" s="92"/>
      <c r="TX36" s="92"/>
      <c r="TY36" s="92"/>
      <c r="TZ36" s="92"/>
      <c r="UA36" s="92"/>
      <c r="UB36" s="92"/>
      <c r="UC36" s="92"/>
      <c r="UD36" s="92"/>
      <c r="UE36" s="92"/>
      <c r="UF36" s="92"/>
      <c r="UG36" s="92"/>
      <c r="UH36" s="92"/>
      <c r="UI36" s="92"/>
      <c r="UJ36" s="92"/>
      <c r="UK36" s="92"/>
      <c r="UL36" s="92"/>
      <c r="UM36" s="92"/>
      <c r="UN36" s="92"/>
      <c r="UO36" s="92"/>
      <c r="UP36" s="92"/>
      <c r="UQ36" s="92"/>
      <c r="UR36" s="92"/>
      <c r="US36" s="92"/>
      <c r="UT36" s="92"/>
      <c r="UU36" s="92"/>
      <c r="UV36" s="92"/>
      <c r="UW36" s="92"/>
      <c r="UX36" s="92"/>
      <c r="UY36" s="92"/>
      <c r="UZ36" s="92"/>
      <c r="VA36" s="92"/>
      <c r="VB36" s="92"/>
      <c r="VC36" s="92"/>
      <c r="VD36" s="92"/>
      <c r="VE36" s="92"/>
      <c r="VF36" s="92"/>
      <c r="VG36" s="92"/>
      <c r="VH36" s="92"/>
      <c r="VI36" s="92"/>
      <c r="VJ36" s="92"/>
      <c r="VK36" s="92"/>
      <c r="VL36" s="92"/>
      <c r="VM36" s="92"/>
      <c r="VN36" s="92"/>
      <c r="VO36" s="92"/>
      <c r="VP36" s="92"/>
      <c r="VQ36" s="92"/>
      <c r="VR36" s="92"/>
      <c r="VS36" s="92"/>
      <c r="VT36" s="92"/>
      <c r="VU36" s="92"/>
      <c r="VV36" s="92"/>
      <c r="VW36" s="92"/>
      <c r="VX36" s="92"/>
      <c r="VY36" s="92"/>
      <c r="VZ36" s="92"/>
      <c r="WA36" s="92"/>
      <c r="WB36" s="92"/>
      <c r="WC36" s="92"/>
      <c r="WD36" s="92"/>
      <c r="WE36" s="92"/>
      <c r="WF36" s="92"/>
      <c r="WG36" s="92"/>
      <c r="WH36" s="92"/>
      <c r="WI36" s="92"/>
      <c r="WJ36" s="92"/>
      <c r="WK36" s="92"/>
      <c r="WL36" s="92"/>
      <c r="WM36" s="92"/>
      <c r="WN36" s="92"/>
      <c r="WO36" s="92"/>
      <c r="WP36" s="92"/>
      <c r="WQ36" s="92"/>
      <c r="WR36" s="92"/>
      <c r="WS36" s="92"/>
      <c r="WT36" s="92"/>
      <c r="WU36" s="92"/>
      <c r="WV36" s="92"/>
      <c r="WW36" s="92"/>
      <c r="WX36" s="92"/>
      <c r="WY36" s="92"/>
      <c r="WZ36" s="92"/>
      <c r="XA36" s="92"/>
      <c r="XB36" s="92"/>
      <c r="XC36" s="92"/>
      <c r="XD36" s="92"/>
      <c r="XE36" s="92"/>
      <c r="XF36" s="92"/>
      <c r="XG36" s="92"/>
      <c r="XH36" s="92"/>
      <c r="XI36" s="92"/>
      <c r="XJ36" s="92"/>
      <c r="XK36" s="92"/>
      <c r="XL36" s="92"/>
      <c r="XM36" s="92"/>
      <c r="XN36" s="92"/>
      <c r="XO36" s="92"/>
      <c r="XP36" s="92"/>
      <c r="XQ36" s="92"/>
      <c r="XR36" s="92"/>
      <c r="XS36" s="92"/>
      <c r="XT36" s="92"/>
      <c r="XU36" s="92"/>
      <c r="XV36" s="92"/>
      <c r="XW36" s="92"/>
      <c r="XX36" s="92"/>
      <c r="XY36" s="92"/>
      <c r="XZ36" s="92"/>
      <c r="YA36" s="92"/>
      <c r="YB36" s="92"/>
      <c r="YC36" s="92"/>
      <c r="YD36" s="92"/>
      <c r="YE36" s="92"/>
      <c r="YF36" s="92"/>
      <c r="YG36" s="92"/>
      <c r="YH36" s="92"/>
      <c r="YI36" s="92"/>
      <c r="YJ36" s="92"/>
      <c r="YK36" s="92"/>
      <c r="YL36" s="92"/>
      <c r="YM36" s="92"/>
      <c r="YN36" s="92"/>
      <c r="YO36" s="92"/>
      <c r="YP36" s="92"/>
      <c r="YQ36" s="92"/>
      <c r="YR36" s="92"/>
      <c r="YS36" s="92"/>
      <c r="YT36" s="92"/>
      <c r="YU36" s="92"/>
      <c r="YV36" s="92"/>
      <c r="YW36" s="92"/>
      <c r="YX36" s="92"/>
      <c r="YY36" s="92"/>
      <c r="YZ36" s="92"/>
      <c r="ZA36" s="92"/>
      <c r="ZB36" s="92"/>
      <c r="ZC36" s="92"/>
      <c r="ZD36" s="92"/>
      <c r="ZE36" s="92"/>
      <c r="ZF36" s="92"/>
      <c r="ZG36" s="92"/>
      <c r="ZH36" s="92"/>
      <c r="ZI36" s="92"/>
      <c r="ZJ36" s="92"/>
      <c r="ZK36" s="92"/>
      <c r="ZL36" s="92"/>
      <c r="ZM36" s="92"/>
      <c r="ZN36" s="92"/>
      <c r="ZO36" s="92"/>
      <c r="ZP36" s="92"/>
      <c r="ZQ36" s="92"/>
      <c r="ZR36" s="92"/>
      <c r="ZS36" s="92"/>
      <c r="ZT36" s="92"/>
      <c r="ZU36" s="92"/>
      <c r="ZV36" s="92"/>
      <c r="ZW36" s="92"/>
      <c r="ZX36" s="92"/>
      <c r="ZY36" s="92"/>
      <c r="ZZ36" s="92"/>
      <c r="AAA36" s="92"/>
      <c r="AAB36" s="92"/>
      <c r="AAC36" s="92"/>
      <c r="AAD36" s="92"/>
      <c r="AAE36" s="92"/>
      <c r="AAF36" s="92"/>
      <c r="AAG36" s="92"/>
      <c r="AAH36" s="92"/>
      <c r="AAI36" s="92"/>
      <c r="AAJ36" s="92"/>
      <c r="AAK36" s="92"/>
      <c r="AAL36" s="92"/>
      <c r="AAM36" s="92"/>
      <c r="AAN36" s="92"/>
      <c r="AAO36" s="92"/>
      <c r="AAP36" s="92"/>
      <c r="AAQ36" s="92"/>
      <c r="AAR36" s="92"/>
      <c r="AAS36" s="92"/>
      <c r="AAT36" s="92"/>
      <c r="AAU36" s="92"/>
      <c r="AAV36" s="92"/>
      <c r="AAW36" s="92"/>
      <c r="AAX36" s="92"/>
      <c r="AAY36" s="92"/>
      <c r="AAZ36" s="92"/>
      <c r="ABA36" s="92"/>
      <c r="ABB36" s="92"/>
      <c r="ABC36" s="92"/>
      <c r="ABD36" s="92"/>
      <c r="ABE36" s="92"/>
      <c r="ABF36" s="92"/>
      <c r="ABG36" s="92"/>
      <c r="ABH36" s="92"/>
      <c r="ABI36" s="92"/>
      <c r="ABJ36" s="92"/>
      <c r="ABK36" s="92"/>
      <c r="ABL36" s="92"/>
      <c r="ABM36" s="92"/>
      <c r="ABN36" s="92"/>
      <c r="ABO36" s="92"/>
      <c r="ABP36" s="92"/>
      <c r="ABQ36" s="103"/>
      <c r="ABR36" s="92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</row>
    <row r="37" spans="1:1822" s="38" customFormat="1" x14ac:dyDescent="0.3">
      <c r="A37" s="2"/>
      <c r="B37" s="2"/>
      <c r="C37" s="32"/>
      <c r="D37" s="37"/>
      <c r="E37" s="72"/>
      <c r="F37" s="72"/>
      <c r="G37" s="72"/>
      <c r="H37" s="109"/>
      <c r="I37" s="72"/>
      <c r="J37" s="72"/>
      <c r="K37" s="72"/>
      <c r="L37" s="72"/>
      <c r="M37" s="72"/>
      <c r="N37" s="110"/>
      <c r="O37" s="110"/>
      <c r="P37" s="23"/>
      <c r="Q37" s="111">
        <f>SUM(Q4:Q36)</f>
        <v>-46128</v>
      </c>
      <c r="R37" s="111">
        <f t="shared" ref="R37:AW37" si="23">SUM(R4:R31)</f>
        <v>0</v>
      </c>
      <c r="S37" s="111">
        <f t="shared" si="23"/>
        <v>0</v>
      </c>
      <c r="T37" s="111">
        <f t="shared" si="23"/>
        <v>0</v>
      </c>
      <c r="U37" s="111">
        <f t="shared" si="23"/>
        <v>0</v>
      </c>
      <c r="V37" s="111">
        <f t="shared" si="23"/>
        <v>0</v>
      </c>
      <c r="W37" s="111">
        <f t="shared" si="23"/>
        <v>0</v>
      </c>
      <c r="X37" s="111">
        <f t="shared" si="23"/>
        <v>1</v>
      </c>
      <c r="Y37" s="111">
        <f t="shared" si="23"/>
        <v>1</v>
      </c>
      <c r="Z37" s="111">
        <f t="shared" si="23"/>
        <v>1</v>
      </c>
      <c r="AA37" s="111">
        <f t="shared" si="23"/>
        <v>1</v>
      </c>
      <c r="AB37" s="111">
        <f t="shared" si="23"/>
        <v>1</v>
      </c>
      <c r="AC37" s="111">
        <f t="shared" si="23"/>
        <v>1</v>
      </c>
      <c r="AD37" s="111">
        <f t="shared" si="23"/>
        <v>2</v>
      </c>
      <c r="AE37" s="111">
        <f t="shared" si="23"/>
        <v>2</v>
      </c>
      <c r="AF37" s="111">
        <f t="shared" si="23"/>
        <v>2</v>
      </c>
      <c r="AG37" s="111">
        <f t="shared" si="23"/>
        <v>2</v>
      </c>
      <c r="AH37" s="111">
        <f t="shared" si="23"/>
        <v>2</v>
      </c>
      <c r="AI37" s="111">
        <f t="shared" si="23"/>
        <v>2</v>
      </c>
      <c r="AJ37" s="111">
        <f t="shared" si="23"/>
        <v>2</v>
      </c>
      <c r="AK37" s="111">
        <f t="shared" si="23"/>
        <v>2</v>
      </c>
      <c r="AL37" s="111">
        <f t="shared" si="23"/>
        <v>2</v>
      </c>
      <c r="AM37" s="111">
        <f t="shared" si="23"/>
        <v>2</v>
      </c>
      <c r="AN37" s="111">
        <f t="shared" si="23"/>
        <v>2</v>
      </c>
      <c r="AO37" s="111">
        <f t="shared" si="23"/>
        <v>1</v>
      </c>
      <c r="AP37" s="111">
        <f t="shared" si="23"/>
        <v>2</v>
      </c>
      <c r="AQ37" s="111">
        <f t="shared" si="23"/>
        <v>2</v>
      </c>
      <c r="AR37" s="111">
        <f t="shared" si="23"/>
        <v>2</v>
      </c>
      <c r="AS37" s="111">
        <f t="shared" si="23"/>
        <v>2</v>
      </c>
      <c r="AT37" s="111">
        <f t="shared" si="23"/>
        <v>2</v>
      </c>
      <c r="AU37" s="111">
        <f t="shared" si="23"/>
        <v>1</v>
      </c>
      <c r="AV37" s="111">
        <f t="shared" si="23"/>
        <v>1</v>
      </c>
      <c r="AW37" s="111">
        <f t="shared" si="23"/>
        <v>1</v>
      </c>
      <c r="AX37" s="111">
        <f t="shared" ref="AX37:CC37" si="24">SUM(AX4:AX31)</f>
        <v>1</v>
      </c>
      <c r="AY37" s="111">
        <f t="shared" si="24"/>
        <v>1</v>
      </c>
      <c r="AZ37" s="111">
        <f t="shared" si="24"/>
        <v>1</v>
      </c>
      <c r="BA37" s="111">
        <f t="shared" si="24"/>
        <v>1</v>
      </c>
      <c r="BB37" s="111">
        <f t="shared" si="24"/>
        <v>1</v>
      </c>
      <c r="BC37" s="111">
        <f t="shared" si="24"/>
        <v>1</v>
      </c>
      <c r="BD37" s="111">
        <f t="shared" si="24"/>
        <v>1</v>
      </c>
      <c r="BE37" s="111">
        <f t="shared" si="24"/>
        <v>1</v>
      </c>
      <c r="BF37" s="111">
        <f t="shared" si="24"/>
        <v>1</v>
      </c>
      <c r="BG37" s="111">
        <f t="shared" si="24"/>
        <v>0</v>
      </c>
      <c r="BH37" s="111">
        <f t="shared" si="24"/>
        <v>0</v>
      </c>
      <c r="BI37" s="111">
        <f t="shared" si="24"/>
        <v>0</v>
      </c>
      <c r="BJ37" s="111">
        <f t="shared" si="24"/>
        <v>0</v>
      </c>
      <c r="BK37" s="111">
        <f t="shared" si="24"/>
        <v>0</v>
      </c>
      <c r="BL37" s="111">
        <f t="shared" si="24"/>
        <v>0</v>
      </c>
      <c r="BM37" s="111">
        <f t="shared" si="24"/>
        <v>0</v>
      </c>
      <c r="BN37" s="111">
        <f t="shared" si="24"/>
        <v>0</v>
      </c>
      <c r="BO37" s="111">
        <f t="shared" si="24"/>
        <v>0</v>
      </c>
      <c r="BP37" s="111">
        <f t="shared" si="24"/>
        <v>1</v>
      </c>
      <c r="BQ37" s="111">
        <f t="shared" si="24"/>
        <v>1</v>
      </c>
      <c r="BR37" s="111">
        <f t="shared" si="24"/>
        <v>1</v>
      </c>
      <c r="BS37" s="111">
        <f t="shared" si="24"/>
        <v>1</v>
      </c>
      <c r="BT37" s="111">
        <f t="shared" si="24"/>
        <v>1</v>
      </c>
      <c r="BU37" s="111">
        <f t="shared" si="24"/>
        <v>1</v>
      </c>
      <c r="BV37" s="111">
        <f t="shared" si="24"/>
        <v>1</v>
      </c>
      <c r="BW37" s="111">
        <f t="shared" si="24"/>
        <v>1</v>
      </c>
      <c r="BX37" s="111">
        <f t="shared" si="24"/>
        <v>1</v>
      </c>
      <c r="BY37" s="111">
        <f t="shared" si="24"/>
        <v>1</v>
      </c>
      <c r="BZ37" s="111">
        <f t="shared" si="24"/>
        <v>1</v>
      </c>
      <c r="CA37" s="111">
        <f t="shared" si="24"/>
        <v>1</v>
      </c>
      <c r="CB37" s="111">
        <f t="shared" si="24"/>
        <v>1</v>
      </c>
      <c r="CC37" s="111">
        <f t="shared" si="24"/>
        <v>2</v>
      </c>
      <c r="CD37" s="111">
        <f t="shared" ref="CD37:DI37" si="25">SUM(CD4:CD31)</f>
        <v>2</v>
      </c>
      <c r="CE37" s="111">
        <f t="shared" si="25"/>
        <v>2</v>
      </c>
      <c r="CF37" s="111">
        <f t="shared" si="25"/>
        <v>2</v>
      </c>
      <c r="CG37" s="111">
        <f t="shared" si="25"/>
        <v>1</v>
      </c>
      <c r="CH37" s="111">
        <f t="shared" si="25"/>
        <v>2</v>
      </c>
      <c r="CI37" s="111">
        <f t="shared" si="25"/>
        <v>2</v>
      </c>
      <c r="CJ37" s="111">
        <f t="shared" si="25"/>
        <v>2</v>
      </c>
      <c r="CK37" s="111">
        <f t="shared" si="25"/>
        <v>2</v>
      </c>
      <c r="CL37" s="111">
        <f t="shared" si="25"/>
        <v>2</v>
      </c>
      <c r="CM37" s="111">
        <f t="shared" si="25"/>
        <v>2</v>
      </c>
      <c r="CN37" s="111">
        <f t="shared" si="25"/>
        <v>2</v>
      </c>
      <c r="CO37" s="111">
        <f t="shared" si="25"/>
        <v>2</v>
      </c>
      <c r="CP37" s="111">
        <f t="shared" si="25"/>
        <v>2</v>
      </c>
      <c r="CQ37" s="111">
        <f t="shared" si="25"/>
        <v>2</v>
      </c>
      <c r="CR37" s="111">
        <f t="shared" si="25"/>
        <v>2</v>
      </c>
      <c r="CS37" s="111">
        <f t="shared" si="25"/>
        <v>2</v>
      </c>
      <c r="CT37" s="111">
        <f t="shared" si="25"/>
        <v>1</v>
      </c>
      <c r="CU37" s="111">
        <f t="shared" si="25"/>
        <v>1</v>
      </c>
      <c r="CV37" s="111">
        <f t="shared" si="25"/>
        <v>1</v>
      </c>
      <c r="CW37" s="111">
        <f t="shared" si="25"/>
        <v>1</v>
      </c>
      <c r="CX37" s="111">
        <f t="shared" si="25"/>
        <v>1</v>
      </c>
      <c r="CY37" s="111">
        <f t="shared" si="25"/>
        <v>0</v>
      </c>
      <c r="CZ37" s="111">
        <f t="shared" si="25"/>
        <v>0</v>
      </c>
      <c r="DA37" s="111">
        <f t="shared" si="25"/>
        <v>0</v>
      </c>
      <c r="DB37" s="111">
        <f t="shared" si="25"/>
        <v>1</v>
      </c>
      <c r="DC37" s="111">
        <f t="shared" si="25"/>
        <v>1</v>
      </c>
      <c r="DD37" s="111">
        <f t="shared" si="25"/>
        <v>1</v>
      </c>
      <c r="DE37" s="111">
        <f t="shared" si="25"/>
        <v>1</v>
      </c>
      <c r="DF37" s="111">
        <f t="shared" si="25"/>
        <v>1</v>
      </c>
      <c r="DG37" s="111">
        <f t="shared" si="25"/>
        <v>1</v>
      </c>
      <c r="DH37" s="111">
        <f t="shared" si="25"/>
        <v>1</v>
      </c>
      <c r="DI37" s="111">
        <f t="shared" si="25"/>
        <v>1</v>
      </c>
      <c r="DJ37" s="111">
        <f t="shared" ref="DJ37:EO37" si="26">SUM(DJ4:DJ31)</f>
        <v>2</v>
      </c>
      <c r="DK37" s="111">
        <f t="shared" si="26"/>
        <v>2</v>
      </c>
      <c r="DL37" s="111">
        <f t="shared" si="26"/>
        <v>2</v>
      </c>
      <c r="DM37" s="111">
        <f t="shared" si="26"/>
        <v>3</v>
      </c>
      <c r="DN37" s="111">
        <f t="shared" si="26"/>
        <v>3</v>
      </c>
      <c r="DO37" s="111">
        <f t="shared" si="26"/>
        <v>3</v>
      </c>
      <c r="DP37" s="111">
        <f t="shared" si="26"/>
        <v>3</v>
      </c>
      <c r="DQ37" s="111">
        <f t="shared" si="26"/>
        <v>3</v>
      </c>
      <c r="DR37" s="111">
        <f t="shared" si="26"/>
        <v>4</v>
      </c>
      <c r="DS37" s="111">
        <f t="shared" si="26"/>
        <v>3</v>
      </c>
      <c r="DT37" s="111">
        <f t="shared" si="26"/>
        <v>3</v>
      </c>
      <c r="DU37" s="111">
        <f t="shared" si="26"/>
        <v>3</v>
      </c>
      <c r="DV37" s="111">
        <f t="shared" si="26"/>
        <v>3</v>
      </c>
      <c r="DW37" s="111">
        <f t="shared" si="26"/>
        <v>3</v>
      </c>
      <c r="DX37" s="111">
        <f t="shared" si="26"/>
        <v>3</v>
      </c>
      <c r="DY37" s="111">
        <f t="shared" si="26"/>
        <v>3</v>
      </c>
      <c r="DZ37" s="111">
        <f t="shared" si="26"/>
        <v>3</v>
      </c>
      <c r="EA37" s="111">
        <f t="shared" si="26"/>
        <v>2</v>
      </c>
      <c r="EB37" s="111">
        <f t="shared" si="26"/>
        <v>2</v>
      </c>
      <c r="EC37" s="111">
        <f t="shared" si="26"/>
        <v>2</v>
      </c>
      <c r="ED37" s="111">
        <f t="shared" si="26"/>
        <v>2</v>
      </c>
      <c r="EE37" s="111">
        <f t="shared" si="26"/>
        <v>2</v>
      </c>
      <c r="EF37" s="111">
        <f t="shared" si="26"/>
        <v>2</v>
      </c>
      <c r="EG37" s="111">
        <f t="shared" si="26"/>
        <v>2</v>
      </c>
      <c r="EH37" s="111">
        <f t="shared" si="26"/>
        <v>2</v>
      </c>
      <c r="EI37" s="111">
        <f t="shared" si="26"/>
        <v>1</v>
      </c>
      <c r="EJ37" s="111">
        <f t="shared" si="26"/>
        <v>1</v>
      </c>
      <c r="EK37" s="111">
        <f t="shared" si="26"/>
        <v>1</v>
      </c>
      <c r="EL37" s="111">
        <f t="shared" si="26"/>
        <v>1</v>
      </c>
      <c r="EM37" s="111">
        <f t="shared" si="26"/>
        <v>1</v>
      </c>
      <c r="EN37" s="111">
        <f t="shared" si="26"/>
        <v>1</v>
      </c>
      <c r="EO37" s="111">
        <f t="shared" si="26"/>
        <v>1</v>
      </c>
      <c r="EP37" s="111">
        <f t="shared" ref="EP37:FU37" si="27">SUM(EP4:EP31)</f>
        <v>1</v>
      </c>
      <c r="EQ37" s="111">
        <f t="shared" si="27"/>
        <v>1</v>
      </c>
      <c r="ER37" s="111">
        <f t="shared" si="27"/>
        <v>1</v>
      </c>
      <c r="ES37" s="111">
        <f t="shared" si="27"/>
        <v>1</v>
      </c>
      <c r="ET37" s="111">
        <f t="shared" si="27"/>
        <v>1</v>
      </c>
      <c r="EU37" s="111">
        <f t="shared" si="27"/>
        <v>0</v>
      </c>
      <c r="EV37" s="111">
        <f t="shared" si="27"/>
        <v>0</v>
      </c>
      <c r="EW37" s="111">
        <f t="shared" si="27"/>
        <v>0</v>
      </c>
      <c r="EX37" s="111">
        <f t="shared" si="27"/>
        <v>0</v>
      </c>
      <c r="EY37" s="111">
        <f t="shared" si="27"/>
        <v>0</v>
      </c>
      <c r="EZ37" s="111">
        <f t="shared" si="27"/>
        <v>0</v>
      </c>
      <c r="FA37" s="111">
        <f t="shared" si="27"/>
        <v>0</v>
      </c>
      <c r="FB37" s="111">
        <f t="shared" si="27"/>
        <v>0</v>
      </c>
      <c r="FC37" s="111">
        <f t="shared" si="27"/>
        <v>0</v>
      </c>
      <c r="FD37" s="111">
        <f t="shared" si="27"/>
        <v>0</v>
      </c>
      <c r="FE37" s="111">
        <f t="shared" si="27"/>
        <v>0</v>
      </c>
      <c r="FF37" s="111">
        <f t="shared" si="27"/>
        <v>0</v>
      </c>
      <c r="FG37" s="111">
        <f t="shared" si="27"/>
        <v>0</v>
      </c>
      <c r="FH37" s="111">
        <f t="shared" si="27"/>
        <v>0</v>
      </c>
      <c r="FI37" s="111">
        <f t="shared" si="27"/>
        <v>0</v>
      </c>
      <c r="FJ37" s="111">
        <f t="shared" si="27"/>
        <v>0</v>
      </c>
      <c r="FK37" s="111">
        <f t="shared" si="27"/>
        <v>0</v>
      </c>
      <c r="FL37" s="111">
        <f t="shared" si="27"/>
        <v>0</v>
      </c>
      <c r="FM37" s="111">
        <f t="shared" si="27"/>
        <v>0</v>
      </c>
      <c r="FN37" s="111">
        <f t="shared" si="27"/>
        <v>1</v>
      </c>
      <c r="FO37" s="111">
        <f t="shared" si="27"/>
        <v>1</v>
      </c>
      <c r="FP37" s="111">
        <f t="shared" si="27"/>
        <v>1</v>
      </c>
      <c r="FQ37" s="111">
        <f t="shared" si="27"/>
        <v>1</v>
      </c>
      <c r="FR37" s="111">
        <f t="shared" si="27"/>
        <v>1</v>
      </c>
      <c r="FS37" s="111">
        <f t="shared" si="27"/>
        <v>1</v>
      </c>
      <c r="FT37" s="111">
        <f t="shared" si="27"/>
        <v>1</v>
      </c>
      <c r="FU37" s="111">
        <f t="shared" si="27"/>
        <v>1</v>
      </c>
      <c r="FV37" s="111">
        <f t="shared" ref="FV37:GO37" si="28">SUM(FV4:FV31)</f>
        <v>1</v>
      </c>
      <c r="FW37" s="111">
        <f t="shared" si="28"/>
        <v>1</v>
      </c>
      <c r="FX37" s="111">
        <f t="shared" si="28"/>
        <v>1</v>
      </c>
      <c r="FY37" s="111">
        <f t="shared" si="28"/>
        <v>1</v>
      </c>
      <c r="FZ37" s="111">
        <f t="shared" si="28"/>
        <v>1</v>
      </c>
      <c r="GA37" s="111">
        <f t="shared" si="28"/>
        <v>1</v>
      </c>
      <c r="GB37" s="111">
        <f t="shared" si="28"/>
        <v>1</v>
      </c>
      <c r="GC37" s="111">
        <f t="shared" si="28"/>
        <v>1</v>
      </c>
      <c r="GD37" s="111">
        <f t="shared" si="28"/>
        <v>1</v>
      </c>
      <c r="GE37" s="111">
        <f t="shared" si="28"/>
        <v>0</v>
      </c>
      <c r="GF37" s="111">
        <f t="shared" si="28"/>
        <v>0</v>
      </c>
      <c r="GG37" s="111">
        <f t="shared" si="28"/>
        <v>0</v>
      </c>
      <c r="GH37" s="111">
        <f t="shared" si="28"/>
        <v>0</v>
      </c>
      <c r="GI37" s="111">
        <f t="shared" si="28"/>
        <v>0</v>
      </c>
      <c r="GJ37" s="111">
        <f t="shared" si="28"/>
        <v>0</v>
      </c>
      <c r="GK37" s="111">
        <f t="shared" si="28"/>
        <v>0</v>
      </c>
      <c r="GL37" s="111">
        <f t="shared" si="28"/>
        <v>0</v>
      </c>
      <c r="GM37" s="111">
        <f t="shared" si="28"/>
        <v>0</v>
      </c>
      <c r="GN37" s="111">
        <f t="shared" si="28"/>
        <v>0</v>
      </c>
      <c r="GO37" s="111">
        <f t="shared" si="28"/>
        <v>0</v>
      </c>
      <c r="GP37" s="111">
        <f t="shared" ref="GP37:JA37" si="29">SUM(GP4:GP36)</f>
        <v>0</v>
      </c>
      <c r="GQ37" s="111">
        <f t="shared" si="29"/>
        <v>0</v>
      </c>
      <c r="GR37" s="111">
        <f t="shared" si="29"/>
        <v>0</v>
      </c>
      <c r="GS37" s="111">
        <f t="shared" si="29"/>
        <v>0</v>
      </c>
      <c r="GT37" s="111">
        <f t="shared" si="29"/>
        <v>0</v>
      </c>
      <c r="GU37" s="111">
        <f t="shared" si="29"/>
        <v>0</v>
      </c>
      <c r="GV37" s="111">
        <f t="shared" si="29"/>
        <v>0</v>
      </c>
      <c r="GW37" s="111">
        <f t="shared" si="29"/>
        <v>0</v>
      </c>
      <c r="GX37" s="111">
        <f t="shared" si="29"/>
        <v>0</v>
      </c>
      <c r="GY37" s="111">
        <f t="shared" si="29"/>
        <v>0</v>
      </c>
      <c r="GZ37" s="111">
        <f t="shared" si="29"/>
        <v>0</v>
      </c>
      <c r="HA37" s="111">
        <f t="shared" si="29"/>
        <v>0</v>
      </c>
      <c r="HB37" s="111">
        <f t="shared" si="29"/>
        <v>0</v>
      </c>
      <c r="HC37" s="111">
        <f t="shared" si="29"/>
        <v>0</v>
      </c>
      <c r="HD37" s="111">
        <f t="shared" si="29"/>
        <v>0</v>
      </c>
      <c r="HE37" s="111">
        <f t="shared" si="29"/>
        <v>0</v>
      </c>
      <c r="HF37" s="111">
        <f t="shared" si="29"/>
        <v>0</v>
      </c>
      <c r="HG37" s="111">
        <f t="shared" si="29"/>
        <v>1</v>
      </c>
      <c r="HH37" s="111">
        <f t="shared" si="29"/>
        <v>1</v>
      </c>
      <c r="HI37" s="111">
        <f t="shared" si="29"/>
        <v>1</v>
      </c>
      <c r="HJ37" s="111">
        <f t="shared" si="29"/>
        <v>1</v>
      </c>
      <c r="HK37" s="111">
        <f t="shared" si="29"/>
        <v>1</v>
      </c>
      <c r="HL37" s="111">
        <f t="shared" si="29"/>
        <v>2</v>
      </c>
      <c r="HM37" s="111">
        <f t="shared" si="29"/>
        <v>2</v>
      </c>
      <c r="HN37" s="111">
        <f t="shared" si="29"/>
        <v>2</v>
      </c>
      <c r="HO37" s="111">
        <f t="shared" si="29"/>
        <v>2</v>
      </c>
      <c r="HP37" s="111">
        <f t="shared" si="29"/>
        <v>2</v>
      </c>
      <c r="HQ37" s="111">
        <f t="shared" si="29"/>
        <v>2</v>
      </c>
      <c r="HR37" s="111">
        <f t="shared" si="29"/>
        <v>2</v>
      </c>
      <c r="HS37" s="111">
        <f t="shared" si="29"/>
        <v>2</v>
      </c>
      <c r="HT37" s="111">
        <f t="shared" si="29"/>
        <v>2</v>
      </c>
      <c r="HU37" s="111">
        <f t="shared" si="29"/>
        <v>2</v>
      </c>
      <c r="HV37" s="111">
        <f t="shared" si="29"/>
        <v>2</v>
      </c>
      <c r="HW37" s="111">
        <f t="shared" si="29"/>
        <v>2</v>
      </c>
      <c r="HX37" s="111">
        <f t="shared" si="29"/>
        <v>1</v>
      </c>
      <c r="HY37" s="111">
        <f t="shared" si="29"/>
        <v>1</v>
      </c>
      <c r="HZ37" s="111">
        <f t="shared" si="29"/>
        <v>1</v>
      </c>
      <c r="IA37" s="111">
        <f t="shared" si="29"/>
        <v>1</v>
      </c>
      <c r="IB37" s="111">
        <f t="shared" si="29"/>
        <v>1</v>
      </c>
      <c r="IC37" s="111">
        <f t="shared" si="29"/>
        <v>0</v>
      </c>
      <c r="ID37" s="111">
        <f t="shared" si="29"/>
        <v>0</v>
      </c>
      <c r="IE37" s="111">
        <f t="shared" si="29"/>
        <v>0</v>
      </c>
      <c r="IF37" s="111">
        <f t="shared" si="29"/>
        <v>0</v>
      </c>
      <c r="IG37" s="111">
        <f t="shared" si="29"/>
        <v>0</v>
      </c>
      <c r="IH37" s="111">
        <f t="shared" si="29"/>
        <v>0</v>
      </c>
      <c r="II37" s="111">
        <f t="shared" si="29"/>
        <v>0</v>
      </c>
      <c r="IJ37" s="111">
        <f t="shared" si="29"/>
        <v>0</v>
      </c>
      <c r="IK37" s="111">
        <f t="shared" si="29"/>
        <v>0</v>
      </c>
      <c r="IL37" s="111">
        <f t="shared" si="29"/>
        <v>0</v>
      </c>
      <c r="IM37" s="111">
        <f t="shared" si="29"/>
        <v>0</v>
      </c>
      <c r="IN37" s="111">
        <f t="shared" si="29"/>
        <v>0</v>
      </c>
      <c r="IO37" s="111">
        <f t="shared" si="29"/>
        <v>0</v>
      </c>
      <c r="IP37" s="111">
        <f t="shared" si="29"/>
        <v>0</v>
      </c>
      <c r="IQ37" s="111">
        <f t="shared" si="29"/>
        <v>0</v>
      </c>
      <c r="IR37" s="111">
        <f t="shared" si="29"/>
        <v>0</v>
      </c>
      <c r="IS37" s="111">
        <f t="shared" si="29"/>
        <v>0</v>
      </c>
      <c r="IT37" s="111">
        <f t="shared" si="29"/>
        <v>0</v>
      </c>
      <c r="IU37" s="111">
        <f t="shared" si="29"/>
        <v>0</v>
      </c>
      <c r="IV37" s="111">
        <f t="shared" si="29"/>
        <v>0</v>
      </c>
      <c r="IW37" s="111">
        <f t="shared" si="29"/>
        <v>0</v>
      </c>
      <c r="IX37" s="111">
        <f t="shared" si="29"/>
        <v>0</v>
      </c>
      <c r="IY37" s="111">
        <f t="shared" si="29"/>
        <v>0</v>
      </c>
      <c r="IZ37" s="111">
        <f t="shared" si="29"/>
        <v>0</v>
      </c>
      <c r="JA37" s="111">
        <f t="shared" si="29"/>
        <v>0</v>
      </c>
      <c r="JB37" s="111">
        <f t="shared" ref="JB37:LM37" si="30">SUM(JB4:JB36)</f>
        <v>0</v>
      </c>
      <c r="JC37" s="111">
        <f t="shared" si="30"/>
        <v>1</v>
      </c>
      <c r="JD37" s="111">
        <f t="shared" si="30"/>
        <v>1</v>
      </c>
      <c r="JE37" s="111">
        <f t="shared" si="30"/>
        <v>1</v>
      </c>
      <c r="JF37" s="111">
        <f t="shared" si="30"/>
        <v>1</v>
      </c>
      <c r="JG37" s="111">
        <f t="shared" si="30"/>
        <v>1</v>
      </c>
      <c r="JH37" s="111">
        <f t="shared" si="30"/>
        <v>1</v>
      </c>
      <c r="JI37" s="111">
        <f t="shared" si="30"/>
        <v>1</v>
      </c>
      <c r="JJ37" s="111">
        <f t="shared" si="30"/>
        <v>1</v>
      </c>
      <c r="JK37" s="111">
        <f t="shared" si="30"/>
        <v>2</v>
      </c>
      <c r="JL37" s="111">
        <f t="shared" si="30"/>
        <v>2</v>
      </c>
      <c r="JM37" s="111">
        <f t="shared" si="30"/>
        <v>2</v>
      </c>
      <c r="JN37" s="111">
        <f t="shared" si="30"/>
        <v>2</v>
      </c>
      <c r="JO37" s="111">
        <f t="shared" si="30"/>
        <v>2</v>
      </c>
      <c r="JP37" s="111">
        <f t="shared" si="30"/>
        <v>2</v>
      </c>
      <c r="JQ37" s="111">
        <f t="shared" si="30"/>
        <v>2</v>
      </c>
      <c r="JR37" s="111">
        <f t="shared" si="30"/>
        <v>2</v>
      </c>
      <c r="JS37" s="111">
        <f t="shared" si="30"/>
        <v>2</v>
      </c>
      <c r="JT37" s="111">
        <f t="shared" si="30"/>
        <v>2</v>
      </c>
      <c r="JU37" s="111">
        <f t="shared" si="30"/>
        <v>2</v>
      </c>
      <c r="JV37" s="111">
        <f t="shared" si="30"/>
        <v>2</v>
      </c>
      <c r="JW37" s="111">
        <f t="shared" si="30"/>
        <v>2</v>
      </c>
      <c r="JX37" s="111">
        <f t="shared" si="30"/>
        <v>2</v>
      </c>
      <c r="JY37" s="111">
        <f t="shared" si="30"/>
        <v>2</v>
      </c>
      <c r="JZ37" s="111">
        <f t="shared" si="30"/>
        <v>2</v>
      </c>
      <c r="KA37" s="111">
        <f t="shared" si="30"/>
        <v>2</v>
      </c>
      <c r="KB37" s="111">
        <f t="shared" si="30"/>
        <v>1</v>
      </c>
      <c r="KC37" s="111">
        <f t="shared" si="30"/>
        <v>2</v>
      </c>
      <c r="KD37" s="111">
        <f t="shared" si="30"/>
        <v>2</v>
      </c>
      <c r="KE37" s="111">
        <f t="shared" si="30"/>
        <v>2</v>
      </c>
      <c r="KF37" s="111">
        <f t="shared" si="30"/>
        <v>2</v>
      </c>
      <c r="KG37" s="111">
        <f t="shared" si="30"/>
        <v>2</v>
      </c>
      <c r="KH37" s="111">
        <f t="shared" si="30"/>
        <v>2</v>
      </c>
      <c r="KI37" s="111">
        <f t="shared" si="30"/>
        <v>2</v>
      </c>
      <c r="KJ37" s="111">
        <f t="shared" si="30"/>
        <v>2</v>
      </c>
      <c r="KK37" s="111">
        <f t="shared" si="30"/>
        <v>1</v>
      </c>
      <c r="KL37" s="111">
        <f t="shared" si="30"/>
        <v>1</v>
      </c>
      <c r="KM37" s="111">
        <f t="shared" si="30"/>
        <v>1</v>
      </c>
      <c r="KN37" s="111">
        <f t="shared" si="30"/>
        <v>1</v>
      </c>
      <c r="KO37" s="111">
        <f t="shared" si="30"/>
        <v>2</v>
      </c>
      <c r="KP37" s="111">
        <f t="shared" si="30"/>
        <v>2</v>
      </c>
      <c r="KQ37" s="111">
        <f t="shared" si="30"/>
        <v>2</v>
      </c>
      <c r="KR37" s="111">
        <f t="shared" si="30"/>
        <v>2</v>
      </c>
      <c r="KS37" s="111">
        <f t="shared" si="30"/>
        <v>2</v>
      </c>
      <c r="KT37" s="111">
        <f t="shared" si="30"/>
        <v>1</v>
      </c>
      <c r="KU37" s="111">
        <f t="shared" si="30"/>
        <v>1</v>
      </c>
      <c r="KV37" s="111">
        <f t="shared" si="30"/>
        <v>1</v>
      </c>
      <c r="KW37" s="111">
        <f t="shared" si="30"/>
        <v>1</v>
      </c>
      <c r="KX37" s="111">
        <f t="shared" si="30"/>
        <v>1</v>
      </c>
      <c r="KY37" s="111">
        <f t="shared" si="30"/>
        <v>2</v>
      </c>
      <c r="KZ37" s="111">
        <f t="shared" si="30"/>
        <v>2</v>
      </c>
      <c r="LA37" s="111">
        <f t="shared" si="30"/>
        <v>2</v>
      </c>
      <c r="LB37" s="111">
        <f t="shared" si="30"/>
        <v>3</v>
      </c>
      <c r="LC37" s="111">
        <f t="shared" si="30"/>
        <v>3</v>
      </c>
      <c r="LD37" s="111">
        <f t="shared" si="30"/>
        <v>3</v>
      </c>
      <c r="LE37" s="111">
        <f t="shared" si="30"/>
        <v>3</v>
      </c>
      <c r="LF37" s="111">
        <f t="shared" si="30"/>
        <v>3</v>
      </c>
      <c r="LG37" s="111">
        <f t="shared" si="30"/>
        <v>3</v>
      </c>
      <c r="LH37" s="111">
        <f t="shared" si="30"/>
        <v>3</v>
      </c>
      <c r="LI37" s="111">
        <f t="shared" si="30"/>
        <v>3</v>
      </c>
      <c r="LJ37" s="111">
        <f t="shared" si="30"/>
        <v>3</v>
      </c>
      <c r="LK37" s="111">
        <f t="shared" si="30"/>
        <v>3</v>
      </c>
      <c r="LL37" s="111">
        <f t="shared" si="30"/>
        <v>3</v>
      </c>
      <c r="LM37" s="111">
        <f t="shared" si="30"/>
        <v>3</v>
      </c>
      <c r="LN37" s="111">
        <f t="shared" ref="LN37:NY37" si="31">SUM(LN4:LN36)</f>
        <v>3</v>
      </c>
      <c r="LO37" s="111">
        <f t="shared" si="31"/>
        <v>3</v>
      </c>
      <c r="LP37" s="111">
        <f t="shared" si="31"/>
        <v>2</v>
      </c>
      <c r="LQ37" s="111">
        <f t="shared" si="31"/>
        <v>3</v>
      </c>
      <c r="LR37" s="111">
        <f t="shared" si="31"/>
        <v>3</v>
      </c>
      <c r="LS37" s="111">
        <f t="shared" si="31"/>
        <v>2</v>
      </c>
      <c r="LT37" s="111">
        <f t="shared" si="31"/>
        <v>2</v>
      </c>
      <c r="LU37" s="111">
        <f t="shared" si="31"/>
        <v>2</v>
      </c>
      <c r="LV37" s="111">
        <f t="shared" si="31"/>
        <v>2</v>
      </c>
      <c r="LW37" s="111">
        <f t="shared" si="31"/>
        <v>1</v>
      </c>
      <c r="LX37" s="111">
        <f t="shared" si="31"/>
        <v>1</v>
      </c>
      <c r="LY37" s="111">
        <f t="shared" si="31"/>
        <v>1</v>
      </c>
      <c r="LZ37" s="111">
        <f t="shared" si="31"/>
        <v>1</v>
      </c>
      <c r="MA37" s="111">
        <f t="shared" si="31"/>
        <v>1</v>
      </c>
      <c r="MB37" s="111">
        <f t="shared" si="31"/>
        <v>1</v>
      </c>
      <c r="MC37" s="111">
        <f t="shared" si="31"/>
        <v>1</v>
      </c>
      <c r="MD37" s="111">
        <f t="shared" si="31"/>
        <v>1</v>
      </c>
      <c r="ME37" s="111">
        <f t="shared" si="31"/>
        <v>1</v>
      </c>
      <c r="MF37" s="111">
        <f t="shared" si="31"/>
        <v>1</v>
      </c>
      <c r="MG37" s="111">
        <f t="shared" si="31"/>
        <v>1</v>
      </c>
      <c r="MH37" s="111">
        <f t="shared" si="31"/>
        <v>0</v>
      </c>
      <c r="MI37" s="111">
        <f t="shared" si="31"/>
        <v>3</v>
      </c>
      <c r="MJ37" s="111">
        <f t="shared" si="31"/>
        <v>3</v>
      </c>
      <c r="MK37" s="111">
        <f t="shared" si="31"/>
        <v>3</v>
      </c>
      <c r="ML37" s="111">
        <f t="shared" si="31"/>
        <v>3</v>
      </c>
      <c r="MM37" s="111">
        <f t="shared" si="31"/>
        <v>3</v>
      </c>
      <c r="MN37" s="111">
        <f t="shared" si="31"/>
        <v>3</v>
      </c>
      <c r="MO37" s="111">
        <f t="shared" si="31"/>
        <v>3</v>
      </c>
      <c r="MP37" s="111">
        <f t="shared" si="31"/>
        <v>3</v>
      </c>
      <c r="MQ37" s="111">
        <f t="shared" si="31"/>
        <v>3</v>
      </c>
      <c r="MR37" s="111">
        <f t="shared" si="31"/>
        <v>3</v>
      </c>
      <c r="MS37" s="111">
        <f t="shared" si="31"/>
        <v>3</v>
      </c>
      <c r="MT37" s="111">
        <f t="shared" si="31"/>
        <v>3</v>
      </c>
      <c r="MU37" s="111">
        <f t="shared" si="31"/>
        <v>3</v>
      </c>
      <c r="MV37" s="111">
        <f t="shared" si="31"/>
        <v>4</v>
      </c>
      <c r="MW37" s="111">
        <f t="shared" si="31"/>
        <v>4</v>
      </c>
      <c r="MX37" s="111">
        <f t="shared" si="31"/>
        <v>4</v>
      </c>
      <c r="MY37" s="111">
        <f t="shared" si="31"/>
        <v>4</v>
      </c>
      <c r="MZ37" s="111">
        <f t="shared" si="31"/>
        <v>1</v>
      </c>
      <c r="NA37" s="111">
        <f t="shared" si="31"/>
        <v>1</v>
      </c>
      <c r="NB37" s="111">
        <f t="shared" si="31"/>
        <v>2</v>
      </c>
      <c r="NC37" s="111">
        <f t="shared" si="31"/>
        <v>2</v>
      </c>
      <c r="ND37" s="111">
        <f t="shared" si="31"/>
        <v>2</v>
      </c>
      <c r="NE37" s="111">
        <f t="shared" si="31"/>
        <v>2</v>
      </c>
      <c r="NF37" s="111">
        <f t="shared" si="31"/>
        <v>2</v>
      </c>
      <c r="NG37" s="111">
        <f t="shared" si="31"/>
        <v>2</v>
      </c>
      <c r="NH37" s="111">
        <f t="shared" si="31"/>
        <v>2</v>
      </c>
      <c r="NI37" s="111">
        <f t="shared" si="31"/>
        <v>2</v>
      </c>
      <c r="NJ37" s="111">
        <f t="shared" si="31"/>
        <v>2</v>
      </c>
      <c r="NK37" s="111">
        <f t="shared" si="31"/>
        <v>2</v>
      </c>
      <c r="NL37" s="111">
        <f t="shared" si="31"/>
        <v>3</v>
      </c>
      <c r="NM37" s="111">
        <f t="shared" si="31"/>
        <v>2</v>
      </c>
      <c r="NN37" s="111">
        <f t="shared" si="31"/>
        <v>2</v>
      </c>
      <c r="NO37" s="111">
        <f t="shared" si="31"/>
        <v>2</v>
      </c>
      <c r="NP37" s="111">
        <f t="shared" si="31"/>
        <v>2</v>
      </c>
      <c r="NQ37" s="111">
        <f t="shared" si="31"/>
        <v>2</v>
      </c>
      <c r="NR37" s="111">
        <f t="shared" si="31"/>
        <v>2</v>
      </c>
      <c r="NS37" s="111">
        <f t="shared" si="31"/>
        <v>1</v>
      </c>
      <c r="NT37" s="111">
        <f t="shared" si="31"/>
        <v>1</v>
      </c>
      <c r="NU37" s="111">
        <f t="shared" si="31"/>
        <v>1</v>
      </c>
      <c r="NV37" s="111">
        <f t="shared" si="31"/>
        <v>1</v>
      </c>
      <c r="NW37" s="111">
        <f t="shared" si="31"/>
        <v>1</v>
      </c>
      <c r="NX37" s="111">
        <f t="shared" si="31"/>
        <v>1</v>
      </c>
      <c r="NY37" s="111">
        <f t="shared" si="31"/>
        <v>1</v>
      </c>
      <c r="NZ37" s="111">
        <f t="shared" ref="NZ37:QK37" si="32">SUM(NZ4:NZ36)</f>
        <v>1</v>
      </c>
      <c r="OA37" s="111">
        <f t="shared" si="32"/>
        <v>1</v>
      </c>
      <c r="OB37" s="111">
        <f t="shared" si="32"/>
        <v>1</v>
      </c>
      <c r="OC37" s="111">
        <f t="shared" si="32"/>
        <v>0</v>
      </c>
      <c r="OD37" s="111">
        <f t="shared" si="32"/>
        <v>0</v>
      </c>
      <c r="OE37" s="111">
        <f t="shared" si="32"/>
        <v>0</v>
      </c>
      <c r="OF37" s="111">
        <f t="shared" si="32"/>
        <v>0</v>
      </c>
      <c r="OG37" s="111">
        <f t="shared" si="32"/>
        <v>0</v>
      </c>
      <c r="OH37" s="111">
        <f t="shared" si="32"/>
        <v>0</v>
      </c>
      <c r="OI37" s="111">
        <f t="shared" si="32"/>
        <v>0</v>
      </c>
      <c r="OJ37" s="111">
        <f t="shared" si="32"/>
        <v>0</v>
      </c>
      <c r="OK37" s="111">
        <f t="shared" si="32"/>
        <v>0</v>
      </c>
      <c r="OL37" s="111">
        <f t="shared" si="32"/>
        <v>0</v>
      </c>
      <c r="OM37" s="111">
        <f t="shared" si="32"/>
        <v>0</v>
      </c>
      <c r="ON37" s="111">
        <f t="shared" si="32"/>
        <v>0</v>
      </c>
      <c r="OO37" s="111">
        <f t="shared" si="32"/>
        <v>0</v>
      </c>
      <c r="OP37" s="111">
        <f t="shared" si="32"/>
        <v>0</v>
      </c>
      <c r="OQ37" s="111">
        <f t="shared" si="32"/>
        <v>0</v>
      </c>
      <c r="OR37" s="111">
        <f t="shared" si="32"/>
        <v>0</v>
      </c>
      <c r="OS37" s="111">
        <f t="shared" si="32"/>
        <v>0</v>
      </c>
      <c r="OT37" s="111">
        <f t="shared" si="32"/>
        <v>0</v>
      </c>
      <c r="OU37" s="111">
        <f t="shared" si="32"/>
        <v>1</v>
      </c>
      <c r="OV37" s="111">
        <f t="shared" si="32"/>
        <v>1</v>
      </c>
      <c r="OW37" s="111">
        <f t="shared" si="32"/>
        <v>2</v>
      </c>
      <c r="OX37" s="111">
        <f t="shared" si="32"/>
        <v>2</v>
      </c>
      <c r="OY37" s="111">
        <f t="shared" si="32"/>
        <v>2</v>
      </c>
      <c r="OZ37" s="111">
        <f t="shared" si="32"/>
        <v>2</v>
      </c>
      <c r="PA37" s="111">
        <f t="shared" si="32"/>
        <v>2</v>
      </c>
      <c r="PB37" s="111">
        <f t="shared" si="32"/>
        <v>2</v>
      </c>
      <c r="PC37" s="111">
        <f t="shared" si="32"/>
        <v>2</v>
      </c>
      <c r="PD37" s="111">
        <f t="shared" si="32"/>
        <v>2</v>
      </c>
      <c r="PE37" s="111">
        <f t="shared" si="32"/>
        <v>2</v>
      </c>
      <c r="PF37" s="111">
        <f t="shared" si="32"/>
        <v>2</v>
      </c>
      <c r="PG37" s="111">
        <f t="shared" si="32"/>
        <v>2</v>
      </c>
      <c r="PH37" s="111">
        <f t="shared" si="32"/>
        <v>2</v>
      </c>
      <c r="PI37" s="111">
        <f t="shared" si="32"/>
        <v>2</v>
      </c>
      <c r="PJ37" s="111">
        <f t="shared" si="32"/>
        <v>2</v>
      </c>
      <c r="PK37" s="111">
        <f t="shared" si="32"/>
        <v>2</v>
      </c>
      <c r="PL37" s="111">
        <f t="shared" si="32"/>
        <v>1</v>
      </c>
      <c r="PM37" s="111">
        <f t="shared" si="32"/>
        <v>2</v>
      </c>
      <c r="PN37" s="111">
        <f t="shared" si="32"/>
        <v>1</v>
      </c>
      <c r="PO37" s="111">
        <f t="shared" si="32"/>
        <v>1</v>
      </c>
      <c r="PP37" s="111">
        <f t="shared" si="32"/>
        <v>1</v>
      </c>
      <c r="PQ37" s="111">
        <f t="shared" si="32"/>
        <v>1</v>
      </c>
      <c r="PR37" s="111">
        <f t="shared" si="32"/>
        <v>1</v>
      </c>
      <c r="PS37" s="111">
        <f t="shared" si="32"/>
        <v>1</v>
      </c>
      <c r="PT37" s="111">
        <f t="shared" si="32"/>
        <v>1</v>
      </c>
      <c r="PU37" s="111">
        <f t="shared" si="32"/>
        <v>1</v>
      </c>
      <c r="PV37" s="111">
        <f t="shared" si="32"/>
        <v>1</v>
      </c>
      <c r="PW37" s="111">
        <f t="shared" si="32"/>
        <v>1</v>
      </c>
      <c r="PX37" s="111">
        <f t="shared" si="32"/>
        <v>1</v>
      </c>
      <c r="PY37" s="111">
        <f t="shared" si="32"/>
        <v>1</v>
      </c>
      <c r="PZ37" s="111">
        <f t="shared" si="32"/>
        <v>1</v>
      </c>
      <c r="QA37" s="111">
        <f t="shared" si="32"/>
        <v>1</v>
      </c>
      <c r="QB37" s="111">
        <f t="shared" si="32"/>
        <v>1</v>
      </c>
      <c r="QC37" s="111">
        <f t="shared" si="32"/>
        <v>2</v>
      </c>
      <c r="QD37" s="111">
        <f t="shared" si="32"/>
        <v>1</v>
      </c>
      <c r="QE37" s="111">
        <f t="shared" si="32"/>
        <v>1</v>
      </c>
      <c r="QF37" s="111">
        <f t="shared" si="32"/>
        <v>1</v>
      </c>
      <c r="QG37" s="111">
        <f t="shared" si="32"/>
        <v>1</v>
      </c>
      <c r="QH37" s="111">
        <f t="shared" si="32"/>
        <v>1</v>
      </c>
      <c r="QI37" s="111">
        <f t="shared" si="32"/>
        <v>2</v>
      </c>
      <c r="QJ37" s="111">
        <f t="shared" si="32"/>
        <v>2</v>
      </c>
      <c r="QK37" s="111">
        <f t="shared" si="32"/>
        <v>2</v>
      </c>
      <c r="QL37" s="111">
        <f t="shared" ref="QL37:SW37" si="33">SUM(QL4:QL36)</f>
        <v>2</v>
      </c>
      <c r="QM37" s="111">
        <f t="shared" si="33"/>
        <v>2</v>
      </c>
      <c r="QN37" s="111">
        <f t="shared" si="33"/>
        <v>2</v>
      </c>
      <c r="QO37" s="111">
        <f t="shared" si="33"/>
        <v>2</v>
      </c>
      <c r="QP37" s="111">
        <f t="shared" si="33"/>
        <v>2</v>
      </c>
      <c r="QQ37" s="111">
        <f t="shared" si="33"/>
        <v>2</v>
      </c>
      <c r="QR37" s="111">
        <f t="shared" si="33"/>
        <v>2</v>
      </c>
      <c r="QS37" s="111">
        <f t="shared" si="33"/>
        <v>2</v>
      </c>
      <c r="QT37" s="111">
        <f t="shared" si="33"/>
        <v>2</v>
      </c>
      <c r="QU37" s="111">
        <f t="shared" si="33"/>
        <v>2</v>
      </c>
      <c r="QV37" s="111">
        <f t="shared" si="33"/>
        <v>2</v>
      </c>
      <c r="QW37" s="111">
        <f t="shared" si="33"/>
        <v>3</v>
      </c>
      <c r="QX37" s="111">
        <f t="shared" si="33"/>
        <v>3</v>
      </c>
      <c r="QY37" s="111">
        <f t="shared" si="33"/>
        <v>3</v>
      </c>
      <c r="QZ37" s="111">
        <f t="shared" si="33"/>
        <v>2</v>
      </c>
      <c r="RA37" s="111">
        <f t="shared" si="33"/>
        <v>2</v>
      </c>
      <c r="RB37" s="111">
        <f t="shared" si="33"/>
        <v>2</v>
      </c>
      <c r="RC37" s="111">
        <f t="shared" si="33"/>
        <v>2</v>
      </c>
      <c r="RD37" s="111">
        <f t="shared" si="33"/>
        <v>2</v>
      </c>
      <c r="RE37" s="111">
        <f t="shared" si="33"/>
        <v>2</v>
      </c>
      <c r="RF37" s="111">
        <f t="shared" si="33"/>
        <v>2</v>
      </c>
      <c r="RG37" s="111">
        <f t="shared" si="33"/>
        <v>2</v>
      </c>
      <c r="RH37" s="111">
        <f t="shared" si="33"/>
        <v>2</v>
      </c>
      <c r="RI37" s="111">
        <f t="shared" si="33"/>
        <v>2</v>
      </c>
      <c r="RJ37" s="111">
        <f t="shared" si="33"/>
        <v>2</v>
      </c>
      <c r="RK37" s="111">
        <f t="shared" si="33"/>
        <v>1</v>
      </c>
      <c r="RL37" s="111">
        <f t="shared" si="33"/>
        <v>1</v>
      </c>
      <c r="RM37" s="111">
        <f t="shared" si="33"/>
        <v>1</v>
      </c>
      <c r="RN37" s="111">
        <f t="shared" si="33"/>
        <v>0</v>
      </c>
      <c r="RO37" s="111">
        <f t="shared" si="33"/>
        <v>0</v>
      </c>
      <c r="RP37" s="111">
        <f t="shared" si="33"/>
        <v>0</v>
      </c>
      <c r="RQ37" s="111">
        <f t="shared" si="33"/>
        <v>0</v>
      </c>
      <c r="RR37" s="111">
        <f t="shared" si="33"/>
        <v>1</v>
      </c>
      <c r="RS37" s="111">
        <f t="shared" si="33"/>
        <v>2</v>
      </c>
      <c r="RT37" s="111">
        <f t="shared" si="33"/>
        <v>2</v>
      </c>
      <c r="RU37" s="111">
        <f t="shared" si="33"/>
        <v>2</v>
      </c>
      <c r="RV37" s="111">
        <f t="shared" si="33"/>
        <v>2</v>
      </c>
      <c r="RW37" s="111">
        <f t="shared" si="33"/>
        <v>2</v>
      </c>
      <c r="RX37" s="111">
        <f t="shared" si="33"/>
        <v>2</v>
      </c>
      <c r="RY37" s="111">
        <f t="shared" si="33"/>
        <v>2</v>
      </c>
      <c r="RZ37" s="111">
        <f t="shared" si="33"/>
        <v>2</v>
      </c>
      <c r="SA37" s="111">
        <f t="shared" si="33"/>
        <v>2</v>
      </c>
      <c r="SB37" s="111">
        <f t="shared" si="33"/>
        <v>2</v>
      </c>
      <c r="SC37" s="111">
        <f t="shared" si="33"/>
        <v>2</v>
      </c>
      <c r="SD37" s="111">
        <f t="shared" si="33"/>
        <v>2</v>
      </c>
      <c r="SE37" s="111">
        <f t="shared" si="33"/>
        <v>2</v>
      </c>
      <c r="SF37" s="111">
        <f t="shared" si="33"/>
        <v>3</v>
      </c>
      <c r="SG37" s="111">
        <f t="shared" si="33"/>
        <v>3</v>
      </c>
      <c r="SH37" s="111">
        <f t="shared" si="33"/>
        <v>3</v>
      </c>
      <c r="SI37" s="111">
        <f t="shared" si="33"/>
        <v>2</v>
      </c>
      <c r="SJ37" s="111">
        <f t="shared" si="33"/>
        <v>1</v>
      </c>
      <c r="SK37" s="111">
        <f t="shared" si="33"/>
        <v>1</v>
      </c>
      <c r="SL37" s="111">
        <f t="shared" si="33"/>
        <v>1</v>
      </c>
      <c r="SM37" s="111">
        <f t="shared" si="33"/>
        <v>2</v>
      </c>
      <c r="SN37" s="111">
        <f t="shared" si="33"/>
        <v>3</v>
      </c>
      <c r="SO37" s="111">
        <f t="shared" si="33"/>
        <v>3</v>
      </c>
      <c r="SP37" s="111">
        <f t="shared" si="33"/>
        <v>3</v>
      </c>
      <c r="SQ37" s="111">
        <f t="shared" si="33"/>
        <v>3</v>
      </c>
      <c r="SR37" s="111">
        <f t="shared" si="33"/>
        <v>3</v>
      </c>
      <c r="SS37" s="111">
        <f t="shared" si="33"/>
        <v>3</v>
      </c>
      <c r="ST37" s="111">
        <f t="shared" si="33"/>
        <v>3</v>
      </c>
      <c r="SU37" s="111">
        <f t="shared" si="33"/>
        <v>3</v>
      </c>
      <c r="SV37" s="111">
        <f t="shared" si="33"/>
        <v>3</v>
      </c>
      <c r="SW37" s="111">
        <f t="shared" si="33"/>
        <v>2</v>
      </c>
      <c r="SX37" s="111">
        <f t="shared" ref="SX37:VI37" si="34">SUM(SX4:SX36)</f>
        <v>2</v>
      </c>
      <c r="SY37" s="111">
        <f t="shared" si="34"/>
        <v>2</v>
      </c>
      <c r="SZ37" s="111">
        <f t="shared" si="34"/>
        <v>2</v>
      </c>
      <c r="TA37" s="111">
        <f t="shared" si="34"/>
        <v>3</v>
      </c>
      <c r="TB37" s="111">
        <f t="shared" si="34"/>
        <v>3</v>
      </c>
      <c r="TC37" s="111">
        <f t="shared" si="34"/>
        <v>3</v>
      </c>
      <c r="TD37" s="111">
        <f t="shared" si="34"/>
        <v>2</v>
      </c>
      <c r="TE37" s="111">
        <f t="shared" si="34"/>
        <v>2</v>
      </c>
      <c r="TF37" s="111">
        <f t="shared" si="34"/>
        <v>3</v>
      </c>
      <c r="TG37" s="111">
        <f t="shared" si="34"/>
        <v>3</v>
      </c>
      <c r="TH37" s="111">
        <f t="shared" si="34"/>
        <v>3</v>
      </c>
      <c r="TI37" s="111">
        <f t="shared" si="34"/>
        <v>3</v>
      </c>
      <c r="TJ37" s="111">
        <f t="shared" si="34"/>
        <v>3</v>
      </c>
      <c r="TK37" s="111">
        <f t="shared" si="34"/>
        <v>3</v>
      </c>
      <c r="TL37" s="111">
        <f t="shared" si="34"/>
        <v>3</v>
      </c>
      <c r="TM37" s="111">
        <f t="shared" si="34"/>
        <v>3</v>
      </c>
      <c r="TN37" s="111">
        <f t="shared" si="34"/>
        <v>3</v>
      </c>
      <c r="TO37" s="111">
        <f t="shared" si="34"/>
        <v>3</v>
      </c>
      <c r="TP37" s="111">
        <f t="shared" si="34"/>
        <v>3</v>
      </c>
      <c r="TQ37" s="111">
        <f t="shared" si="34"/>
        <v>3</v>
      </c>
      <c r="TR37" s="111">
        <f t="shared" si="34"/>
        <v>2</v>
      </c>
      <c r="TS37" s="111">
        <f t="shared" si="34"/>
        <v>3</v>
      </c>
      <c r="TT37" s="111">
        <f t="shared" si="34"/>
        <v>3</v>
      </c>
      <c r="TU37" s="111">
        <f t="shared" si="34"/>
        <v>3</v>
      </c>
      <c r="TV37" s="111">
        <f t="shared" si="34"/>
        <v>2</v>
      </c>
      <c r="TW37" s="111">
        <f t="shared" si="34"/>
        <v>1</v>
      </c>
      <c r="TX37" s="111">
        <f t="shared" si="34"/>
        <v>1</v>
      </c>
      <c r="TY37" s="111">
        <f t="shared" si="34"/>
        <v>1</v>
      </c>
      <c r="TZ37" s="111">
        <f t="shared" si="34"/>
        <v>1</v>
      </c>
      <c r="UA37" s="111">
        <f t="shared" si="34"/>
        <v>1</v>
      </c>
      <c r="UB37" s="111">
        <f t="shared" si="34"/>
        <v>1</v>
      </c>
      <c r="UC37" s="111">
        <f t="shared" si="34"/>
        <v>1</v>
      </c>
      <c r="UD37" s="111">
        <f t="shared" si="34"/>
        <v>1</v>
      </c>
      <c r="UE37" s="111">
        <f t="shared" si="34"/>
        <v>1</v>
      </c>
      <c r="UF37" s="111">
        <f t="shared" si="34"/>
        <v>2</v>
      </c>
      <c r="UG37" s="111">
        <f t="shared" si="34"/>
        <v>3</v>
      </c>
      <c r="UH37" s="111">
        <f t="shared" si="34"/>
        <v>3</v>
      </c>
      <c r="UI37" s="111">
        <f t="shared" si="34"/>
        <v>3</v>
      </c>
      <c r="UJ37" s="111">
        <f t="shared" si="34"/>
        <v>3</v>
      </c>
      <c r="UK37" s="111">
        <f t="shared" si="34"/>
        <v>3</v>
      </c>
      <c r="UL37" s="111">
        <f t="shared" si="34"/>
        <v>3</v>
      </c>
      <c r="UM37" s="111">
        <f t="shared" si="34"/>
        <v>3</v>
      </c>
      <c r="UN37" s="111">
        <f t="shared" si="34"/>
        <v>3</v>
      </c>
      <c r="UO37" s="111">
        <f t="shared" si="34"/>
        <v>3</v>
      </c>
      <c r="UP37" s="111">
        <f t="shared" si="34"/>
        <v>3</v>
      </c>
      <c r="UQ37" s="111">
        <f t="shared" si="34"/>
        <v>3</v>
      </c>
      <c r="UR37" s="111">
        <f t="shared" si="34"/>
        <v>3</v>
      </c>
      <c r="US37" s="111">
        <f t="shared" si="34"/>
        <v>3</v>
      </c>
      <c r="UT37" s="111">
        <f t="shared" si="34"/>
        <v>3</v>
      </c>
      <c r="UU37" s="111">
        <f t="shared" si="34"/>
        <v>3</v>
      </c>
      <c r="UV37" s="111">
        <f t="shared" si="34"/>
        <v>3</v>
      </c>
      <c r="UW37" s="111">
        <f t="shared" si="34"/>
        <v>2</v>
      </c>
      <c r="UX37" s="111">
        <f t="shared" si="34"/>
        <v>1</v>
      </c>
      <c r="UY37" s="111">
        <f t="shared" si="34"/>
        <v>2</v>
      </c>
      <c r="UZ37" s="111">
        <f t="shared" si="34"/>
        <v>2</v>
      </c>
      <c r="VA37" s="111">
        <f t="shared" si="34"/>
        <v>1</v>
      </c>
      <c r="VB37" s="111">
        <f t="shared" si="34"/>
        <v>1</v>
      </c>
      <c r="VC37" s="111">
        <f t="shared" si="34"/>
        <v>1</v>
      </c>
      <c r="VD37" s="111">
        <f t="shared" si="34"/>
        <v>1</v>
      </c>
      <c r="VE37" s="111">
        <f t="shared" si="34"/>
        <v>1</v>
      </c>
      <c r="VF37" s="111">
        <f t="shared" si="34"/>
        <v>1</v>
      </c>
      <c r="VG37" s="111">
        <f t="shared" si="34"/>
        <v>1</v>
      </c>
      <c r="VH37" s="111">
        <f t="shared" si="34"/>
        <v>1</v>
      </c>
      <c r="VI37" s="111">
        <f t="shared" si="34"/>
        <v>1</v>
      </c>
      <c r="VJ37" s="111">
        <f t="shared" ref="VJ37:XU37" si="35">SUM(VJ4:VJ36)</f>
        <v>1</v>
      </c>
      <c r="VK37" s="111">
        <f t="shared" si="35"/>
        <v>1</v>
      </c>
      <c r="VL37" s="111">
        <f t="shared" si="35"/>
        <v>1</v>
      </c>
      <c r="VM37" s="111">
        <f t="shared" si="35"/>
        <v>1</v>
      </c>
      <c r="VN37" s="111">
        <f t="shared" si="35"/>
        <v>1</v>
      </c>
      <c r="VO37" s="111">
        <f t="shared" si="35"/>
        <v>1</v>
      </c>
      <c r="VP37" s="111">
        <f t="shared" si="35"/>
        <v>0</v>
      </c>
      <c r="VQ37" s="111">
        <f t="shared" si="35"/>
        <v>0</v>
      </c>
      <c r="VR37" s="111">
        <f t="shared" si="35"/>
        <v>0</v>
      </c>
      <c r="VS37" s="111">
        <f t="shared" si="35"/>
        <v>1</v>
      </c>
      <c r="VT37" s="111">
        <f t="shared" si="35"/>
        <v>1</v>
      </c>
      <c r="VU37" s="111">
        <f t="shared" si="35"/>
        <v>1</v>
      </c>
      <c r="VV37" s="111">
        <f t="shared" si="35"/>
        <v>2</v>
      </c>
      <c r="VW37" s="111">
        <f t="shared" si="35"/>
        <v>2</v>
      </c>
      <c r="VX37" s="111">
        <f t="shared" si="35"/>
        <v>2</v>
      </c>
      <c r="VY37" s="111">
        <f t="shared" si="35"/>
        <v>2</v>
      </c>
      <c r="VZ37" s="111">
        <f t="shared" si="35"/>
        <v>2</v>
      </c>
      <c r="WA37" s="111">
        <f t="shared" si="35"/>
        <v>2</v>
      </c>
      <c r="WB37" s="111">
        <f t="shared" si="35"/>
        <v>2</v>
      </c>
      <c r="WC37" s="111">
        <f t="shared" si="35"/>
        <v>2</v>
      </c>
      <c r="WD37" s="111">
        <f t="shared" si="35"/>
        <v>2</v>
      </c>
      <c r="WE37" s="111">
        <f t="shared" si="35"/>
        <v>2</v>
      </c>
      <c r="WF37" s="111">
        <f t="shared" si="35"/>
        <v>2</v>
      </c>
      <c r="WG37" s="111">
        <f t="shared" si="35"/>
        <v>2</v>
      </c>
      <c r="WH37" s="111">
        <f t="shared" si="35"/>
        <v>2</v>
      </c>
      <c r="WI37" s="111">
        <f t="shared" si="35"/>
        <v>2</v>
      </c>
      <c r="WJ37" s="111">
        <f t="shared" si="35"/>
        <v>1</v>
      </c>
      <c r="WK37" s="111">
        <f t="shared" si="35"/>
        <v>2</v>
      </c>
      <c r="WL37" s="111">
        <f t="shared" si="35"/>
        <v>2</v>
      </c>
      <c r="WM37" s="111">
        <f t="shared" si="35"/>
        <v>1</v>
      </c>
      <c r="WN37" s="111">
        <f t="shared" si="35"/>
        <v>2</v>
      </c>
      <c r="WO37" s="111">
        <f t="shared" si="35"/>
        <v>2</v>
      </c>
      <c r="WP37" s="111">
        <f t="shared" si="35"/>
        <v>2</v>
      </c>
      <c r="WQ37" s="111">
        <f t="shared" si="35"/>
        <v>2</v>
      </c>
      <c r="WR37" s="111">
        <f t="shared" si="35"/>
        <v>2</v>
      </c>
      <c r="WS37" s="111">
        <f t="shared" si="35"/>
        <v>2</v>
      </c>
      <c r="WT37" s="111">
        <f t="shared" si="35"/>
        <v>2</v>
      </c>
      <c r="WU37" s="111">
        <f t="shared" si="35"/>
        <v>2</v>
      </c>
      <c r="WV37" s="111">
        <f t="shared" si="35"/>
        <v>2</v>
      </c>
      <c r="WW37" s="111">
        <f t="shared" si="35"/>
        <v>2</v>
      </c>
      <c r="WX37" s="111">
        <f t="shared" si="35"/>
        <v>2</v>
      </c>
      <c r="WY37" s="111">
        <f t="shared" si="35"/>
        <v>3</v>
      </c>
      <c r="WZ37" s="111">
        <f t="shared" si="35"/>
        <v>3</v>
      </c>
      <c r="XA37" s="111">
        <f t="shared" si="35"/>
        <v>3</v>
      </c>
      <c r="XB37" s="111">
        <f t="shared" si="35"/>
        <v>2</v>
      </c>
      <c r="XC37" s="111">
        <f t="shared" si="35"/>
        <v>2</v>
      </c>
      <c r="XD37" s="111">
        <f t="shared" si="35"/>
        <v>2</v>
      </c>
      <c r="XE37" s="111">
        <f t="shared" si="35"/>
        <v>2</v>
      </c>
      <c r="XF37" s="111">
        <f t="shared" si="35"/>
        <v>2</v>
      </c>
      <c r="XG37" s="111">
        <f t="shared" si="35"/>
        <v>2</v>
      </c>
      <c r="XH37" s="111">
        <f t="shared" si="35"/>
        <v>2</v>
      </c>
      <c r="XI37" s="111">
        <f t="shared" si="35"/>
        <v>2</v>
      </c>
      <c r="XJ37" s="111">
        <f t="shared" si="35"/>
        <v>2</v>
      </c>
      <c r="XK37" s="111">
        <f t="shared" si="35"/>
        <v>2</v>
      </c>
      <c r="XL37" s="111">
        <f t="shared" si="35"/>
        <v>2</v>
      </c>
      <c r="XM37" s="111">
        <f t="shared" si="35"/>
        <v>2</v>
      </c>
      <c r="XN37" s="111">
        <f t="shared" si="35"/>
        <v>2</v>
      </c>
      <c r="XO37" s="111">
        <f t="shared" si="35"/>
        <v>2</v>
      </c>
      <c r="XP37" s="111">
        <f t="shared" si="35"/>
        <v>1</v>
      </c>
      <c r="XQ37" s="111">
        <f t="shared" si="35"/>
        <v>1</v>
      </c>
      <c r="XR37" s="111">
        <f t="shared" si="35"/>
        <v>2</v>
      </c>
      <c r="XS37" s="111">
        <f t="shared" si="35"/>
        <v>2</v>
      </c>
      <c r="XT37" s="111">
        <f t="shared" si="35"/>
        <v>2</v>
      </c>
      <c r="XU37" s="111">
        <f t="shared" si="35"/>
        <v>3</v>
      </c>
      <c r="XV37" s="111">
        <f t="shared" ref="XV37:AAG37" si="36">SUM(XV4:XV36)</f>
        <v>2</v>
      </c>
      <c r="XW37" s="111">
        <f t="shared" si="36"/>
        <v>2</v>
      </c>
      <c r="XX37" s="111">
        <f t="shared" si="36"/>
        <v>2</v>
      </c>
      <c r="XY37" s="111">
        <f t="shared" si="36"/>
        <v>3</v>
      </c>
      <c r="XZ37" s="111">
        <f t="shared" si="36"/>
        <v>3</v>
      </c>
      <c r="YA37" s="111">
        <f t="shared" si="36"/>
        <v>3</v>
      </c>
      <c r="YB37" s="111">
        <f t="shared" si="36"/>
        <v>3</v>
      </c>
      <c r="YC37" s="111">
        <f t="shared" si="36"/>
        <v>3</v>
      </c>
      <c r="YD37" s="111">
        <f t="shared" si="36"/>
        <v>3</v>
      </c>
      <c r="YE37" s="111">
        <f t="shared" si="36"/>
        <v>3</v>
      </c>
      <c r="YF37" s="111">
        <f t="shared" si="36"/>
        <v>3</v>
      </c>
      <c r="YG37" s="111">
        <f t="shared" si="36"/>
        <v>3</v>
      </c>
      <c r="YH37" s="111">
        <f t="shared" si="36"/>
        <v>3</v>
      </c>
      <c r="YI37" s="111">
        <f t="shared" si="36"/>
        <v>2</v>
      </c>
      <c r="YJ37" s="111">
        <f t="shared" si="36"/>
        <v>2</v>
      </c>
      <c r="YK37" s="111">
        <f t="shared" si="36"/>
        <v>2</v>
      </c>
      <c r="YL37" s="111">
        <f t="shared" si="36"/>
        <v>1</v>
      </c>
      <c r="YM37" s="111">
        <f t="shared" si="36"/>
        <v>1</v>
      </c>
      <c r="YN37" s="111">
        <f t="shared" si="36"/>
        <v>1</v>
      </c>
      <c r="YO37" s="111">
        <f t="shared" si="36"/>
        <v>2</v>
      </c>
      <c r="YP37" s="111">
        <f t="shared" si="36"/>
        <v>1</v>
      </c>
      <c r="YQ37" s="111">
        <f t="shared" si="36"/>
        <v>1</v>
      </c>
      <c r="YR37" s="111">
        <f t="shared" si="36"/>
        <v>2</v>
      </c>
      <c r="YS37" s="111">
        <f t="shared" si="36"/>
        <v>2</v>
      </c>
      <c r="YT37" s="111">
        <f t="shared" si="36"/>
        <v>2</v>
      </c>
      <c r="YU37" s="111">
        <f t="shared" si="36"/>
        <v>2</v>
      </c>
      <c r="YV37" s="111">
        <f t="shared" si="36"/>
        <v>2</v>
      </c>
      <c r="YW37" s="111">
        <f t="shared" si="36"/>
        <v>2</v>
      </c>
      <c r="YX37" s="111">
        <f t="shared" si="36"/>
        <v>2</v>
      </c>
      <c r="YY37" s="111">
        <f t="shared" si="36"/>
        <v>3</v>
      </c>
      <c r="YZ37" s="111">
        <f t="shared" si="36"/>
        <v>3</v>
      </c>
      <c r="ZA37" s="111">
        <f t="shared" si="36"/>
        <v>3</v>
      </c>
      <c r="ZB37" s="111">
        <f t="shared" si="36"/>
        <v>3</v>
      </c>
      <c r="ZC37" s="111">
        <f t="shared" si="36"/>
        <v>3</v>
      </c>
      <c r="ZD37" s="111">
        <f t="shared" si="36"/>
        <v>3</v>
      </c>
      <c r="ZE37" s="111">
        <f t="shared" si="36"/>
        <v>3</v>
      </c>
      <c r="ZF37" s="111">
        <f t="shared" si="36"/>
        <v>2</v>
      </c>
      <c r="ZG37" s="111">
        <f t="shared" si="36"/>
        <v>2</v>
      </c>
      <c r="ZH37" s="111">
        <f t="shared" si="36"/>
        <v>2</v>
      </c>
      <c r="ZI37" s="111">
        <f t="shared" si="36"/>
        <v>1</v>
      </c>
      <c r="ZJ37" s="111">
        <f t="shared" si="36"/>
        <v>1</v>
      </c>
      <c r="ZK37" s="111">
        <f t="shared" si="36"/>
        <v>1</v>
      </c>
      <c r="ZL37" s="111">
        <f t="shared" si="36"/>
        <v>1</v>
      </c>
      <c r="ZM37" s="111">
        <f t="shared" si="36"/>
        <v>1</v>
      </c>
      <c r="ZN37" s="111">
        <f t="shared" si="36"/>
        <v>1</v>
      </c>
      <c r="ZO37" s="111">
        <f t="shared" si="36"/>
        <v>1</v>
      </c>
      <c r="ZP37" s="111">
        <f t="shared" si="36"/>
        <v>0</v>
      </c>
      <c r="ZQ37" s="111">
        <f t="shared" si="36"/>
        <v>0</v>
      </c>
      <c r="ZR37" s="111">
        <f t="shared" si="36"/>
        <v>0</v>
      </c>
      <c r="ZS37" s="111">
        <f t="shared" si="36"/>
        <v>0</v>
      </c>
      <c r="ZT37" s="111">
        <f t="shared" si="36"/>
        <v>0</v>
      </c>
      <c r="ZU37" s="111">
        <f t="shared" si="36"/>
        <v>0</v>
      </c>
      <c r="ZV37" s="111">
        <f t="shared" si="36"/>
        <v>0</v>
      </c>
      <c r="ZW37" s="111">
        <f t="shared" si="36"/>
        <v>0</v>
      </c>
      <c r="ZX37" s="111">
        <f t="shared" si="36"/>
        <v>0</v>
      </c>
      <c r="ZY37" s="111">
        <f t="shared" si="36"/>
        <v>0</v>
      </c>
      <c r="ZZ37" s="111">
        <f t="shared" si="36"/>
        <v>0</v>
      </c>
      <c r="AAA37" s="111">
        <f t="shared" si="36"/>
        <v>0</v>
      </c>
      <c r="AAB37" s="111">
        <f t="shared" si="36"/>
        <v>1</v>
      </c>
      <c r="AAC37" s="111">
        <f t="shared" si="36"/>
        <v>1</v>
      </c>
      <c r="AAD37" s="111">
        <f t="shared" si="36"/>
        <v>1</v>
      </c>
      <c r="AAE37" s="111">
        <f t="shared" si="36"/>
        <v>1</v>
      </c>
      <c r="AAF37" s="111">
        <f t="shared" si="36"/>
        <v>1</v>
      </c>
      <c r="AAG37" s="111">
        <f t="shared" si="36"/>
        <v>1</v>
      </c>
      <c r="AAH37" s="111">
        <f t="shared" ref="AAH37:ABR37" si="37">SUM(AAH4:AAH36)</f>
        <v>1</v>
      </c>
      <c r="AAI37" s="111">
        <f t="shared" si="37"/>
        <v>1</v>
      </c>
      <c r="AAJ37" s="111">
        <f t="shared" si="37"/>
        <v>1</v>
      </c>
      <c r="AAK37" s="111">
        <f t="shared" si="37"/>
        <v>1</v>
      </c>
      <c r="AAL37" s="111">
        <f t="shared" si="37"/>
        <v>1</v>
      </c>
      <c r="AAM37" s="111">
        <f t="shared" si="37"/>
        <v>1</v>
      </c>
      <c r="AAN37" s="111">
        <f t="shared" si="37"/>
        <v>1</v>
      </c>
      <c r="AAO37" s="111">
        <f t="shared" si="37"/>
        <v>1</v>
      </c>
      <c r="AAP37" s="111">
        <f t="shared" si="37"/>
        <v>1</v>
      </c>
      <c r="AAQ37" s="111">
        <f t="shared" si="37"/>
        <v>1</v>
      </c>
      <c r="AAR37" s="111">
        <f t="shared" si="37"/>
        <v>1</v>
      </c>
      <c r="AAS37" s="111">
        <f t="shared" si="37"/>
        <v>0</v>
      </c>
      <c r="AAT37" s="111">
        <f t="shared" si="37"/>
        <v>0</v>
      </c>
      <c r="AAU37" s="111">
        <f t="shared" si="37"/>
        <v>0</v>
      </c>
      <c r="AAV37" s="111">
        <f t="shared" si="37"/>
        <v>0</v>
      </c>
      <c r="AAW37" s="111">
        <f t="shared" si="37"/>
        <v>0</v>
      </c>
      <c r="AAX37" s="111">
        <f t="shared" si="37"/>
        <v>0</v>
      </c>
      <c r="AAY37" s="111">
        <f t="shared" si="37"/>
        <v>0</v>
      </c>
      <c r="AAZ37" s="111">
        <f t="shared" si="37"/>
        <v>0</v>
      </c>
      <c r="ABA37" s="111">
        <f t="shared" si="37"/>
        <v>0</v>
      </c>
      <c r="ABB37" s="111">
        <f t="shared" si="37"/>
        <v>0</v>
      </c>
      <c r="ABC37" s="111">
        <f t="shared" si="37"/>
        <v>0</v>
      </c>
      <c r="ABD37" s="111">
        <f t="shared" si="37"/>
        <v>0</v>
      </c>
      <c r="ABE37" s="111">
        <f t="shared" si="37"/>
        <v>0</v>
      </c>
      <c r="ABF37" s="111">
        <f t="shared" si="37"/>
        <v>0</v>
      </c>
      <c r="ABG37" s="111">
        <f t="shared" si="37"/>
        <v>0</v>
      </c>
      <c r="ABH37" s="111">
        <f t="shared" si="37"/>
        <v>0</v>
      </c>
      <c r="ABI37" s="111">
        <f t="shared" si="37"/>
        <v>0</v>
      </c>
      <c r="ABJ37" s="111">
        <f t="shared" si="37"/>
        <v>0</v>
      </c>
      <c r="ABK37" s="111">
        <f t="shared" si="37"/>
        <v>0</v>
      </c>
      <c r="ABL37" s="111">
        <f t="shared" si="37"/>
        <v>0</v>
      </c>
      <c r="ABM37" s="111">
        <f t="shared" si="37"/>
        <v>0</v>
      </c>
      <c r="ABN37" s="111">
        <f t="shared" si="37"/>
        <v>0</v>
      </c>
      <c r="ABO37" s="111">
        <f t="shared" si="37"/>
        <v>0</v>
      </c>
      <c r="ABP37" s="111">
        <f t="shared" si="37"/>
        <v>0</v>
      </c>
      <c r="ABQ37" s="111">
        <f t="shared" si="37"/>
        <v>0</v>
      </c>
      <c r="ABR37" s="112">
        <f t="shared" si="37"/>
        <v>0</v>
      </c>
      <c r="ABS37" s="113"/>
      <c r="ABT37" s="113"/>
      <c r="ABU37" s="113"/>
      <c r="ABV37" s="113"/>
      <c r="ABW37" s="113"/>
      <c r="ABX37" s="113"/>
      <c r="ABY37" s="113"/>
      <c r="ABZ37" s="113"/>
      <c r="ACA37" s="113"/>
      <c r="ACB37" s="113"/>
      <c r="ACC37" s="113"/>
      <c r="ACD37" s="113"/>
      <c r="ACE37" s="113"/>
      <c r="ACF37" s="113"/>
      <c r="ACG37" s="113"/>
      <c r="ACH37" s="113"/>
      <c r="ACI37" s="113"/>
      <c r="ACJ37" s="113"/>
      <c r="ACK37" s="113"/>
      <c r="ACL37" s="113"/>
      <c r="ACM37" s="113"/>
      <c r="ACN37" s="113"/>
      <c r="ACO37" s="113"/>
      <c r="ACP37" s="113"/>
      <c r="ACQ37" s="113"/>
      <c r="ACR37" s="113"/>
      <c r="ACS37" s="113"/>
      <c r="ACT37" s="113"/>
      <c r="ACU37" s="113"/>
      <c r="ACV37" s="113"/>
      <c r="ACW37" s="113"/>
      <c r="ACX37" s="113"/>
      <c r="ACY37" s="113"/>
      <c r="ACZ37" s="113"/>
      <c r="ADA37" s="113"/>
      <c r="ADB37" s="113"/>
      <c r="ADC37" s="113"/>
      <c r="ADD37" s="113"/>
      <c r="ADE37" s="113"/>
      <c r="ADF37" s="113"/>
      <c r="ADG37" s="113"/>
      <c r="ADH37" s="113"/>
      <c r="ADI37" s="113"/>
      <c r="ADJ37" s="113"/>
      <c r="ADK37" s="113"/>
      <c r="ADL37" s="113"/>
      <c r="ADM37" s="113"/>
      <c r="ADN37" s="113"/>
      <c r="ADO37" s="113"/>
      <c r="ADP37" s="113"/>
      <c r="ADQ37" s="113"/>
      <c r="ADR37" s="113"/>
      <c r="ADS37" s="113"/>
      <c r="ADT37" s="113"/>
      <c r="ADU37" s="113"/>
      <c r="ADV37" s="113"/>
      <c r="ADW37" s="113"/>
      <c r="ADX37" s="113"/>
      <c r="ADY37" s="113"/>
      <c r="ADZ37" s="113"/>
      <c r="AEA37" s="113"/>
      <c r="AEB37" s="113"/>
      <c r="AEC37" s="113"/>
      <c r="AED37" s="113"/>
      <c r="AEE37" s="113"/>
      <c r="AEF37" s="113"/>
      <c r="AEG37" s="113"/>
      <c r="AEH37" s="113"/>
      <c r="AEI37" s="113"/>
      <c r="AEJ37" s="113"/>
      <c r="AEK37" s="113"/>
      <c r="AEL37" s="113"/>
      <c r="AEM37" s="113"/>
      <c r="AEN37" s="113"/>
      <c r="AEO37" s="113"/>
      <c r="AEP37" s="113"/>
      <c r="AEQ37" s="113"/>
      <c r="AER37" s="113"/>
      <c r="AES37" s="113"/>
      <c r="AET37" s="113"/>
      <c r="AEU37" s="113"/>
      <c r="AEV37" s="113"/>
      <c r="AEW37" s="113"/>
      <c r="AEX37" s="113"/>
      <c r="AEY37" s="113"/>
      <c r="AEZ37" s="113"/>
      <c r="AFA37" s="113"/>
      <c r="AFB37" s="113"/>
      <c r="AFC37" s="113"/>
      <c r="AFD37" s="113"/>
      <c r="AFE37" s="113"/>
      <c r="AFF37" s="113"/>
      <c r="AFG37" s="113"/>
      <c r="AFH37" s="113"/>
      <c r="AFI37" s="113"/>
      <c r="AFJ37" s="113"/>
      <c r="AFK37" s="113"/>
      <c r="AFL37" s="113"/>
      <c r="AFM37" s="113"/>
      <c r="AFN37" s="113"/>
      <c r="AFO37" s="113"/>
      <c r="AFP37" s="113"/>
      <c r="AFQ37" s="113"/>
      <c r="AFR37" s="113"/>
      <c r="AFS37" s="113"/>
      <c r="AFT37" s="113"/>
      <c r="AFU37" s="113"/>
      <c r="AFV37" s="113"/>
      <c r="AFW37" s="113"/>
      <c r="AFX37" s="113"/>
      <c r="AFY37" s="113"/>
      <c r="AFZ37" s="113"/>
      <c r="AGA37" s="113"/>
      <c r="AGB37" s="113"/>
      <c r="AGC37" s="113"/>
      <c r="AGD37" s="113"/>
      <c r="AGE37" s="113"/>
      <c r="AGF37" s="113"/>
      <c r="AGG37" s="113"/>
      <c r="AGH37" s="113"/>
      <c r="AGI37" s="113"/>
      <c r="AGJ37" s="113"/>
      <c r="AGK37" s="113"/>
      <c r="AGL37" s="113"/>
      <c r="AGM37" s="113"/>
      <c r="AGN37" s="113"/>
      <c r="AGO37" s="113"/>
      <c r="AGP37" s="113"/>
      <c r="AGQ37" s="113"/>
      <c r="AGR37" s="113"/>
      <c r="AGS37" s="113"/>
      <c r="AGT37" s="113"/>
      <c r="AGU37" s="113"/>
      <c r="AGV37" s="113"/>
      <c r="AGW37" s="113"/>
      <c r="AGX37" s="113"/>
      <c r="AGY37" s="113"/>
      <c r="AGZ37" s="113"/>
      <c r="AHA37" s="113"/>
      <c r="AHB37" s="113"/>
      <c r="AHC37" s="113"/>
      <c r="AHD37" s="113"/>
      <c r="AHE37" s="113"/>
      <c r="AHF37" s="113"/>
      <c r="AHG37" s="113"/>
      <c r="AHH37" s="113"/>
      <c r="AHI37" s="113"/>
      <c r="AHJ37" s="113"/>
      <c r="AHK37" s="113"/>
      <c r="AHL37" s="113"/>
      <c r="AHM37" s="113"/>
      <c r="AHN37" s="113"/>
      <c r="AHO37" s="113"/>
      <c r="AHP37" s="113"/>
      <c r="AHQ37" s="113"/>
      <c r="AHR37" s="113"/>
      <c r="AHS37" s="113"/>
      <c r="AHT37" s="113"/>
      <c r="AHU37" s="113"/>
      <c r="AHV37" s="113"/>
      <c r="AHW37" s="113"/>
      <c r="AHX37" s="113"/>
      <c r="AHY37" s="113"/>
      <c r="AHZ37" s="113"/>
      <c r="AIA37" s="113"/>
      <c r="AIB37" s="113"/>
      <c r="AIC37" s="113"/>
      <c r="AID37" s="113"/>
      <c r="AIE37" s="113"/>
      <c r="AIF37" s="113"/>
      <c r="AIG37" s="113"/>
      <c r="AIH37" s="113"/>
      <c r="AII37" s="113"/>
      <c r="AIJ37" s="113"/>
      <c r="AIK37" s="113"/>
      <c r="AIL37" s="113"/>
      <c r="AIM37" s="113"/>
      <c r="AIN37" s="113"/>
      <c r="AIO37" s="113"/>
      <c r="AIP37" s="113"/>
      <c r="AIQ37" s="113"/>
      <c r="AIR37" s="113"/>
      <c r="AIS37" s="113"/>
      <c r="AIT37" s="113"/>
      <c r="AIU37" s="113"/>
      <c r="AIV37" s="113"/>
      <c r="AIW37" s="113"/>
      <c r="AIX37" s="113"/>
      <c r="AIY37" s="113"/>
      <c r="AIZ37" s="113"/>
      <c r="AJA37" s="113"/>
      <c r="AJB37" s="113"/>
      <c r="AJC37" s="113"/>
      <c r="AJD37" s="113"/>
      <c r="AJE37" s="113"/>
      <c r="AJF37" s="113"/>
      <c r="AJG37" s="113"/>
      <c r="AJH37" s="113"/>
      <c r="AJI37" s="113"/>
      <c r="AJJ37" s="113"/>
      <c r="AJK37" s="113"/>
      <c r="AJL37" s="113"/>
      <c r="AJM37" s="113"/>
      <c r="AJN37" s="113"/>
      <c r="AJO37" s="113"/>
      <c r="AJP37" s="113"/>
      <c r="AJQ37" s="113"/>
      <c r="AJR37" s="113"/>
      <c r="AJS37" s="113"/>
      <c r="AJT37" s="113"/>
      <c r="AJU37" s="113"/>
      <c r="AJV37" s="113"/>
      <c r="AJW37" s="113"/>
      <c r="AJX37" s="113"/>
      <c r="AJY37" s="113"/>
      <c r="AJZ37" s="113"/>
      <c r="AKA37" s="113"/>
      <c r="AKB37" s="113"/>
      <c r="AKC37" s="113"/>
      <c r="AKD37" s="113"/>
      <c r="AKE37" s="113"/>
      <c r="AKF37" s="113"/>
      <c r="AKG37" s="113"/>
      <c r="AKH37" s="113"/>
      <c r="AKI37" s="113"/>
      <c r="AKJ37" s="113"/>
      <c r="AKK37" s="113"/>
      <c r="AKL37" s="113"/>
      <c r="AKM37" s="113"/>
      <c r="AKN37" s="113"/>
      <c r="AKO37" s="113"/>
      <c r="AKP37" s="113"/>
      <c r="AKQ37" s="113"/>
      <c r="AKR37" s="113"/>
      <c r="AKS37" s="113"/>
      <c r="AKT37" s="113"/>
      <c r="AKU37" s="113"/>
      <c r="AKV37" s="113"/>
      <c r="AKW37" s="113"/>
      <c r="AKX37" s="113"/>
      <c r="AKY37" s="113"/>
      <c r="AKZ37" s="113"/>
      <c r="ALA37" s="113"/>
      <c r="ALB37" s="113"/>
      <c r="ALC37" s="113"/>
      <c r="ALD37" s="113"/>
      <c r="ALE37" s="113"/>
      <c r="ALF37" s="113"/>
      <c r="ALG37" s="113"/>
      <c r="ALH37" s="113"/>
      <c r="ALI37" s="113"/>
      <c r="ALJ37" s="113"/>
      <c r="ALK37" s="113"/>
      <c r="ALL37" s="113"/>
      <c r="ALM37" s="113"/>
      <c r="ALN37" s="113"/>
      <c r="ALO37" s="113"/>
      <c r="ALP37" s="113"/>
      <c r="ALQ37" s="113"/>
      <c r="ALR37" s="113"/>
      <c r="ALS37" s="113"/>
      <c r="ALT37" s="113"/>
      <c r="ALU37" s="113"/>
      <c r="ALV37" s="113"/>
      <c r="ALW37" s="113"/>
      <c r="ALX37" s="113"/>
      <c r="ALY37" s="113"/>
      <c r="ALZ37" s="113"/>
      <c r="AMA37" s="113"/>
      <c r="AMB37" s="113"/>
      <c r="AMC37" s="113"/>
      <c r="AMD37" s="113"/>
      <c r="AME37" s="113"/>
      <c r="AMF37" s="113"/>
      <c r="AMG37" s="113"/>
      <c r="AMH37" s="113"/>
      <c r="AMI37" s="113"/>
      <c r="AMJ37" s="113"/>
      <c r="AMK37" s="113"/>
      <c r="AML37" s="113"/>
      <c r="AMM37" s="113"/>
      <c r="AMN37" s="113"/>
      <c r="AMO37" s="113"/>
      <c r="AMP37" s="113"/>
      <c r="AMQ37" s="113"/>
      <c r="AMR37" s="113"/>
      <c r="AMS37" s="113"/>
      <c r="AMT37" s="113"/>
      <c r="AMU37" s="113"/>
      <c r="AMV37" s="113"/>
      <c r="AMW37" s="113"/>
      <c r="AMX37" s="113"/>
      <c r="AMY37" s="113"/>
      <c r="AMZ37" s="113"/>
      <c r="ANA37" s="113"/>
      <c r="ANB37" s="113"/>
      <c r="ANC37" s="113"/>
      <c r="AND37" s="113"/>
      <c r="ANE37" s="113"/>
      <c r="ANF37" s="113"/>
      <c r="ANG37" s="113"/>
      <c r="ANH37" s="113"/>
      <c r="ANI37" s="113"/>
      <c r="ANJ37" s="113"/>
      <c r="ANK37" s="113"/>
      <c r="ANL37" s="113"/>
      <c r="ANM37" s="113"/>
      <c r="ANN37" s="113"/>
      <c r="ANO37" s="113"/>
      <c r="ANP37" s="113"/>
      <c r="ANQ37" s="113"/>
      <c r="ANR37" s="113"/>
      <c r="ANS37" s="113"/>
      <c r="ANT37" s="113"/>
      <c r="ANU37" s="113"/>
      <c r="ANV37" s="113"/>
      <c r="ANW37" s="113"/>
      <c r="ANX37" s="113"/>
      <c r="ANY37" s="113"/>
      <c r="ANZ37" s="113"/>
      <c r="AOA37" s="113"/>
      <c r="AOB37" s="113"/>
      <c r="AOC37" s="113"/>
      <c r="AOD37" s="113"/>
      <c r="AOE37" s="113"/>
      <c r="AOF37" s="113"/>
      <c r="AOG37" s="113"/>
      <c r="AOH37" s="113"/>
      <c r="AOI37" s="113"/>
      <c r="AOJ37" s="113"/>
      <c r="AOK37" s="113"/>
      <c r="AOL37" s="113"/>
      <c r="AOM37" s="113"/>
      <c r="AON37" s="113"/>
      <c r="AOO37" s="113"/>
      <c r="AOP37" s="113"/>
      <c r="AOQ37" s="113"/>
      <c r="AOR37" s="113"/>
      <c r="AOS37" s="113"/>
      <c r="AOT37" s="113"/>
      <c r="AOU37" s="113"/>
      <c r="AOV37" s="113"/>
      <c r="AOW37" s="113"/>
      <c r="AOX37" s="113"/>
      <c r="AOY37" s="113"/>
      <c r="AOZ37" s="113"/>
      <c r="APA37" s="113"/>
      <c r="APB37" s="113"/>
      <c r="APC37" s="113"/>
      <c r="APD37" s="113"/>
      <c r="APE37" s="113"/>
      <c r="APF37" s="113"/>
      <c r="APG37" s="113"/>
      <c r="APH37" s="113"/>
      <c r="API37" s="113"/>
      <c r="APJ37" s="113"/>
      <c r="APK37" s="113"/>
      <c r="APL37" s="113"/>
      <c r="APM37" s="113"/>
      <c r="APN37" s="113"/>
      <c r="APO37" s="113"/>
      <c r="APP37" s="113"/>
      <c r="APQ37" s="113"/>
      <c r="APR37" s="113"/>
      <c r="APS37" s="113"/>
      <c r="APT37" s="113"/>
      <c r="APU37" s="113"/>
      <c r="APV37" s="113"/>
      <c r="APW37" s="113"/>
      <c r="APX37" s="113"/>
      <c r="APY37" s="113"/>
      <c r="APZ37" s="113"/>
      <c r="AQA37" s="113"/>
      <c r="AQB37" s="113"/>
      <c r="AQC37" s="113"/>
      <c r="AQD37" s="113"/>
      <c r="AQE37" s="113"/>
      <c r="AQF37" s="113"/>
      <c r="AQG37" s="113"/>
      <c r="AQH37" s="113"/>
      <c r="AQI37" s="113"/>
      <c r="AQJ37" s="113"/>
      <c r="AQK37" s="113"/>
      <c r="AQL37" s="113"/>
      <c r="AQM37" s="113"/>
      <c r="AQN37" s="113"/>
      <c r="AQO37" s="113"/>
      <c r="AQP37" s="113"/>
      <c r="AQQ37" s="113"/>
      <c r="AQR37" s="113"/>
      <c r="AQS37" s="113"/>
      <c r="AQT37" s="113"/>
      <c r="AQU37" s="113"/>
      <c r="AQV37" s="113"/>
      <c r="AQW37" s="113"/>
      <c r="AQX37" s="113"/>
      <c r="AQY37" s="113"/>
      <c r="AQZ37" s="113"/>
      <c r="ARA37" s="113"/>
      <c r="ARB37" s="113"/>
      <c r="ARC37" s="113"/>
      <c r="ARD37" s="113"/>
      <c r="ARE37" s="113"/>
      <c r="ARF37" s="113"/>
      <c r="ARG37" s="113"/>
      <c r="ARH37" s="113"/>
      <c r="ARI37" s="113"/>
      <c r="ARJ37" s="113"/>
      <c r="ARK37" s="113"/>
      <c r="ARL37" s="113"/>
      <c r="ARM37" s="113"/>
      <c r="ARN37" s="113"/>
      <c r="ARO37" s="113"/>
      <c r="ARP37" s="113"/>
      <c r="ARQ37" s="113"/>
      <c r="ARR37" s="113"/>
      <c r="ARS37" s="113"/>
      <c r="ART37" s="113"/>
      <c r="ARU37" s="113"/>
      <c r="ARV37" s="113"/>
      <c r="ARW37" s="113"/>
      <c r="ARX37" s="113"/>
      <c r="ARY37" s="113"/>
      <c r="ARZ37" s="113"/>
      <c r="ASA37" s="113"/>
      <c r="ASB37" s="113"/>
      <c r="ASC37" s="113"/>
      <c r="ASD37" s="113"/>
      <c r="ASE37" s="113"/>
      <c r="ASF37" s="113"/>
      <c r="ASG37" s="113"/>
      <c r="ASH37" s="113"/>
      <c r="ASI37" s="113"/>
      <c r="ASJ37" s="113"/>
      <c r="ASK37" s="113"/>
      <c r="ASL37" s="113"/>
      <c r="ASM37" s="113"/>
      <c r="ASN37" s="113"/>
      <c r="ASO37" s="113"/>
      <c r="ASP37" s="113"/>
      <c r="ASQ37" s="113"/>
      <c r="ASR37" s="113"/>
      <c r="ASS37" s="113"/>
      <c r="AST37" s="113"/>
      <c r="ASU37" s="113"/>
      <c r="ASV37" s="113"/>
      <c r="ASW37" s="113"/>
      <c r="ASX37" s="113"/>
      <c r="ASY37" s="113"/>
      <c r="ASZ37" s="113"/>
      <c r="ATA37" s="113"/>
      <c r="ATB37" s="113"/>
      <c r="ATC37" s="113"/>
      <c r="ATD37" s="113"/>
      <c r="ATE37" s="113"/>
      <c r="ATF37" s="113"/>
      <c r="ATG37" s="113"/>
      <c r="ATH37" s="113"/>
      <c r="ATI37" s="113"/>
      <c r="ATJ37" s="113"/>
      <c r="ATK37" s="113"/>
      <c r="ATL37" s="113"/>
      <c r="ATM37" s="113"/>
      <c r="ATN37" s="113"/>
      <c r="ATO37" s="113"/>
      <c r="ATP37" s="113"/>
      <c r="ATQ37" s="113"/>
      <c r="ATR37" s="113"/>
      <c r="ATS37" s="113"/>
      <c r="ATT37" s="113"/>
      <c r="ATU37" s="113"/>
      <c r="ATV37" s="113"/>
      <c r="ATW37" s="113"/>
      <c r="ATX37" s="113"/>
      <c r="ATY37" s="113"/>
      <c r="ATZ37" s="113"/>
      <c r="AUA37" s="113"/>
      <c r="AUB37" s="113"/>
      <c r="AUC37" s="113"/>
      <c r="AUD37" s="113"/>
      <c r="AUE37" s="113"/>
      <c r="AUF37" s="113"/>
      <c r="AUG37" s="113"/>
      <c r="AUH37" s="113"/>
      <c r="AUI37" s="113"/>
      <c r="AUJ37" s="113"/>
      <c r="AUK37" s="113"/>
      <c r="AUL37" s="113"/>
      <c r="AUM37" s="113"/>
      <c r="AUN37" s="113"/>
      <c r="AUO37" s="113"/>
      <c r="AUP37" s="113"/>
      <c r="AUQ37" s="113"/>
      <c r="AUR37" s="113"/>
      <c r="AUS37" s="113"/>
      <c r="AUT37" s="113"/>
      <c r="AUU37" s="113"/>
      <c r="AUV37" s="113"/>
      <c r="AUW37" s="113"/>
      <c r="AUX37" s="113"/>
      <c r="AUY37" s="113"/>
      <c r="AUZ37" s="113"/>
      <c r="AVA37" s="113"/>
      <c r="AVB37" s="113"/>
      <c r="AVC37" s="113"/>
      <c r="AVD37" s="113"/>
      <c r="AVE37" s="113"/>
      <c r="AVF37" s="113"/>
      <c r="AVG37" s="113"/>
      <c r="AVH37" s="113"/>
      <c r="AVI37" s="113"/>
      <c r="AVJ37" s="113"/>
      <c r="AVK37" s="113"/>
      <c r="AVL37" s="113"/>
      <c r="AVM37" s="113"/>
      <c r="AVN37" s="113"/>
      <c r="AVO37" s="113"/>
      <c r="AVP37" s="113"/>
      <c r="AVQ37" s="113"/>
      <c r="AVR37" s="113"/>
      <c r="AVS37" s="113"/>
      <c r="AVT37" s="113"/>
      <c r="AVU37" s="113"/>
      <c r="AVV37" s="113"/>
      <c r="AVW37" s="113"/>
      <c r="AVX37" s="113"/>
      <c r="AVY37" s="113"/>
      <c r="AVZ37" s="113"/>
      <c r="AWA37" s="113"/>
      <c r="AWB37" s="113"/>
      <c r="AWC37" s="113"/>
      <c r="AWD37" s="113"/>
      <c r="AWE37" s="113"/>
      <c r="AWF37" s="113"/>
      <c r="AWG37" s="113"/>
      <c r="AWH37" s="113"/>
      <c r="AWI37" s="113"/>
      <c r="AWJ37" s="113"/>
      <c r="AWK37" s="113"/>
      <c r="AWL37" s="113"/>
      <c r="AWM37" s="113"/>
      <c r="AWN37" s="113"/>
      <c r="AWO37" s="113"/>
      <c r="AWP37" s="113"/>
      <c r="AWQ37" s="113"/>
      <c r="AWR37" s="113"/>
      <c r="AWS37" s="113"/>
      <c r="AWT37" s="113"/>
      <c r="AWU37" s="113"/>
      <c r="AWV37" s="113"/>
      <c r="AWW37" s="113"/>
      <c r="AWX37" s="113"/>
      <c r="AWY37" s="113"/>
      <c r="AWZ37" s="113"/>
      <c r="AXA37" s="113"/>
      <c r="AXB37" s="113"/>
      <c r="AXC37" s="113"/>
      <c r="AXD37" s="113"/>
      <c r="AXE37" s="113"/>
      <c r="AXF37" s="113"/>
      <c r="AXG37" s="113"/>
      <c r="AXH37" s="113"/>
      <c r="AXI37" s="113"/>
      <c r="AXJ37" s="113"/>
      <c r="AXK37" s="113"/>
      <c r="AXL37" s="113"/>
      <c r="AXM37" s="113"/>
      <c r="AXN37" s="113"/>
      <c r="AXO37" s="113"/>
      <c r="AXP37" s="113"/>
      <c r="AXQ37" s="113"/>
      <c r="AXR37" s="113"/>
      <c r="AXS37" s="113"/>
      <c r="AXT37" s="113"/>
      <c r="AXU37" s="113"/>
      <c r="AXV37" s="113"/>
      <c r="AXW37" s="113"/>
      <c r="AXX37" s="113"/>
      <c r="AXY37" s="113"/>
      <c r="AXZ37" s="113"/>
      <c r="AYA37" s="113"/>
      <c r="AYB37" s="113"/>
      <c r="AYC37" s="113"/>
      <c r="AYD37" s="113"/>
      <c r="AYE37" s="113"/>
      <c r="AYF37" s="113"/>
      <c r="AYG37" s="113"/>
      <c r="AYH37" s="113"/>
      <c r="AYI37" s="113"/>
      <c r="AYJ37" s="113"/>
      <c r="AYK37" s="113"/>
      <c r="AYL37" s="113"/>
      <c r="AYM37" s="113"/>
      <c r="AYN37" s="113"/>
      <c r="AYO37" s="113"/>
      <c r="AYP37" s="113"/>
      <c r="AYQ37" s="113"/>
      <c r="AYR37" s="113"/>
      <c r="AYS37" s="113"/>
      <c r="AYT37" s="113"/>
      <c r="AYU37" s="113"/>
      <c r="AYV37" s="113"/>
      <c r="AYW37" s="113"/>
      <c r="AYX37" s="113"/>
      <c r="AYY37" s="113"/>
      <c r="AYZ37" s="113"/>
      <c r="AZA37" s="113"/>
      <c r="AZB37" s="113"/>
      <c r="AZC37" s="113"/>
      <c r="AZD37" s="113"/>
      <c r="AZE37" s="113"/>
      <c r="AZF37" s="113"/>
      <c r="AZG37" s="113"/>
      <c r="AZH37" s="113"/>
      <c r="AZI37" s="113"/>
      <c r="AZJ37" s="113"/>
      <c r="AZK37" s="113"/>
      <c r="AZL37" s="113"/>
      <c r="AZM37" s="113"/>
      <c r="AZN37" s="113"/>
      <c r="AZO37" s="113"/>
      <c r="AZP37" s="113"/>
      <c r="AZQ37" s="113"/>
      <c r="AZR37" s="113"/>
      <c r="AZS37" s="113"/>
      <c r="AZT37" s="113"/>
      <c r="AZU37" s="113"/>
      <c r="AZV37" s="113"/>
      <c r="AZW37" s="113"/>
      <c r="AZX37" s="113"/>
      <c r="AZY37" s="113"/>
      <c r="AZZ37" s="113"/>
      <c r="BAA37" s="113"/>
      <c r="BAB37" s="113"/>
      <c r="BAC37" s="113"/>
      <c r="BAD37" s="113"/>
      <c r="BAE37" s="113"/>
      <c r="BAF37" s="113"/>
      <c r="BAG37" s="113"/>
      <c r="BAH37" s="113"/>
      <c r="BAI37" s="113"/>
      <c r="BAJ37" s="113"/>
      <c r="BAK37" s="113"/>
      <c r="BAL37" s="113"/>
      <c r="BAM37" s="113"/>
      <c r="BAN37" s="113"/>
      <c r="BAO37" s="113"/>
      <c r="BAP37" s="113"/>
      <c r="BAQ37" s="113"/>
      <c r="BAR37" s="113"/>
      <c r="BAS37" s="113"/>
      <c r="BAT37" s="113"/>
      <c r="BAU37" s="113"/>
      <c r="BAV37" s="113"/>
      <c r="BAW37" s="113"/>
      <c r="BAX37" s="113"/>
      <c r="BAY37" s="113"/>
      <c r="BAZ37" s="113"/>
      <c r="BBA37" s="113"/>
      <c r="BBB37" s="113"/>
      <c r="BBC37" s="113"/>
      <c r="BBD37" s="113"/>
      <c r="BBE37" s="113"/>
      <c r="BBF37" s="113"/>
      <c r="BBG37" s="113"/>
      <c r="BBH37" s="113"/>
      <c r="BBI37" s="113"/>
      <c r="BBJ37" s="113"/>
      <c r="BBK37" s="113"/>
      <c r="BBL37" s="113"/>
      <c r="BBM37" s="113"/>
      <c r="BBN37" s="113"/>
      <c r="BBO37" s="113"/>
      <c r="BBP37" s="113"/>
      <c r="BBQ37" s="113"/>
      <c r="BBR37" s="113"/>
      <c r="BBS37" s="113"/>
      <c r="BBT37" s="113"/>
      <c r="BBU37" s="113"/>
      <c r="BBV37" s="113"/>
      <c r="BBW37" s="113"/>
      <c r="BBX37" s="113"/>
      <c r="BBY37" s="113"/>
      <c r="BBZ37" s="113"/>
      <c r="BCA37" s="113"/>
      <c r="BCB37" s="113"/>
      <c r="BCC37" s="113"/>
      <c r="BCD37" s="113"/>
      <c r="BCE37" s="113"/>
      <c r="BCF37" s="113"/>
      <c r="BCG37" s="113"/>
      <c r="BCH37" s="113"/>
      <c r="BCI37" s="113"/>
      <c r="BCJ37" s="113"/>
      <c r="BCK37" s="113"/>
      <c r="BCL37" s="113"/>
      <c r="BCM37" s="113"/>
      <c r="BCN37" s="113"/>
      <c r="BCO37" s="113"/>
      <c r="BCP37" s="113"/>
      <c r="BCQ37" s="113"/>
      <c r="BCR37" s="113"/>
      <c r="BCS37" s="113"/>
      <c r="BCT37" s="113"/>
      <c r="BCU37" s="113"/>
      <c r="BCV37" s="113"/>
      <c r="BCW37" s="113"/>
      <c r="BCX37" s="113"/>
      <c r="BCY37" s="113"/>
      <c r="BCZ37" s="113"/>
      <c r="BDA37" s="113"/>
      <c r="BDB37" s="113"/>
      <c r="BDC37" s="113"/>
      <c r="BDD37" s="113"/>
      <c r="BDE37" s="113"/>
      <c r="BDF37" s="113"/>
      <c r="BDG37" s="113"/>
      <c r="BDH37" s="113"/>
      <c r="BDI37" s="113"/>
      <c r="BDJ37" s="113"/>
      <c r="BDK37" s="113"/>
      <c r="BDL37" s="113"/>
      <c r="BDM37" s="113"/>
      <c r="BDN37" s="113"/>
      <c r="BDO37" s="113"/>
      <c r="BDP37" s="113"/>
      <c r="BDQ37" s="113"/>
      <c r="BDR37" s="113"/>
      <c r="BDS37" s="113"/>
      <c r="BDT37" s="113"/>
      <c r="BDU37" s="113"/>
      <c r="BDV37" s="113"/>
      <c r="BDW37" s="113"/>
      <c r="BDX37" s="113"/>
      <c r="BDY37" s="113"/>
      <c r="BDZ37" s="113"/>
      <c r="BEA37" s="113"/>
      <c r="BEB37" s="113"/>
      <c r="BEC37" s="113"/>
      <c r="BED37" s="113"/>
      <c r="BEE37" s="113"/>
      <c r="BEF37" s="113"/>
      <c r="BEG37" s="113"/>
      <c r="BEH37" s="113"/>
      <c r="BEI37" s="113"/>
      <c r="BEJ37" s="113"/>
      <c r="BEK37" s="113"/>
      <c r="BEL37" s="113"/>
      <c r="BEM37" s="113"/>
      <c r="BEN37" s="113"/>
      <c r="BEO37" s="113"/>
      <c r="BEP37" s="113"/>
      <c r="BEQ37" s="113"/>
      <c r="BER37" s="113"/>
      <c r="BES37" s="113"/>
      <c r="BET37" s="113"/>
      <c r="BEU37" s="113"/>
      <c r="BEV37" s="113"/>
      <c r="BEW37" s="113"/>
      <c r="BEX37" s="113"/>
      <c r="BEY37" s="113"/>
      <c r="BEZ37" s="113"/>
      <c r="BFA37" s="113"/>
      <c r="BFB37" s="113"/>
      <c r="BFC37" s="113"/>
      <c r="BFD37" s="113"/>
      <c r="BFE37" s="113"/>
      <c r="BFF37" s="113"/>
      <c r="BFG37" s="113"/>
      <c r="BFH37" s="113"/>
      <c r="BFI37" s="113"/>
      <c r="BFJ37" s="113"/>
      <c r="BFK37" s="113"/>
      <c r="BFL37" s="113"/>
      <c r="BFM37" s="113"/>
      <c r="BFN37" s="113"/>
      <c r="BFO37" s="113"/>
      <c r="BFP37" s="113"/>
      <c r="BFQ37" s="113"/>
      <c r="BFR37" s="113"/>
      <c r="BFS37" s="113"/>
      <c r="BFT37" s="113"/>
      <c r="BFU37" s="113"/>
      <c r="BFV37" s="113"/>
      <c r="BFW37" s="113"/>
      <c r="BFX37" s="113"/>
      <c r="BFY37" s="113"/>
      <c r="BFZ37" s="113"/>
      <c r="BGA37" s="113"/>
      <c r="BGB37" s="113"/>
      <c r="BGC37" s="113"/>
      <c r="BGD37" s="113"/>
      <c r="BGE37" s="113"/>
      <c r="BGF37" s="113"/>
      <c r="BGG37" s="113"/>
      <c r="BGH37" s="113"/>
      <c r="BGI37" s="113"/>
      <c r="BGJ37" s="113"/>
      <c r="BGK37" s="113"/>
      <c r="BGL37" s="113"/>
      <c r="BGM37" s="113"/>
      <c r="BGN37" s="113"/>
      <c r="BGO37" s="113"/>
      <c r="BGP37" s="113"/>
      <c r="BGQ37" s="113"/>
      <c r="BGR37" s="113"/>
      <c r="BGS37" s="113"/>
      <c r="BGT37" s="113"/>
      <c r="BGU37" s="113"/>
      <c r="BGV37" s="113"/>
      <c r="BGW37" s="113"/>
      <c r="BGX37" s="113"/>
      <c r="BGY37" s="113"/>
      <c r="BGZ37" s="113"/>
      <c r="BHA37" s="113"/>
      <c r="BHB37" s="113"/>
      <c r="BHC37" s="113"/>
      <c r="BHD37" s="113"/>
      <c r="BHE37" s="113"/>
      <c r="BHF37" s="113"/>
      <c r="BHG37" s="113"/>
      <c r="BHH37" s="113"/>
      <c r="BHI37" s="113"/>
      <c r="BHJ37" s="113"/>
      <c r="BHK37" s="113"/>
      <c r="BHL37" s="113"/>
      <c r="BHM37" s="113"/>
      <c r="BHN37" s="113"/>
      <c r="BHO37" s="113"/>
      <c r="BHP37" s="113"/>
      <c r="BHQ37" s="113"/>
      <c r="BHR37" s="113"/>
      <c r="BHS37" s="113"/>
      <c r="BHT37" s="113"/>
      <c r="BHU37" s="113"/>
      <c r="BHV37" s="113"/>
      <c r="BHW37" s="113"/>
      <c r="BHX37" s="113"/>
      <c r="BHY37" s="113"/>
      <c r="BHZ37" s="113"/>
      <c r="BIA37" s="113"/>
      <c r="BIB37" s="113"/>
      <c r="BIC37" s="113"/>
      <c r="BID37" s="113"/>
      <c r="BIE37" s="113"/>
      <c r="BIF37" s="113"/>
      <c r="BIG37" s="113"/>
      <c r="BIH37" s="113"/>
      <c r="BII37" s="113"/>
      <c r="BIJ37" s="113"/>
      <c r="BIK37" s="113"/>
      <c r="BIL37" s="113"/>
      <c r="BIM37" s="113"/>
      <c r="BIN37" s="113"/>
      <c r="BIO37" s="113"/>
      <c r="BIP37" s="113"/>
      <c r="BIQ37" s="113"/>
      <c r="BIR37" s="113"/>
      <c r="BIS37" s="113"/>
      <c r="BIT37" s="113"/>
      <c r="BIU37" s="113"/>
      <c r="BIV37" s="113"/>
      <c r="BIW37" s="113"/>
      <c r="BIX37" s="113"/>
      <c r="BIY37" s="113"/>
      <c r="BIZ37" s="113"/>
      <c r="BJA37" s="113"/>
      <c r="BJB37" s="113"/>
      <c r="BJC37" s="113"/>
      <c r="BJD37" s="113"/>
      <c r="BJE37" s="113"/>
      <c r="BJF37" s="113"/>
      <c r="BJG37" s="113"/>
      <c r="BJH37" s="113"/>
      <c r="BJI37" s="113"/>
      <c r="BJJ37" s="113"/>
      <c r="BJK37" s="113"/>
      <c r="BJL37" s="113"/>
      <c r="BJM37" s="113"/>
      <c r="BJN37" s="113"/>
      <c r="BJO37" s="113"/>
      <c r="BJP37" s="113"/>
      <c r="BJQ37" s="113"/>
      <c r="BJR37" s="113"/>
      <c r="BJS37" s="113"/>
      <c r="BJT37" s="113"/>
      <c r="BJU37" s="113"/>
      <c r="BJV37" s="113"/>
      <c r="BJW37" s="113"/>
      <c r="BJX37" s="113"/>
      <c r="BJY37" s="113"/>
      <c r="BJZ37" s="113"/>
      <c r="BKA37" s="113"/>
      <c r="BKB37" s="113"/>
      <c r="BKC37" s="113"/>
      <c r="BKD37" s="113"/>
      <c r="BKE37" s="113"/>
      <c r="BKF37" s="113"/>
      <c r="BKG37" s="113"/>
      <c r="BKH37" s="113"/>
      <c r="BKI37" s="113"/>
      <c r="BKJ37" s="113"/>
      <c r="BKK37" s="113"/>
      <c r="BKL37" s="113"/>
      <c r="BKM37" s="113"/>
      <c r="BKN37" s="113"/>
      <c r="BKO37" s="113"/>
      <c r="BKP37" s="113"/>
      <c r="BKQ37" s="113"/>
      <c r="BKR37" s="113"/>
      <c r="BKS37" s="113"/>
      <c r="BKT37" s="113"/>
      <c r="BKU37" s="113"/>
      <c r="BKV37" s="113"/>
      <c r="BKW37" s="113"/>
      <c r="BKX37" s="113"/>
      <c r="BKY37" s="113"/>
      <c r="BKZ37" s="113"/>
      <c r="BLA37" s="113"/>
      <c r="BLB37" s="113"/>
      <c r="BLC37" s="113"/>
      <c r="BLD37" s="113"/>
      <c r="BLE37" s="113"/>
      <c r="BLF37" s="113"/>
      <c r="BLG37" s="113"/>
      <c r="BLH37" s="113"/>
      <c r="BLI37" s="113"/>
      <c r="BLJ37" s="113"/>
      <c r="BLK37" s="113"/>
      <c r="BLL37" s="113"/>
      <c r="BLM37" s="113"/>
      <c r="BLN37" s="113"/>
      <c r="BLO37" s="113"/>
      <c r="BLP37" s="113"/>
      <c r="BLQ37" s="113"/>
      <c r="BLR37" s="113"/>
      <c r="BLS37" s="113"/>
      <c r="BLT37" s="113"/>
      <c r="BLU37" s="113"/>
      <c r="BLV37" s="113"/>
      <c r="BLW37" s="113"/>
      <c r="BLX37" s="113"/>
      <c r="BLY37" s="113"/>
      <c r="BLZ37" s="113"/>
      <c r="BMA37" s="113"/>
      <c r="BMB37" s="113"/>
      <c r="BMC37" s="113"/>
      <c r="BMD37" s="113"/>
      <c r="BME37" s="113"/>
      <c r="BMF37" s="113"/>
      <c r="BMG37" s="113"/>
      <c r="BMH37" s="113"/>
      <c r="BMI37" s="113"/>
      <c r="BMJ37" s="113"/>
      <c r="BMK37" s="113"/>
      <c r="BML37" s="113"/>
      <c r="BMM37" s="113"/>
      <c r="BMN37" s="113"/>
      <c r="BMO37" s="113"/>
      <c r="BMP37" s="113"/>
      <c r="BMQ37" s="113"/>
      <c r="BMR37" s="113"/>
      <c r="BMS37" s="113"/>
      <c r="BMT37" s="113"/>
      <c r="BMU37" s="113"/>
      <c r="BMV37" s="113"/>
      <c r="BMW37" s="113"/>
      <c r="BMX37" s="113"/>
      <c r="BMY37" s="113"/>
      <c r="BMZ37" s="113"/>
      <c r="BNA37" s="113"/>
      <c r="BNB37" s="113"/>
      <c r="BNC37" s="113"/>
      <c r="BND37" s="113"/>
      <c r="BNE37" s="113"/>
      <c r="BNF37" s="113"/>
      <c r="BNG37" s="113"/>
      <c r="BNH37" s="113"/>
      <c r="BNI37" s="113"/>
      <c r="BNJ37" s="113"/>
      <c r="BNK37" s="113"/>
      <c r="BNL37" s="113"/>
      <c r="BNM37" s="113"/>
      <c r="BNN37" s="113"/>
      <c r="BNO37" s="113"/>
      <c r="BNP37" s="113"/>
      <c r="BNQ37" s="113"/>
      <c r="BNR37" s="113"/>
      <c r="BNS37" s="113"/>
      <c r="BNT37" s="113"/>
      <c r="BNU37" s="113"/>
      <c r="BNV37" s="113"/>
      <c r="BNW37" s="113"/>
      <c r="BNX37" s="113"/>
      <c r="BNY37" s="113"/>
      <c r="BNZ37" s="113"/>
      <c r="BOA37" s="113"/>
      <c r="BOB37" s="113"/>
      <c r="BOC37" s="113"/>
      <c r="BOD37" s="113"/>
      <c r="BOE37" s="113"/>
      <c r="BOF37" s="113"/>
      <c r="BOG37" s="113"/>
      <c r="BOH37" s="113"/>
      <c r="BOI37" s="113"/>
      <c r="BOJ37" s="113"/>
      <c r="BOK37" s="113"/>
      <c r="BOL37" s="113"/>
      <c r="BOM37" s="113"/>
      <c r="BON37" s="113"/>
      <c r="BOO37" s="113"/>
      <c r="BOP37" s="113"/>
      <c r="BOQ37" s="113"/>
      <c r="BOR37" s="113"/>
      <c r="BOS37" s="113"/>
      <c r="BOT37" s="113"/>
      <c r="BOU37" s="113"/>
      <c r="BOV37" s="113"/>
      <c r="BOW37" s="113"/>
      <c r="BOX37" s="113"/>
      <c r="BOY37" s="113"/>
      <c r="BOZ37" s="113"/>
      <c r="BPA37" s="113"/>
      <c r="BPB37" s="113"/>
      <c r="BPC37" s="113"/>
      <c r="BPD37" s="113"/>
      <c r="BPE37" s="113"/>
      <c r="BPF37" s="113"/>
      <c r="BPG37" s="113"/>
      <c r="BPH37" s="113"/>
      <c r="BPI37" s="113"/>
      <c r="BPJ37" s="113"/>
      <c r="BPK37" s="113"/>
      <c r="BPL37" s="113"/>
      <c r="BPM37" s="113"/>
      <c r="BPN37" s="113"/>
      <c r="BPO37" s="113"/>
      <c r="BPP37" s="113"/>
      <c r="BPQ37" s="113"/>
      <c r="BPR37" s="113"/>
      <c r="BPS37" s="113"/>
      <c r="BPT37" s="113"/>
      <c r="BPU37" s="113"/>
      <c r="BPV37" s="113"/>
      <c r="BPW37" s="113"/>
      <c r="BPX37" s="113"/>
      <c r="BPY37" s="113"/>
      <c r="BPZ37" s="113"/>
      <c r="BQA37" s="113"/>
      <c r="BQB37" s="113"/>
      <c r="BQC37" s="113"/>
      <c r="BQD37" s="113"/>
      <c r="BQE37" s="113"/>
      <c r="BQF37" s="113"/>
      <c r="BQG37" s="113"/>
      <c r="BQH37" s="113"/>
      <c r="BQI37" s="113"/>
      <c r="BQJ37" s="113"/>
      <c r="BQK37" s="113"/>
      <c r="BQL37" s="113"/>
      <c r="BQM37" s="113"/>
      <c r="BQN37" s="113"/>
      <c r="BQO37" s="113"/>
      <c r="BQP37" s="113"/>
      <c r="BQQ37" s="113"/>
      <c r="BQR37" s="113"/>
      <c r="BQS37" s="113"/>
      <c r="BQT37" s="113"/>
      <c r="BQU37" s="113"/>
      <c r="BQV37" s="113"/>
      <c r="BQW37" s="113"/>
      <c r="BQX37" s="113"/>
      <c r="BQY37" s="113"/>
      <c r="BQZ37" s="113"/>
      <c r="BRA37" s="113"/>
      <c r="BRB37" s="113"/>
    </row>
    <row r="38" spans="1:1822" s="37" customFormat="1" x14ac:dyDescent="0.3">
      <c r="A38" s="2"/>
      <c r="B38" s="2"/>
      <c r="O38" s="114" t="s">
        <v>63</v>
      </c>
      <c r="P38" s="115"/>
      <c r="Q38" s="23">
        <v>18</v>
      </c>
      <c r="R38" s="23">
        <v>18</v>
      </c>
      <c r="S38" s="23">
        <v>18</v>
      </c>
      <c r="T38" s="23">
        <v>18</v>
      </c>
      <c r="U38" s="23">
        <v>18</v>
      </c>
      <c r="V38" s="23">
        <v>18</v>
      </c>
      <c r="W38" s="23">
        <v>18</v>
      </c>
      <c r="X38" s="23">
        <v>18</v>
      </c>
      <c r="Y38" s="23">
        <v>18</v>
      </c>
      <c r="Z38" s="23">
        <v>18</v>
      </c>
      <c r="AA38" s="23">
        <v>18</v>
      </c>
      <c r="AB38" s="23">
        <v>18</v>
      </c>
      <c r="AC38" s="23">
        <v>18</v>
      </c>
      <c r="AD38" s="23">
        <v>18</v>
      </c>
      <c r="AE38" s="23">
        <v>18</v>
      </c>
      <c r="AF38" s="23">
        <v>18</v>
      </c>
      <c r="AG38" s="23">
        <v>18</v>
      </c>
      <c r="AH38" s="23">
        <v>18</v>
      </c>
      <c r="AI38" s="23">
        <v>18</v>
      </c>
      <c r="AJ38" s="23">
        <v>18</v>
      </c>
      <c r="AK38" s="23">
        <v>18</v>
      </c>
      <c r="AL38" s="23">
        <v>18</v>
      </c>
      <c r="AM38" s="23">
        <v>18</v>
      </c>
      <c r="AN38" s="23">
        <v>18</v>
      </c>
      <c r="AO38" s="23">
        <v>18</v>
      </c>
      <c r="AP38" s="23">
        <v>18</v>
      </c>
      <c r="AQ38" s="23">
        <v>18</v>
      </c>
      <c r="AR38" s="23">
        <v>18</v>
      </c>
      <c r="AS38" s="23">
        <v>18</v>
      </c>
      <c r="AT38" s="23">
        <v>18</v>
      </c>
      <c r="AU38" s="23">
        <v>18</v>
      </c>
      <c r="AV38" s="23">
        <v>18</v>
      </c>
      <c r="AW38" s="23">
        <v>18</v>
      </c>
      <c r="AX38" s="23">
        <v>18</v>
      </c>
      <c r="AY38" s="23">
        <v>18</v>
      </c>
      <c r="AZ38" s="23">
        <v>18</v>
      </c>
      <c r="BA38" s="23">
        <v>18</v>
      </c>
      <c r="BB38" s="23">
        <v>18</v>
      </c>
      <c r="BC38" s="23">
        <v>18</v>
      </c>
      <c r="BD38" s="23">
        <v>18</v>
      </c>
      <c r="BE38" s="23">
        <v>18</v>
      </c>
      <c r="BF38" s="23">
        <v>18</v>
      </c>
      <c r="BG38" s="23">
        <v>18</v>
      </c>
      <c r="BH38" s="23">
        <v>18</v>
      </c>
      <c r="BI38" s="23">
        <v>18</v>
      </c>
      <c r="BJ38" s="23">
        <v>18</v>
      </c>
      <c r="BK38" s="23">
        <v>18</v>
      </c>
      <c r="BL38" s="23">
        <v>18</v>
      </c>
      <c r="BM38" s="23">
        <v>18</v>
      </c>
      <c r="BN38" s="23">
        <v>18</v>
      </c>
      <c r="BO38" s="23">
        <v>18</v>
      </c>
      <c r="BP38" s="23">
        <v>18</v>
      </c>
      <c r="BQ38" s="23">
        <v>18</v>
      </c>
      <c r="BR38" s="23">
        <v>18</v>
      </c>
      <c r="BS38" s="23">
        <v>18</v>
      </c>
      <c r="BT38" s="23">
        <v>18</v>
      </c>
      <c r="BU38" s="23">
        <v>18</v>
      </c>
      <c r="BV38" s="23">
        <v>18</v>
      </c>
      <c r="BW38" s="23">
        <v>18</v>
      </c>
      <c r="BX38" s="23">
        <v>18</v>
      </c>
      <c r="BY38" s="23">
        <v>18</v>
      </c>
      <c r="BZ38" s="23">
        <v>18</v>
      </c>
      <c r="CA38" s="23">
        <v>18</v>
      </c>
      <c r="CB38" s="23">
        <v>18</v>
      </c>
      <c r="CC38" s="23">
        <v>18</v>
      </c>
      <c r="CD38" s="23">
        <v>18</v>
      </c>
      <c r="CE38" s="23">
        <v>18</v>
      </c>
      <c r="CF38" s="23">
        <v>18</v>
      </c>
      <c r="CG38" s="23">
        <v>18</v>
      </c>
      <c r="CH38" s="23">
        <v>18</v>
      </c>
      <c r="CI38" s="23">
        <v>18</v>
      </c>
      <c r="CJ38" s="23">
        <v>18</v>
      </c>
      <c r="CK38" s="23">
        <v>18</v>
      </c>
      <c r="CL38" s="23">
        <v>18</v>
      </c>
      <c r="CM38" s="23">
        <v>18</v>
      </c>
      <c r="CN38" s="23">
        <v>18</v>
      </c>
      <c r="CO38" s="23">
        <v>18</v>
      </c>
      <c r="CP38" s="23">
        <v>18</v>
      </c>
      <c r="CQ38" s="23">
        <v>18</v>
      </c>
      <c r="CR38" s="23">
        <v>18</v>
      </c>
      <c r="CS38" s="23">
        <v>18</v>
      </c>
      <c r="CT38" s="23">
        <v>18</v>
      </c>
      <c r="CU38" s="23">
        <v>18</v>
      </c>
      <c r="CV38" s="23">
        <v>18</v>
      </c>
      <c r="CW38" s="23">
        <v>18</v>
      </c>
      <c r="CX38" s="23">
        <v>18</v>
      </c>
      <c r="CY38" s="23">
        <v>18</v>
      </c>
      <c r="CZ38" s="23">
        <v>18</v>
      </c>
      <c r="DA38" s="23">
        <v>18</v>
      </c>
      <c r="DB38" s="23">
        <v>18</v>
      </c>
      <c r="DC38" s="23">
        <v>18</v>
      </c>
      <c r="DD38" s="23">
        <v>18</v>
      </c>
      <c r="DE38" s="23">
        <v>18</v>
      </c>
      <c r="DF38" s="23">
        <v>18</v>
      </c>
      <c r="DG38" s="23">
        <v>18</v>
      </c>
      <c r="DH38" s="23">
        <v>18</v>
      </c>
      <c r="DI38" s="23">
        <v>18</v>
      </c>
      <c r="DJ38" s="23">
        <v>18</v>
      </c>
      <c r="DK38" s="23">
        <v>18</v>
      </c>
      <c r="DL38" s="23">
        <v>18</v>
      </c>
      <c r="DM38" s="23">
        <v>18</v>
      </c>
      <c r="DN38" s="23">
        <v>18</v>
      </c>
      <c r="DO38" s="23">
        <v>18</v>
      </c>
      <c r="DP38" s="23">
        <v>18</v>
      </c>
      <c r="DQ38" s="23">
        <v>18</v>
      </c>
      <c r="DR38" s="23">
        <v>18</v>
      </c>
      <c r="DS38" s="23">
        <v>18</v>
      </c>
      <c r="DT38" s="23">
        <v>18</v>
      </c>
      <c r="DU38" s="23">
        <v>18</v>
      </c>
      <c r="DV38" s="23">
        <v>18</v>
      </c>
      <c r="DW38" s="23">
        <v>18</v>
      </c>
      <c r="DX38" s="23">
        <v>18</v>
      </c>
      <c r="DY38" s="23">
        <v>18</v>
      </c>
      <c r="DZ38" s="23">
        <v>18</v>
      </c>
      <c r="EA38" s="23">
        <v>18</v>
      </c>
      <c r="EB38" s="23">
        <v>18</v>
      </c>
      <c r="EC38" s="23">
        <v>18</v>
      </c>
      <c r="ED38" s="23">
        <v>18</v>
      </c>
      <c r="EE38" s="23">
        <v>18</v>
      </c>
      <c r="EF38" s="23">
        <v>18</v>
      </c>
      <c r="EG38" s="23">
        <v>18</v>
      </c>
      <c r="EH38" s="23">
        <v>18</v>
      </c>
      <c r="EI38" s="23">
        <v>18</v>
      </c>
      <c r="EJ38" s="23">
        <v>18</v>
      </c>
      <c r="EK38" s="23">
        <v>18</v>
      </c>
      <c r="EL38" s="23">
        <v>18</v>
      </c>
      <c r="EM38" s="23">
        <v>18</v>
      </c>
      <c r="EN38" s="23">
        <v>18</v>
      </c>
      <c r="EO38" s="23">
        <v>18</v>
      </c>
      <c r="EP38" s="23">
        <v>18</v>
      </c>
      <c r="EQ38" s="23">
        <v>18</v>
      </c>
      <c r="ER38" s="23">
        <v>18</v>
      </c>
      <c r="ES38" s="23">
        <v>18</v>
      </c>
      <c r="ET38" s="23">
        <v>18</v>
      </c>
      <c r="EU38" s="23">
        <v>18</v>
      </c>
      <c r="EV38" s="23">
        <v>18</v>
      </c>
      <c r="EW38" s="23">
        <v>18</v>
      </c>
      <c r="EX38" s="23">
        <v>18</v>
      </c>
      <c r="EY38" s="23">
        <v>18</v>
      </c>
      <c r="EZ38" s="23">
        <v>18</v>
      </c>
      <c r="FA38" s="23">
        <v>18</v>
      </c>
      <c r="FB38" s="23">
        <v>18</v>
      </c>
      <c r="FC38" s="23">
        <v>18</v>
      </c>
      <c r="FD38" s="23">
        <v>18</v>
      </c>
      <c r="FE38" s="23">
        <v>18</v>
      </c>
      <c r="FF38" s="23">
        <v>18</v>
      </c>
      <c r="FG38" s="23">
        <v>18</v>
      </c>
      <c r="FH38" s="23">
        <v>18</v>
      </c>
      <c r="FI38" s="23">
        <v>18</v>
      </c>
      <c r="FJ38" s="23">
        <v>18</v>
      </c>
      <c r="FK38" s="23">
        <v>18</v>
      </c>
      <c r="FL38" s="23">
        <v>18</v>
      </c>
      <c r="FM38" s="23">
        <v>18</v>
      </c>
      <c r="FN38" s="23">
        <v>18</v>
      </c>
      <c r="FO38" s="23">
        <v>18</v>
      </c>
      <c r="FP38" s="23">
        <v>18</v>
      </c>
      <c r="FQ38" s="23">
        <v>18</v>
      </c>
      <c r="FR38" s="23">
        <v>18</v>
      </c>
      <c r="FS38" s="23">
        <v>18</v>
      </c>
      <c r="FT38" s="23">
        <v>18</v>
      </c>
      <c r="FU38" s="23">
        <v>18</v>
      </c>
      <c r="FV38" s="23">
        <v>18</v>
      </c>
      <c r="FW38" s="23">
        <v>18</v>
      </c>
      <c r="FX38" s="23">
        <v>18</v>
      </c>
      <c r="FY38" s="23">
        <v>18</v>
      </c>
      <c r="FZ38" s="23">
        <v>18</v>
      </c>
      <c r="GA38" s="23">
        <v>18</v>
      </c>
      <c r="GB38" s="23">
        <v>18</v>
      </c>
      <c r="GC38" s="23">
        <v>18</v>
      </c>
      <c r="GD38" s="23">
        <v>18</v>
      </c>
      <c r="GE38" s="23">
        <v>18</v>
      </c>
      <c r="GF38" s="23">
        <v>18</v>
      </c>
      <c r="GG38" s="23">
        <v>18</v>
      </c>
      <c r="GH38" s="23">
        <v>18</v>
      </c>
      <c r="GI38" s="23">
        <v>18</v>
      </c>
      <c r="GJ38" s="23">
        <v>18</v>
      </c>
      <c r="GK38" s="23">
        <v>18</v>
      </c>
      <c r="GL38" s="23">
        <v>18</v>
      </c>
      <c r="GM38" s="23">
        <v>18</v>
      </c>
      <c r="GN38" s="23">
        <v>18</v>
      </c>
      <c r="GO38" s="23">
        <v>18</v>
      </c>
      <c r="GP38" s="23">
        <v>18</v>
      </c>
      <c r="GQ38" s="23">
        <v>18</v>
      </c>
      <c r="GR38" s="23">
        <v>18</v>
      </c>
      <c r="GS38" s="23">
        <v>18</v>
      </c>
      <c r="GT38" s="23">
        <v>18</v>
      </c>
      <c r="GU38" s="23">
        <v>18</v>
      </c>
      <c r="GV38" s="23">
        <v>18</v>
      </c>
      <c r="GW38" s="23">
        <v>18</v>
      </c>
      <c r="GX38" s="23">
        <v>18</v>
      </c>
      <c r="GY38" s="23">
        <v>18</v>
      </c>
      <c r="GZ38" s="23">
        <v>18</v>
      </c>
      <c r="HA38" s="23">
        <v>18</v>
      </c>
      <c r="HB38" s="23">
        <v>18</v>
      </c>
      <c r="HC38" s="23">
        <v>18</v>
      </c>
      <c r="HD38" s="23">
        <v>18</v>
      </c>
      <c r="HE38" s="23">
        <v>18</v>
      </c>
      <c r="HF38" s="23">
        <v>18</v>
      </c>
      <c r="HG38" s="23">
        <v>18</v>
      </c>
      <c r="HH38" s="23">
        <v>18</v>
      </c>
      <c r="HI38" s="23">
        <v>18</v>
      </c>
      <c r="HJ38" s="23">
        <v>18</v>
      </c>
      <c r="HK38" s="23">
        <v>18</v>
      </c>
      <c r="HL38" s="23">
        <v>18</v>
      </c>
      <c r="HM38" s="23">
        <v>18</v>
      </c>
      <c r="HN38" s="23">
        <v>18</v>
      </c>
      <c r="HO38" s="23">
        <v>18</v>
      </c>
      <c r="HP38" s="23">
        <v>18</v>
      </c>
      <c r="HQ38" s="23">
        <v>18</v>
      </c>
      <c r="HR38" s="23">
        <v>18</v>
      </c>
      <c r="HS38" s="23">
        <v>18</v>
      </c>
      <c r="HT38" s="23">
        <v>18</v>
      </c>
      <c r="HU38" s="23">
        <v>18</v>
      </c>
      <c r="HV38" s="23">
        <v>18</v>
      </c>
      <c r="HW38" s="23">
        <v>18</v>
      </c>
      <c r="HX38" s="23">
        <v>18</v>
      </c>
      <c r="HY38" s="23">
        <v>18</v>
      </c>
      <c r="HZ38" s="23">
        <v>18</v>
      </c>
      <c r="IA38" s="23">
        <v>18</v>
      </c>
      <c r="IB38" s="23">
        <v>18</v>
      </c>
      <c r="IC38" s="23">
        <v>18</v>
      </c>
      <c r="ID38" s="23">
        <v>18</v>
      </c>
      <c r="IE38" s="23">
        <v>18</v>
      </c>
      <c r="IF38" s="23">
        <v>18</v>
      </c>
      <c r="IG38" s="23">
        <v>18</v>
      </c>
      <c r="IH38" s="23">
        <v>18</v>
      </c>
      <c r="II38" s="23">
        <v>18</v>
      </c>
      <c r="IJ38" s="23">
        <v>18</v>
      </c>
      <c r="IK38" s="23">
        <v>18</v>
      </c>
      <c r="IL38" s="23">
        <v>18</v>
      </c>
      <c r="IM38" s="23">
        <v>18</v>
      </c>
      <c r="IN38" s="23">
        <v>18</v>
      </c>
      <c r="IO38" s="23">
        <v>18</v>
      </c>
      <c r="IP38" s="23">
        <v>18</v>
      </c>
      <c r="IQ38" s="23">
        <v>18</v>
      </c>
      <c r="IR38" s="23">
        <v>18</v>
      </c>
      <c r="IS38" s="23">
        <v>18</v>
      </c>
      <c r="IT38" s="23">
        <v>18</v>
      </c>
      <c r="IU38" s="23">
        <v>18</v>
      </c>
      <c r="IV38" s="23">
        <v>18</v>
      </c>
      <c r="IW38" s="23">
        <v>18</v>
      </c>
      <c r="IX38" s="23">
        <v>18</v>
      </c>
      <c r="IY38" s="23">
        <v>18</v>
      </c>
      <c r="IZ38" s="23">
        <v>18</v>
      </c>
      <c r="JA38" s="23">
        <v>18</v>
      </c>
      <c r="JB38" s="23">
        <v>18</v>
      </c>
      <c r="JC38" s="23">
        <v>18</v>
      </c>
      <c r="JD38" s="23">
        <v>18</v>
      </c>
      <c r="JE38" s="23">
        <v>18</v>
      </c>
      <c r="JF38" s="23">
        <v>18</v>
      </c>
      <c r="JG38" s="23">
        <v>18</v>
      </c>
      <c r="JH38" s="23">
        <v>18</v>
      </c>
      <c r="JI38" s="23">
        <v>18</v>
      </c>
      <c r="JJ38" s="23">
        <v>18</v>
      </c>
      <c r="JK38" s="23">
        <v>18</v>
      </c>
      <c r="JL38" s="23">
        <v>18</v>
      </c>
      <c r="JM38" s="23">
        <v>18</v>
      </c>
      <c r="JN38" s="23">
        <v>18</v>
      </c>
      <c r="JO38" s="23">
        <v>18</v>
      </c>
      <c r="JP38" s="23">
        <v>18</v>
      </c>
      <c r="JQ38" s="23">
        <v>18</v>
      </c>
      <c r="JR38" s="23">
        <v>18</v>
      </c>
      <c r="JS38" s="23">
        <v>18</v>
      </c>
      <c r="JT38" s="23">
        <v>18</v>
      </c>
      <c r="JU38" s="23">
        <v>18</v>
      </c>
      <c r="JV38" s="23">
        <v>18</v>
      </c>
      <c r="JW38" s="23">
        <v>18</v>
      </c>
      <c r="JX38" s="23">
        <v>18</v>
      </c>
      <c r="JY38" s="23">
        <v>18</v>
      </c>
      <c r="JZ38" s="23">
        <v>18</v>
      </c>
      <c r="KA38" s="23">
        <v>18</v>
      </c>
      <c r="KB38" s="23">
        <v>18</v>
      </c>
      <c r="KC38" s="23">
        <v>18</v>
      </c>
      <c r="KD38" s="23">
        <v>18</v>
      </c>
      <c r="KE38" s="23">
        <v>18</v>
      </c>
      <c r="KF38" s="23">
        <v>18</v>
      </c>
      <c r="KG38" s="23">
        <v>18</v>
      </c>
      <c r="KH38" s="23">
        <v>18</v>
      </c>
      <c r="KI38" s="23">
        <v>18</v>
      </c>
      <c r="KJ38" s="23">
        <v>18</v>
      </c>
      <c r="KK38" s="23">
        <v>18</v>
      </c>
      <c r="KL38" s="23">
        <v>18</v>
      </c>
      <c r="KM38" s="23">
        <v>18</v>
      </c>
      <c r="KN38" s="23">
        <v>18</v>
      </c>
      <c r="KO38" s="23">
        <v>18</v>
      </c>
      <c r="KP38" s="23">
        <v>18</v>
      </c>
      <c r="KQ38" s="23">
        <v>18</v>
      </c>
      <c r="KR38" s="23">
        <v>18</v>
      </c>
      <c r="KS38" s="23">
        <v>18</v>
      </c>
      <c r="KT38" s="23">
        <v>18</v>
      </c>
      <c r="KU38" s="23">
        <v>18</v>
      </c>
      <c r="KV38" s="23">
        <v>18</v>
      </c>
      <c r="KW38" s="23">
        <v>18</v>
      </c>
      <c r="KX38" s="23">
        <v>18</v>
      </c>
      <c r="KY38" s="23">
        <v>18</v>
      </c>
      <c r="KZ38" s="23">
        <v>18</v>
      </c>
      <c r="LA38" s="23">
        <v>18</v>
      </c>
      <c r="LB38" s="23">
        <v>18</v>
      </c>
      <c r="LC38" s="23">
        <v>18</v>
      </c>
      <c r="LD38" s="23">
        <v>18</v>
      </c>
      <c r="LE38" s="23">
        <v>18</v>
      </c>
      <c r="LF38" s="23">
        <v>18</v>
      </c>
      <c r="LG38" s="23">
        <v>18</v>
      </c>
      <c r="LH38" s="23">
        <v>18</v>
      </c>
      <c r="LI38" s="23">
        <v>18</v>
      </c>
      <c r="LJ38" s="23">
        <v>18</v>
      </c>
      <c r="LK38" s="23">
        <v>18</v>
      </c>
      <c r="LL38" s="23">
        <v>18</v>
      </c>
      <c r="LM38" s="23">
        <v>18</v>
      </c>
      <c r="LN38" s="23">
        <v>18</v>
      </c>
      <c r="LO38" s="23">
        <v>18</v>
      </c>
      <c r="LP38" s="23">
        <v>18</v>
      </c>
      <c r="LQ38" s="23">
        <v>18</v>
      </c>
      <c r="LR38" s="23">
        <v>18</v>
      </c>
      <c r="LS38" s="23">
        <v>18</v>
      </c>
      <c r="LT38" s="23">
        <v>18</v>
      </c>
      <c r="LU38" s="23">
        <v>18</v>
      </c>
      <c r="LV38" s="23">
        <v>18</v>
      </c>
      <c r="LW38" s="23">
        <v>18</v>
      </c>
      <c r="LX38" s="23">
        <v>18</v>
      </c>
      <c r="LY38" s="23">
        <v>18</v>
      </c>
      <c r="LZ38" s="23">
        <v>18</v>
      </c>
      <c r="MA38" s="23">
        <v>18</v>
      </c>
      <c r="MB38" s="23">
        <v>18</v>
      </c>
      <c r="MC38" s="23">
        <v>18</v>
      </c>
      <c r="MD38" s="23">
        <v>18</v>
      </c>
      <c r="ME38" s="23">
        <v>18</v>
      </c>
      <c r="MF38" s="23">
        <v>18</v>
      </c>
      <c r="MG38" s="23">
        <v>18</v>
      </c>
      <c r="MH38" s="23">
        <v>18</v>
      </c>
      <c r="MI38" s="23">
        <v>18</v>
      </c>
      <c r="MJ38" s="23">
        <v>18</v>
      </c>
      <c r="MK38" s="23">
        <v>18</v>
      </c>
      <c r="ML38" s="23">
        <v>18</v>
      </c>
      <c r="MM38" s="23">
        <v>18</v>
      </c>
      <c r="MN38" s="23">
        <v>18</v>
      </c>
      <c r="MO38" s="23">
        <v>18</v>
      </c>
      <c r="MP38" s="23">
        <v>18</v>
      </c>
      <c r="MQ38" s="23">
        <v>18</v>
      </c>
      <c r="MR38" s="23">
        <v>18</v>
      </c>
      <c r="MS38" s="23">
        <v>18</v>
      </c>
      <c r="MT38" s="23">
        <v>18</v>
      </c>
      <c r="MU38" s="23">
        <v>18</v>
      </c>
      <c r="MV38" s="23">
        <v>18</v>
      </c>
      <c r="MW38" s="23">
        <v>18</v>
      </c>
      <c r="MX38" s="23">
        <v>18</v>
      </c>
      <c r="MY38" s="23">
        <v>18</v>
      </c>
      <c r="MZ38" s="23">
        <v>18</v>
      </c>
      <c r="NA38" s="23">
        <v>18</v>
      </c>
      <c r="NB38" s="23">
        <v>18</v>
      </c>
      <c r="NC38" s="23">
        <v>18</v>
      </c>
      <c r="ND38" s="23">
        <v>18</v>
      </c>
      <c r="NE38" s="23">
        <v>18</v>
      </c>
      <c r="NF38" s="23">
        <v>18</v>
      </c>
      <c r="NG38" s="23">
        <v>18</v>
      </c>
      <c r="NH38" s="23">
        <v>18</v>
      </c>
      <c r="NI38" s="23">
        <v>18</v>
      </c>
      <c r="NJ38" s="23">
        <v>18</v>
      </c>
      <c r="NK38" s="23">
        <v>18</v>
      </c>
      <c r="NL38" s="23">
        <v>18</v>
      </c>
      <c r="NM38" s="23">
        <v>18</v>
      </c>
      <c r="NN38" s="23">
        <v>18</v>
      </c>
      <c r="NO38" s="23">
        <v>18</v>
      </c>
      <c r="NP38" s="23">
        <v>18</v>
      </c>
      <c r="NQ38" s="23">
        <v>18</v>
      </c>
      <c r="NR38" s="23">
        <v>18</v>
      </c>
      <c r="NS38" s="23">
        <v>18</v>
      </c>
      <c r="NT38" s="23">
        <v>18</v>
      </c>
      <c r="NU38" s="23">
        <v>18</v>
      </c>
      <c r="NV38" s="23">
        <v>18</v>
      </c>
      <c r="NW38" s="23">
        <v>18</v>
      </c>
      <c r="NX38" s="23">
        <v>18</v>
      </c>
      <c r="NY38" s="23">
        <v>18</v>
      </c>
      <c r="NZ38" s="23">
        <v>18</v>
      </c>
      <c r="OA38" s="23">
        <v>18</v>
      </c>
      <c r="OB38" s="23">
        <v>18</v>
      </c>
      <c r="OC38" s="23">
        <v>18</v>
      </c>
      <c r="OD38" s="23">
        <v>18</v>
      </c>
      <c r="OE38" s="23">
        <v>18</v>
      </c>
      <c r="OF38" s="23">
        <v>18</v>
      </c>
      <c r="OG38" s="23">
        <v>18</v>
      </c>
      <c r="OH38" s="23">
        <v>18</v>
      </c>
      <c r="OI38" s="23">
        <v>18</v>
      </c>
      <c r="OJ38" s="23">
        <v>18</v>
      </c>
      <c r="OK38" s="23">
        <v>18</v>
      </c>
      <c r="OL38" s="23">
        <v>18</v>
      </c>
      <c r="OM38" s="23">
        <v>18</v>
      </c>
      <c r="ON38" s="23">
        <v>18</v>
      </c>
      <c r="OO38" s="23">
        <v>18</v>
      </c>
      <c r="OP38" s="23">
        <v>18</v>
      </c>
      <c r="OQ38" s="23">
        <v>18</v>
      </c>
      <c r="OR38" s="23">
        <v>18</v>
      </c>
      <c r="OS38" s="23">
        <v>18</v>
      </c>
      <c r="OT38" s="23">
        <v>18</v>
      </c>
      <c r="OU38" s="23">
        <v>18</v>
      </c>
      <c r="OV38" s="23">
        <v>18</v>
      </c>
      <c r="OW38" s="23">
        <v>18</v>
      </c>
      <c r="OX38" s="23">
        <v>18</v>
      </c>
      <c r="OY38" s="23">
        <v>18</v>
      </c>
      <c r="OZ38" s="23">
        <v>18</v>
      </c>
      <c r="PA38" s="23">
        <v>18</v>
      </c>
      <c r="PB38" s="23">
        <v>18</v>
      </c>
      <c r="PC38" s="23">
        <v>18</v>
      </c>
      <c r="PD38" s="23">
        <v>18</v>
      </c>
      <c r="PE38" s="23">
        <v>18</v>
      </c>
      <c r="PF38" s="23">
        <v>18</v>
      </c>
      <c r="PG38" s="23">
        <v>18</v>
      </c>
      <c r="PH38" s="23">
        <v>18</v>
      </c>
      <c r="PI38" s="23">
        <v>18</v>
      </c>
      <c r="PJ38" s="23">
        <v>18</v>
      </c>
      <c r="PK38" s="23">
        <v>18</v>
      </c>
      <c r="PL38" s="23">
        <v>18</v>
      </c>
      <c r="PM38" s="23">
        <v>18</v>
      </c>
      <c r="PN38" s="23">
        <v>18</v>
      </c>
      <c r="PO38" s="23">
        <v>18</v>
      </c>
      <c r="PP38" s="23">
        <v>18</v>
      </c>
      <c r="PQ38" s="23">
        <v>18</v>
      </c>
      <c r="PR38" s="23">
        <v>18</v>
      </c>
      <c r="PS38" s="23">
        <v>18</v>
      </c>
      <c r="PT38" s="23">
        <v>18</v>
      </c>
      <c r="PU38" s="23">
        <v>18</v>
      </c>
      <c r="PV38" s="23">
        <v>18</v>
      </c>
      <c r="PW38" s="23">
        <v>18</v>
      </c>
      <c r="PX38" s="23">
        <v>18</v>
      </c>
      <c r="PY38" s="23">
        <v>18</v>
      </c>
      <c r="PZ38" s="23">
        <v>18</v>
      </c>
      <c r="QA38" s="23">
        <v>18</v>
      </c>
      <c r="QB38" s="23">
        <v>18</v>
      </c>
      <c r="QC38" s="23">
        <v>18</v>
      </c>
      <c r="QD38" s="23">
        <v>18</v>
      </c>
      <c r="QE38" s="23">
        <v>18</v>
      </c>
      <c r="QF38" s="23">
        <v>18</v>
      </c>
      <c r="QG38" s="23">
        <v>18</v>
      </c>
      <c r="QH38" s="23">
        <v>18</v>
      </c>
      <c r="QI38" s="23">
        <v>18</v>
      </c>
      <c r="QJ38" s="23">
        <v>18</v>
      </c>
      <c r="QK38" s="23">
        <v>18</v>
      </c>
      <c r="QL38" s="23">
        <v>18</v>
      </c>
      <c r="QM38" s="23">
        <v>18</v>
      </c>
      <c r="QN38" s="23">
        <v>18</v>
      </c>
      <c r="QO38" s="23">
        <v>18</v>
      </c>
      <c r="QP38" s="23">
        <v>18</v>
      </c>
      <c r="QQ38" s="23">
        <v>18</v>
      </c>
      <c r="QR38" s="23">
        <v>18</v>
      </c>
      <c r="QS38" s="23">
        <v>18</v>
      </c>
      <c r="QT38" s="23">
        <v>18</v>
      </c>
      <c r="QU38" s="23">
        <v>18</v>
      </c>
      <c r="QV38" s="23">
        <v>18</v>
      </c>
      <c r="QW38" s="23">
        <v>18</v>
      </c>
      <c r="QX38" s="23">
        <v>18</v>
      </c>
      <c r="QY38" s="23">
        <v>18</v>
      </c>
      <c r="QZ38" s="23">
        <v>18</v>
      </c>
      <c r="RA38" s="23">
        <v>18</v>
      </c>
      <c r="RB38" s="23">
        <v>18</v>
      </c>
      <c r="RC38" s="23">
        <v>18</v>
      </c>
      <c r="RD38" s="23">
        <v>18</v>
      </c>
      <c r="RE38" s="23">
        <v>18</v>
      </c>
      <c r="RF38" s="23">
        <v>18</v>
      </c>
      <c r="RG38" s="23">
        <v>18</v>
      </c>
      <c r="RH38" s="23">
        <v>18</v>
      </c>
      <c r="RI38" s="23">
        <v>18</v>
      </c>
      <c r="RJ38" s="23">
        <v>18</v>
      </c>
      <c r="RK38" s="23">
        <v>18</v>
      </c>
      <c r="RL38" s="23">
        <v>18</v>
      </c>
      <c r="RM38" s="23">
        <v>18</v>
      </c>
      <c r="RN38" s="23">
        <v>18</v>
      </c>
      <c r="RO38" s="23">
        <v>18</v>
      </c>
      <c r="RP38" s="23">
        <v>18</v>
      </c>
      <c r="RQ38" s="23">
        <v>18</v>
      </c>
      <c r="RR38" s="23">
        <v>18</v>
      </c>
      <c r="RS38" s="23">
        <v>18</v>
      </c>
      <c r="RT38" s="23">
        <v>18</v>
      </c>
      <c r="RU38" s="23">
        <v>18</v>
      </c>
      <c r="RV38" s="23">
        <v>18</v>
      </c>
      <c r="RW38" s="23">
        <v>18</v>
      </c>
      <c r="RX38" s="23">
        <v>18</v>
      </c>
      <c r="RY38" s="23">
        <v>18</v>
      </c>
      <c r="RZ38" s="23">
        <v>18</v>
      </c>
      <c r="SA38" s="23">
        <v>18</v>
      </c>
      <c r="SB38" s="23">
        <v>18</v>
      </c>
      <c r="SC38" s="23">
        <v>18</v>
      </c>
      <c r="SD38" s="23">
        <v>18</v>
      </c>
      <c r="SE38" s="23">
        <v>18</v>
      </c>
      <c r="SF38" s="23">
        <v>18</v>
      </c>
      <c r="SG38" s="23">
        <v>18</v>
      </c>
      <c r="SH38" s="23">
        <v>18</v>
      </c>
      <c r="SI38" s="23">
        <v>18</v>
      </c>
      <c r="SJ38" s="23">
        <v>18</v>
      </c>
      <c r="SK38" s="23">
        <v>18</v>
      </c>
      <c r="SL38" s="23">
        <v>18</v>
      </c>
      <c r="SM38" s="23">
        <v>18</v>
      </c>
      <c r="SN38" s="23">
        <v>18</v>
      </c>
      <c r="SO38" s="23">
        <v>18</v>
      </c>
      <c r="SP38" s="23">
        <v>18</v>
      </c>
      <c r="SQ38" s="23">
        <v>18</v>
      </c>
      <c r="SR38" s="23">
        <v>18</v>
      </c>
      <c r="SS38" s="23">
        <v>18</v>
      </c>
      <c r="ST38" s="23">
        <v>18</v>
      </c>
      <c r="SU38" s="23">
        <v>18</v>
      </c>
      <c r="SV38" s="23">
        <v>18</v>
      </c>
      <c r="SW38" s="23">
        <v>18</v>
      </c>
      <c r="SX38" s="23">
        <v>18</v>
      </c>
      <c r="SY38" s="23">
        <v>18</v>
      </c>
      <c r="SZ38" s="23">
        <v>18</v>
      </c>
      <c r="TA38" s="23">
        <v>18</v>
      </c>
      <c r="TB38" s="23">
        <v>18</v>
      </c>
      <c r="TC38" s="23">
        <v>18</v>
      </c>
      <c r="TD38" s="23">
        <v>18</v>
      </c>
      <c r="TE38" s="23">
        <v>18</v>
      </c>
      <c r="TF38" s="23">
        <v>18</v>
      </c>
      <c r="TG38" s="23">
        <v>18</v>
      </c>
      <c r="TH38" s="23">
        <v>18</v>
      </c>
      <c r="TI38" s="23">
        <v>18</v>
      </c>
      <c r="TJ38" s="23">
        <v>18</v>
      </c>
      <c r="TK38" s="23">
        <v>18</v>
      </c>
      <c r="TL38" s="23">
        <v>18</v>
      </c>
      <c r="TM38" s="23">
        <v>18</v>
      </c>
      <c r="TN38" s="23">
        <v>18</v>
      </c>
      <c r="TO38" s="23">
        <v>18</v>
      </c>
      <c r="TP38" s="23">
        <v>18</v>
      </c>
      <c r="TQ38" s="23">
        <v>18</v>
      </c>
      <c r="TR38" s="23">
        <v>18</v>
      </c>
      <c r="TS38" s="23">
        <v>18</v>
      </c>
      <c r="TT38" s="23">
        <v>18</v>
      </c>
      <c r="TU38" s="23">
        <v>18</v>
      </c>
      <c r="TV38" s="23">
        <v>18</v>
      </c>
      <c r="TW38" s="23">
        <v>18</v>
      </c>
      <c r="TX38" s="23">
        <v>18</v>
      </c>
      <c r="TY38" s="23">
        <v>18</v>
      </c>
      <c r="TZ38" s="23">
        <v>18</v>
      </c>
      <c r="UA38" s="23">
        <v>18</v>
      </c>
      <c r="UB38" s="23">
        <v>18</v>
      </c>
      <c r="UC38" s="23">
        <v>18</v>
      </c>
      <c r="UD38" s="23">
        <v>18</v>
      </c>
      <c r="UE38" s="23">
        <v>18</v>
      </c>
      <c r="UF38" s="23">
        <v>18</v>
      </c>
      <c r="UG38" s="23">
        <v>18</v>
      </c>
      <c r="UH38" s="23">
        <v>18</v>
      </c>
      <c r="UI38" s="23">
        <v>18</v>
      </c>
      <c r="UJ38" s="23">
        <v>18</v>
      </c>
      <c r="UK38" s="23">
        <v>18</v>
      </c>
      <c r="UL38" s="23">
        <v>18</v>
      </c>
      <c r="UM38" s="23">
        <v>18</v>
      </c>
      <c r="UN38" s="23">
        <v>18</v>
      </c>
      <c r="UO38" s="23">
        <v>18</v>
      </c>
      <c r="UP38" s="23">
        <v>18</v>
      </c>
      <c r="UQ38" s="23">
        <v>18</v>
      </c>
      <c r="UR38" s="23">
        <v>18</v>
      </c>
      <c r="US38" s="23">
        <v>18</v>
      </c>
      <c r="UT38" s="23">
        <v>18</v>
      </c>
      <c r="UU38" s="23">
        <v>18</v>
      </c>
      <c r="UV38" s="23">
        <v>18</v>
      </c>
      <c r="UW38" s="23">
        <v>18</v>
      </c>
      <c r="UX38" s="23">
        <v>18</v>
      </c>
      <c r="UY38" s="23">
        <v>18</v>
      </c>
      <c r="UZ38" s="23">
        <v>18</v>
      </c>
      <c r="VA38" s="23">
        <v>18</v>
      </c>
      <c r="VB38" s="23">
        <v>18</v>
      </c>
      <c r="VC38" s="23">
        <v>18</v>
      </c>
      <c r="VD38" s="23">
        <v>18</v>
      </c>
      <c r="VE38" s="23">
        <v>18</v>
      </c>
      <c r="VF38" s="23">
        <v>18</v>
      </c>
      <c r="VG38" s="23">
        <v>18</v>
      </c>
      <c r="VH38" s="23">
        <v>18</v>
      </c>
      <c r="VI38" s="23">
        <v>18</v>
      </c>
      <c r="VJ38" s="23">
        <v>18</v>
      </c>
      <c r="VK38" s="23">
        <v>18</v>
      </c>
      <c r="VL38" s="23">
        <v>18</v>
      </c>
      <c r="VM38" s="23">
        <v>18</v>
      </c>
      <c r="VN38" s="23">
        <v>18</v>
      </c>
      <c r="VO38" s="23">
        <v>18</v>
      </c>
      <c r="VP38" s="23">
        <v>18</v>
      </c>
      <c r="VQ38" s="23">
        <v>18</v>
      </c>
      <c r="VR38" s="23">
        <v>18</v>
      </c>
      <c r="VS38" s="23">
        <v>18</v>
      </c>
      <c r="VT38" s="23">
        <v>18</v>
      </c>
      <c r="VU38" s="23">
        <v>18</v>
      </c>
      <c r="VV38" s="23">
        <v>18</v>
      </c>
      <c r="VW38" s="23">
        <v>18</v>
      </c>
      <c r="VX38" s="23">
        <v>18</v>
      </c>
      <c r="VY38" s="23">
        <v>18</v>
      </c>
      <c r="VZ38" s="23">
        <v>18</v>
      </c>
      <c r="WA38" s="23">
        <v>18</v>
      </c>
      <c r="WB38" s="23">
        <v>18</v>
      </c>
      <c r="WC38" s="23">
        <v>18</v>
      </c>
      <c r="WD38" s="23">
        <v>18</v>
      </c>
      <c r="WE38" s="23">
        <v>18</v>
      </c>
      <c r="WF38" s="23">
        <v>18</v>
      </c>
      <c r="WG38" s="23">
        <v>18</v>
      </c>
      <c r="WH38" s="23">
        <v>18</v>
      </c>
      <c r="WI38" s="23">
        <v>18</v>
      </c>
      <c r="WJ38" s="23">
        <v>18</v>
      </c>
      <c r="WK38" s="23">
        <v>18</v>
      </c>
      <c r="WL38" s="23">
        <v>18</v>
      </c>
      <c r="WM38" s="23">
        <v>18</v>
      </c>
      <c r="WN38" s="23">
        <v>18</v>
      </c>
      <c r="WO38" s="23">
        <v>18</v>
      </c>
      <c r="WP38" s="23">
        <v>18</v>
      </c>
      <c r="WQ38" s="23">
        <v>18</v>
      </c>
      <c r="WR38" s="23">
        <v>18</v>
      </c>
      <c r="WS38" s="23">
        <v>18</v>
      </c>
      <c r="WT38" s="23">
        <v>18</v>
      </c>
      <c r="WU38" s="23">
        <v>18</v>
      </c>
      <c r="WV38" s="23">
        <v>18</v>
      </c>
      <c r="WW38" s="23">
        <v>18</v>
      </c>
      <c r="WX38" s="23">
        <v>18</v>
      </c>
      <c r="WY38" s="23">
        <v>18</v>
      </c>
      <c r="WZ38" s="23">
        <v>18</v>
      </c>
      <c r="XA38" s="23">
        <v>18</v>
      </c>
      <c r="XB38" s="23">
        <v>18</v>
      </c>
      <c r="XC38" s="23">
        <v>18</v>
      </c>
      <c r="XD38" s="23">
        <v>18</v>
      </c>
      <c r="XE38" s="23">
        <v>18</v>
      </c>
      <c r="XF38" s="23">
        <v>18</v>
      </c>
      <c r="XG38" s="23">
        <v>18</v>
      </c>
      <c r="XH38" s="23">
        <v>18</v>
      </c>
      <c r="XI38" s="23">
        <v>18</v>
      </c>
      <c r="XJ38" s="23">
        <v>18</v>
      </c>
      <c r="XK38" s="23">
        <v>18</v>
      </c>
      <c r="XL38" s="23">
        <v>18</v>
      </c>
      <c r="XM38" s="23">
        <v>18</v>
      </c>
      <c r="XN38" s="23">
        <v>18</v>
      </c>
      <c r="XO38" s="23">
        <v>18</v>
      </c>
      <c r="XP38" s="23">
        <v>18</v>
      </c>
      <c r="XQ38" s="23">
        <v>18</v>
      </c>
      <c r="XR38" s="23">
        <v>18</v>
      </c>
      <c r="XS38" s="23">
        <v>18</v>
      </c>
      <c r="XT38" s="23">
        <v>18</v>
      </c>
      <c r="XU38" s="23">
        <v>18</v>
      </c>
      <c r="XV38" s="23">
        <v>18</v>
      </c>
      <c r="XW38" s="23">
        <v>18</v>
      </c>
      <c r="XX38" s="23">
        <v>18</v>
      </c>
      <c r="XY38" s="23">
        <v>18</v>
      </c>
      <c r="XZ38" s="23">
        <v>18</v>
      </c>
      <c r="YA38" s="23">
        <v>18</v>
      </c>
      <c r="YB38" s="23">
        <v>18</v>
      </c>
      <c r="YC38" s="23">
        <v>18</v>
      </c>
      <c r="YD38" s="23">
        <v>18</v>
      </c>
      <c r="YE38" s="23">
        <v>18</v>
      </c>
      <c r="YF38" s="23">
        <v>18</v>
      </c>
      <c r="YG38" s="23">
        <v>18</v>
      </c>
      <c r="YH38" s="23">
        <v>18</v>
      </c>
      <c r="YI38" s="23">
        <v>18</v>
      </c>
      <c r="YJ38" s="23">
        <v>18</v>
      </c>
      <c r="YK38" s="23">
        <v>18</v>
      </c>
      <c r="YL38" s="23">
        <v>18</v>
      </c>
      <c r="YM38" s="23">
        <v>18</v>
      </c>
      <c r="YN38" s="23">
        <v>18</v>
      </c>
      <c r="YO38" s="23">
        <v>18</v>
      </c>
      <c r="YP38" s="23">
        <v>18</v>
      </c>
      <c r="YQ38" s="23">
        <v>18</v>
      </c>
      <c r="YR38" s="23">
        <v>18</v>
      </c>
      <c r="YS38" s="23">
        <v>18</v>
      </c>
      <c r="YT38" s="23">
        <v>18</v>
      </c>
      <c r="YU38" s="23">
        <v>18</v>
      </c>
      <c r="YV38" s="23">
        <v>18</v>
      </c>
      <c r="YW38" s="23">
        <v>18</v>
      </c>
      <c r="YX38" s="23">
        <v>18</v>
      </c>
      <c r="YY38" s="23">
        <v>18</v>
      </c>
      <c r="YZ38" s="23">
        <v>18</v>
      </c>
      <c r="ZA38" s="23">
        <v>18</v>
      </c>
      <c r="ZB38" s="23">
        <v>18</v>
      </c>
      <c r="ZC38" s="23">
        <v>18</v>
      </c>
      <c r="ZD38" s="23">
        <v>18</v>
      </c>
      <c r="ZE38" s="23">
        <v>18</v>
      </c>
      <c r="ZF38" s="23">
        <v>18</v>
      </c>
      <c r="ZG38" s="23">
        <v>18</v>
      </c>
      <c r="ZH38" s="23">
        <v>18</v>
      </c>
      <c r="ZI38" s="23">
        <v>18</v>
      </c>
      <c r="ZJ38" s="23">
        <v>18</v>
      </c>
      <c r="ZK38" s="23">
        <v>18</v>
      </c>
      <c r="ZL38" s="23">
        <v>18</v>
      </c>
      <c r="ZM38" s="23">
        <v>18</v>
      </c>
      <c r="ZN38" s="23">
        <v>18</v>
      </c>
      <c r="ZO38" s="23">
        <v>18</v>
      </c>
      <c r="ZP38" s="23">
        <v>18</v>
      </c>
      <c r="ZQ38" s="23">
        <v>18</v>
      </c>
      <c r="ZR38" s="23">
        <v>18</v>
      </c>
      <c r="ZS38" s="23">
        <v>18</v>
      </c>
      <c r="ZT38" s="23">
        <v>18</v>
      </c>
      <c r="ZU38" s="23">
        <v>18</v>
      </c>
      <c r="ZV38" s="23">
        <v>18</v>
      </c>
      <c r="ZW38" s="23">
        <v>18</v>
      </c>
      <c r="ZX38" s="23">
        <v>18</v>
      </c>
      <c r="ZY38" s="23">
        <v>18</v>
      </c>
      <c r="ZZ38" s="23">
        <v>18</v>
      </c>
      <c r="AAA38" s="23">
        <v>18</v>
      </c>
      <c r="AAB38" s="23">
        <v>18</v>
      </c>
      <c r="AAC38" s="23">
        <v>18</v>
      </c>
      <c r="AAD38" s="23">
        <v>18</v>
      </c>
      <c r="AAE38" s="23">
        <v>18</v>
      </c>
      <c r="AAF38" s="23">
        <v>18</v>
      </c>
      <c r="AAG38" s="23">
        <v>18</v>
      </c>
      <c r="AAH38" s="23">
        <v>18</v>
      </c>
      <c r="AAI38" s="23">
        <v>18</v>
      </c>
      <c r="AAJ38" s="23">
        <v>18</v>
      </c>
      <c r="AAK38" s="23">
        <v>18</v>
      </c>
      <c r="AAL38" s="23">
        <v>18</v>
      </c>
      <c r="AAM38" s="23">
        <v>18</v>
      </c>
      <c r="AAN38" s="23">
        <v>18</v>
      </c>
      <c r="AAO38" s="23">
        <v>18</v>
      </c>
      <c r="AAP38" s="23">
        <v>18</v>
      </c>
      <c r="AAQ38" s="23">
        <v>18</v>
      </c>
      <c r="AAR38" s="23">
        <v>18</v>
      </c>
      <c r="AAS38" s="23">
        <v>18</v>
      </c>
      <c r="AAT38" s="23">
        <v>18</v>
      </c>
      <c r="AAU38" s="23">
        <v>18</v>
      </c>
      <c r="AAV38" s="23">
        <v>18</v>
      </c>
      <c r="AAW38" s="23">
        <v>18</v>
      </c>
      <c r="AAX38" s="23">
        <v>18</v>
      </c>
      <c r="AAY38" s="23">
        <v>18</v>
      </c>
      <c r="AAZ38" s="23">
        <v>18</v>
      </c>
      <c r="ABA38" s="23">
        <v>18</v>
      </c>
      <c r="ABB38" s="23">
        <v>18</v>
      </c>
      <c r="ABC38" s="23">
        <v>18</v>
      </c>
      <c r="ABD38" s="23">
        <v>18</v>
      </c>
      <c r="ABE38" s="23">
        <v>18</v>
      </c>
      <c r="ABF38" s="23">
        <v>18</v>
      </c>
      <c r="ABG38" s="23">
        <v>18</v>
      </c>
      <c r="ABH38" s="23">
        <v>18</v>
      </c>
      <c r="ABI38" s="23">
        <v>18</v>
      </c>
      <c r="ABJ38" s="23">
        <v>18</v>
      </c>
      <c r="ABK38" s="23">
        <v>18</v>
      </c>
      <c r="ABL38" s="23">
        <v>18</v>
      </c>
      <c r="ABM38" s="23">
        <v>18</v>
      </c>
      <c r="ABN38" s="23">
        <v>18</v>
      </c>
      <c r="ABO38" s="23">
        <v>18</v>
      </c>
      <c r="ABP38" s="23">
        <v>18</v>
      </c>
      <c r="ABQ38" s="23">
        <v>18</v>
      </c>
      <c r="ABR38" s="116">
        <v>18</v>
      </c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</row>
    <row r="39" spans="1:1822" customFormat="1" x14ac:dyDescent="0.3">
      <c r="A39" s="2"/>
      <c r="B39" s="2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114" t="s">
        <v>64</v>
      </c>
      <c r="P39" s="115"/>
      <c r="Q39" s="23">
        <f t="shared" ref="Q39:CB39" si="38">$D$41-SUM(Q4:Q36)</f>
        <v>46155</v>
      </c>
      <c r="R39" s="23">
        <f t="shared" si="38"/>
        <v>27</v>
      </c>
      <c r="S39" s="23">
        <f t="shared" si="38"/>
        <v>27</v>
      </c>
      <c r="T39" s="23">
        <f t="shared" si="38"/>
        <v>27</v>
      </c>
      <c r="U39" s="23">
        <f t="shared" si="38"/>
        <v>27</v>
      </c>
      <c r="V39" s="23">
        <f t="shared" si="38"/>
        <v>27</v>
      </c>
      <c r="W39" s="23">
        <f t="shared" si="38"/>
        <v>27</v>
      </c>
      <c r="X39" s="23">
        <f t="shared" si="38"/>
        <v>26</v>
      </c>
      <c r="Y39" s="23">
        <f t="shared" si="38"/>
        <v>26</v>
      </c>
      <c r="Z39" s="23">
        <f t="shared" si="38"/>
        <v>26</v>
      </c>
      <c r="AA39" s="23">
        <f t="shared" si="38"/>
        <v>26</v>
      </c>
      <c r="AB39" s="23">
        <f t="shared" si="38"/>
        <v>26</v>
      </c>
      <c r="AC39" s="23">
        <f t="shared" si="38"/>
        <v>26</v>
      </c>
      <c r="AD39" s="23">
        <f t="shared" si="38"/>
        <v>25</v>
      </c>
      <c r="AE39" s="23">
        <f t="shared" si="38"/>
        <v>25</v>
      </c>
      <c r="AF39" s="23">
        <f t="shared" si="38"/>
        <v>25</v>
      </c>
      <c r="AG39" s="23">
        <f t="shared" si="38"/>
        <v>25</v>
      </c>
      <c r="AH39" s="23">
        <f t="shared" si="38"/>
        <v>25</v>
      </c>
      <c r="AI39" s="23">
        <f t="shared" si="38"/>
        <v>25</v>
      </c>
      <c r="AJ39" s="23">
        <f t="shared" si="38"/>
        <v>25</v>
      </c>
      <c r="AK39" s="23">
        <f t="shared" si="38"/>
        <v>25</v>
      </c>
      <c r="AL39" s="23">
        <f t="shared" si="38"/>
        <v>25</v>
      </c>
      <c r="AM39" s="23">
        <f t="shared" si="38"/>
        <v>25</v>
      </c>
      <c r="AN39" s="23">
        <f t="shared" si="38"/>
        <v>25</v>
      </c>
      <c r="AO39" s="23">
        <f t="shared" si="38"/>
        <v>26</v>
      </c>
      <c r="AP39" s="23">
        <f t="shared" si="38"/>
        <v>25</v>
      </c>
      <c r="AQ39" s="23">
        <f t="shared" si="38"/>
        <v>25</v>
      </c>
      <c r="AR39" s="23">
        <f t="shared" si="38"/>
        <v>25</v>
      </c>
      <c r="AS39" s="23">
        <f t="shared" si="38"/>
        <v>25</v>
      </c>
      <c r="AT39" s="23">
        <f t="shared" si="38"/>
        <v>25</v>
      </c>
      <c r="AU39" s="23">
        <f t="shared" si="38"/>
        <v>26</v>
      </c>
      <c r="AV39" s="23">
        <f t="shared" si="38"/>
        <v>26</v>
      </c>
      <c r="AW39" s="23">
        <f t="shared" si="38"/>
        <v>26</v>
      </c>
      <c r="AX39" s="23">
        <f t="shared" si="38"/>
        <v>26</v>
      </c>
      <c r="AY39" s="23">
        <f t="shared" si="38"/>
        <v>26</v>
      </c>
      <c r="AZ39" s="23">
        <f t="shared" si="38"/>
        <v>26</v>
      </c>
      <c r="BA39" s="23">
        <f t="shared" si="38"/>
        <v>26</v>
      </c>
      <c r="BB39" s="23">
        <f t="shared" si="38"/>
        <v>26</v>
      </c>
      <c r="BC39" s="23">
        <f t="shared" si="38"/>
        <v>26</v>
      </c>
      <c r="BD39" s="23">
        <f t="shared" si="38"/>
        <v>26</v>
      </c>
      <c r="BE39" s="23">
        <f t="shared" si="38"/>
        <v>26</v>
      </c>
      <c r="BF39" s="23">
        <f t="shared" si="38"/>
        <v>26</v>
      </c>
      <c r="BG39" s="23">
        <f t="shared" si="38"/>
        <v>27</v>
      </c>
      <c r="BH39" s="23">
        <f t="shared" si="38"/>
        <v>27</v>
      </c>
      <c r="BI39" s="23">
        <f t="shared" si="38"/>
        <v>27</v>
      </c>
      <c r="BJ39" s="23">
        <f t="shared" si="38"/>
        <v>27</v>
      </c>
      <c r="BK39" s="23">
        <f t="shared" si="38"/>
        <v>27</v>
      </c>
      <c r="BL39" s="23">
        <f t="shared" si="38"/>
        <v>27</v>
      </c>
      <c r="BM39" s="23">
        <f t="shared" si="38"/>
        <v>27</v>
      </c>
      <c r="BN39" s="23">
        <f t="shared" si="38"/>
        <v>27</v>
      </c>
      <c r="BO39" s="23">
        <f t="shared" si="38"/>
        <v>27</v>
      </c>
      <c r="BP39" s="23">
        <f t="shared" si="38"/>
        <v>26</v>
      </c>
      <c r="BQ39" s="23">
        <f t="shared" si="38"/>
        <v>26</v>
      </c>
      <c r="BR39" s="23">
        <f t="shared" si="38"/>
        <v>26</v>
      </c>
      <c r="BS39" s="23">
        <f t="shared" si="38"/>
        <v>26</v>
      </c>
      <c r="BT39" s="23">
        <f t="shared" si="38"/>
        <v>26</v>
      </c>
      <c r="BU39" s="23">
        <f t="shared" si="38"/>
        <v>26</v>
      </c>
      <c r="BV39" s="23">
        <f t="shared" si="38"/>
        <v>26</v>
      </c>
      <c r="BW39" s="23">
        <f t="shared" si="38"/>
        <v>26</v>
      </c>
      <c r="BX39" s="23">
        <f t="shared" si="38"/>
        <v>26</v>
      </c>
      <c r="BY39" s="23">
        <f t="shared" si="38"/>
        <v>26</v>
      </c>
      <c r="BZ39" s="23">
        <f t="shared" si="38"/>
        <v>26</v>
      </c>
      <c r="CA39" s="23">
        <f t="shared" si="38"/>
        <v>26</v>
      </c>
      <c r="CB39" s="23">
        <f t="shared" si="38"/>
        <v>26</v>
      </c>
      <c r="CC39" s="23">
        <f t="shared" ref="CC39:EN39" si="39">$D$41-SUM(CC4:CC36)</f>
        <v>25</v>
      </c>
      <c r="CD39" s="23">
        <f t="shared" si="39"/>
        <v>25</v>
      </c>
      <c r="CE39" s="23">
        <f t="shared" si="39"/>
        <v>25</v>
      </c>
      <c r="CF39" s="23">
        <f t="shared" si="39"/>
        <v>25</v>
      </c>
      <c r="CG39" s="23">
        <f t="shared" si="39"/>
        <v>26</v>
      </c>
      <c r="CH39" s="23">
        <f t="shared" si="39"/>
        <v>25</v>
      </c>
      <c r="CI39" s="23">
        <f t="shared" si="39"/>
        <v>25</v>
      </c>
      <c r="CJ39" s="23">
        <f t="shared" si="39"/>
        <v>25</v>
      </c>
      <c r="CK39" s="23">
        <f t="shared" si="39"/>
        <v>25</v>
      </c>
      <c r="CL39" s="23">
        <f t="shared" si="39"/>
        <v>25</v>
      </c>
      <c r="CM39" s="23">
        <f t="shared" si="39"/>
        <v>25</v>
      </c>
      <c r="CN39" s="23">
        <f t="shared" si="39"/>
        <v>25</v>
      </c>
      <c r="CO39" s="23">
        <f t="shared" si="39"/>
        <v>25</v>
      </c>
      <c r="CP39" s="23">
        <f t="shared" si="39"/>
        <v>25</v>
      </c>
      <c r="CQ39" s="23">
        <f t="shared" si="39"/>
        <v>25</v>
      </c>
      <c r="CR39" s="23">
        <f t="shared" si="39"/>
        <v>25</v>
      </c>
      <c r="CS39" s="23">
        <f t="shared" si="39"/>
        <v>25</v>
      </c>
      <c r="CT39" s="23">
        <f t="shared" si="39"/>
        <v>26</v>
      </c>
      <c r="CU39" s="23">
        <f t="shared" si="39"/>
        <v>26</v>
      </c>
      <c r="CV39" s="23">
        <f t="shared" si="39"/>
        <v>26</v>
      </c>
      <c r="CW39" s="23">
        <f t="shared" si="39"/>
        <v>26</v>
      </c>
      <c r="CX39" s="23">
        <f t="shared" si="39"/>
        <v>26</v>
      </c>
      <c r="CY39" s="23">
        <f t="shared" si="39"/>
        <v>27</v>
      </c>
      <c r="CZ39" s="23">
        <f t="shared" si="39"/>
        <v>27</v>
      </c>
      <c r="DA39" s="23">
        <f t="shared" si="39"/>
        <v>27</v>
      </c>
      <c r="DB39" s="23">
        <f t="shared" si="39"/>
        <v>26</v>
      </c>
      <c r="DC39" s="23">
        <f t="shared" si="39"/>
        <v>26</v>
      </c>
      <c r="DD39" s="23">
        <f t="shared" si="39"/>
        <v>26</v>
      </c>
      <c r="DE39" s="23">
        <f t="shared" si="39"/>
        <v>26</v>
      </c>
      <c r="DF39" s="23">
        <f t="shared" si="39"/>
        <v>26</v>
      </c>
      <c r="DG39" s="23">
        <f t="shared" si="39"/>
        <v>26</v>
      </c>
      <c r="DH39" s="23">
        <f t="shared" si="39"/>
        <v>26</v>
      </c>
      <c r="DI39" s="23">
        <f t="shared" si="39"/>
        <v>26</v>
      </c>
      <c r="DJ39" s="23">
        <f t="shared" si="39"/>
        <v>25</v>
      </c>
      <c r="DK39" s="23">
        <f t="shared" si="39"/>
        <v>25</v>
      </c>
      <c r="DL39" s="23">
        <f t="shared" si="39"/>
        <v>25</v>
      </c>
      <c r="DM39" s="23">
        <f t="shared" si="39"/>
        <v>24</v>
      </c>
      <c r="DN39" s="23">
        <f t="shared" si="39"/>
        <v>24</v>
      </c>
      <c r="DO39" s="23">
        <f t="shared" si="39"/>
        <v>24</v>
      </c>
      <c r="DP39" s="23">
        <f t="shared" si="39"/>
        <v>24</v>
      </c>
      <c r="DQ39" s="23">
        <f t="shared" si="39"/>
        <v>24</v>
      </c>
      <c r="DR39" s="23">
        <f t="shared" si="39"/>
        <v>23</v>
      </c>
      <c r="DS39" s="23">
        <f t="shared" si="39"/>
        <v>24</v>
      </c>
      <c r="DT39" s="23">
        <f t="shared" si="39"/>
        <v>24</v>
      </c>
      <c r="DU39" s="23">
        <f t="shared" si="39"/>
        <v>24</v>
      </c>
      <c r="DV39" s="23">
        <f t="shared" si="39"/>
        <v>24</v>
      </c>
      <c r="DW39" s="23">
        <f t="shared" si="39"/>
        <v>24</v>
      </c>
      <c r="DX39" s="23">
        <f t="shared" si="39"/>
        <v>24</v>
      </c>
      <c r="DY39" s="23">
        <f t="shared" si="39"/>
        <v>24</v>
      </c>
      <c r="DZ39" s="23">
        <f t="shared" si="39"/>
        <v>24</v>
      </c>
      <c r="EA39" s="23">
        <f t="shared" si="39"/>
        <v>25</v>
      </c>
      <c r="EB39" s="23">
        <f t="shared" si="39"/>
        <v>25</v>
      </c>
      <c r="EC39" s="23">
        <f t="shared" si="39"/>
        <v>25</v>
      </c>
      <c r="ED39" s="23">
        <f t="shared" si="39"/>
        <v>25</v>
      </c>
      <c r="EE39" s="23">
        <f t="shared" si="39"/>
        <v>25</v>
      </c>
      <c r="EF39" s="23">
        <f t="shared" si="39"/>
        <v>25</v>
      </c>
      <c r="EG39" s="23">
        <f t="shared" si="39"/>
        <v>25</v>
      </c>
      <c r="EH39" s="23">
        <f t="shared" si="39"/>
        <v>25</v>
      </c>
      <c r="EI39" s="23">
        <f t="shared" si="39"/>
        <v>26</v>
      </c>
      <c r="EJ39" s="23">
        <f t="shared" si="39"/>
        <v>26</v>
      </c>
      <c r="EK39" s="23">
        <f t="shared" si="39"/>
        <v>26</v>
      </c>
      <c r="EL39" s="23">
        <f t="shared" si="39"/>
        <v>26</v>
      </c>
      <c r="EM39" s="23">
        <f t="shared" si="39"/>
        <v>26</v>
      </c>
      <c r="EN39" s="23">
        <f t="shared" si="39"/>
        <v>26</v>
      </c>
      <c r="EO39" s="23">
        <f t="shared" ref="EO39:GZ39" si="40">$D$41-SUM(EO4:EO36)</f>
        <v>26</v>
      </c>
      <c r="EP39" s="23">
        <f t="shared" si="40"/>
        <v>26</v>
      </c>
      <c r="EQ39" s="23">
        <f t="shared" si="40"/>
        <v>26</v>
      </c>
      <c r="ER39" s="23">
        <f t="shared" si="40"/>
        <v>26</v>
      </c>
      <c r="ES39" s="23">
        <f t="shared" si="40"/>
        <v>26</v>
      </c>
      <c r="ET39" s="23">
        <f t="shared" si="40"/>
        <v>26</v>
      </c>
      <c r="EU39" s="23">
        <f t="shared" si="40"/>
        <v>27</v>
      </c>
      <c r="EV39" s="23">
        <f t="shared" si="40"/>
        <v>27</v>
      </c>
      <c r="EW39" s="23">
        <f t="shared" si="40"/>
        <v>27</v>
      </c>
      <c r="EX39" s="23">
        <f t="shared" si="40"/>
        <v>27</v>
      </c>
      <c r="EY39" s="23">
        <f t="shared" si="40"/>
        <v>27</v>
      </c>
      <c r="EZ39" s="23">
        <f t="shared" si="40"/>
        <v>27</v>
      </c>
      <c r="FA39" s="23">
        <f t="shared" si="40"/>
        <v>27</v>
      </c>
      <c r="FB39" s="23">
        <f t="shared" si="40"/>
        <v>27</v>
      </c>
      <c r="FC39" s="23">
        <f t="shared" si="40"/>
        <v>27</v>
      </c>
      <c r="FD39" s="23">
        <f t="shared" si="40"/>
        <v>27</v>
      </c>
      <c r="FE39" s="23">
        <f t="shared" si="40"/>
        <v>27</v>
      </c>
      <c r="FF39" s="23">
        <f t="shared" si="40"/>
        <v>27</v>
      </c>
      <c r="FG39" s="23">
        <f t="shared" si="40"/>
        <v>27</v>
      </c>
      <c r="FH39" s="23">
        <f t="shared" si="40"/>
        <v>27</v>
      </c>
      <c r="FI39" s="23">
        <f t="shared" si="40"/>
        <v>27</v>
      </c>
      <c r="FJ39" s="23">
        <f t="shared" si="40"/>
        <v>27</v>
      </c>
      <c r="FK39" s="23">
        <f t="shared" si="40"/>
        <v>27</v>
      </c>
      <c r="FL39" s="23">
        <f t="shared" si="40"/>
        <v>27</v>
      </c>
      <c r="FM39" s="23">
        <f t="shared" si="40"/>
        <v>27</v>
      </c>
      <c r="FN39" s="23">
        <f t="shared" si="40"/>
        <v>26</v>
      </c>
      <c r="FO39" s="23">
        <f t="shared" si="40"/>
        <v>26</v>
      </c>
      <c r="FP39" s="23">
        <f t="shared" si="40"/>
        <v>26</v>
      </c>
      <c r="FQ39" s="23">
        <f t="shared" si="40"/>
        <v>26</v>
      </c>
      <c r="FR39" s="23">
        <f t="shared" si="40"/>
        <v>26</v>
      </c>
      <c r="FS39" s="23">
        <f t="shared" si="40"/>
        <v>26</v>
      </c>
      <c r="FT39" s="23">
        <f t="shared" si="40"/>
        <v>26</v>
      </c>
      <c r="FU39" s="23">
        <f t="shared" si="40"/>
        <v>26</v>
      </c>
      <c r="FV39" s="23">
        <f t="shared" si="40"/>
        <v>26</v>
      </c>
      <c r="FW39" s="23">
        <f t="shared" si="40"/>
        <v>26</v>
      </c>
      <c r="FX39" s="23">
        <f t="shared" si="40"/>
        <v>26</v>
      </c>
      <c r="FY39" s="23">
        <f t="shared" si="40"/>
        <v>26</v>
      </c>
      <c r="FZ39" s="23">
        <f t="shared" si="40"/>
        <v>26</v>
      </c>
      <c r="GA39" s="23">
        <f t="shared" si="40"/>
        <v>26</v>
      </c>
      <c r="GB39" s="23">
        <f t="shared" si="40"/>
        <v>26</v>
      </c>
      <c r="GC39" s="23">
        <f t="shared" si="40"/>
        <v>26</v>
      </c>
      <c r="GD39" s="23">
        <f t="shared" si="40"/>
        <v>26</v>
      </c>
      <c r="GE39" s="23">
        <f t="shared" si="40"/>
        <v>27</v>
      </c>
      <c r="GF39" s="23">
        <f t="shared" si="40"/>
        <v>27</v>
      </c>
      <c r="GG39" s="23">
        <f t="shared" si="40"/>
        <v>27</v>
      </c>
      <c r="GH39" s="23">
        <f t="shared" si="40"/>
        <v>27</v>
      </c>
      <c r="GI39" s="23">
        <f t="shared" si="40"/>
        <v>27</v>
      </c>
      <c r="GJ39" s="23">
        <f t="shared" si="40"/>
        <v>27</v>
      </c>
      <c r="GK39" s="23">
        <f t="shared" si="40"/>
        <v>27</v>
      </c>
      <c r="GL39" s="23">
        <f t="shared" si="40"/>
        <v>27</v>
      </c>
      <c r="GM39" s="23">
        <f t="shared" si="40"/>
        <v>27</v>
      </c>
      <c r="GN39" s="23">
        <f t="shared" si="40"/>
        <v>27</v>
      </c>
      <c r="GO39" s="23">
        <f t="shared" si="40"/>
        <v>27</v>
      </c>
      <c r="GP39" s="23">
        <f t="shared" si="40"/>
        <v>27</v>
      </c>
      <c r="GQ39" s="23">
        <f t="shared" si="40"/>
        <v>27</v>
      </c>
      <c r="GR39" s="23">
        <f t="shared" si="40"/>
        <v>27</v>
      </c>
      <c r="GS39" s="23">
        <f t="shared" si="40"/>
        <v>27</v>
      </c>
      <c r="GT39" s="23">
        <f t="shared" si="40"/>
        <v>27</v>
      </c>
      <c r="GU39" s="23">
        <f t="shared" si="40"/>
        <v>27</v>
      </c>
      <c r="GV39" s="23">
        <f t="shared" si="40"/>
        <v>27</v>
      </c>
      <c r="GW39" s="23">
        <f t="shared" si="40"/>
        <v>27</v>
      </c>
      <c r="GX39" s="23">
        <f t="shared" si="40"/>
        <v>27</v>
      </c>
      <c r="GY39" s="23">
        <f t="shared" si="40"/>
        <v>27</v>
      </c>
      <c r="GZ39" s="23">
        <f t="shared" si="40"/>
        <v>27</v>
      </c>
      <c r="HA39" s="23">
        <f t="shared" ref="HA39:JL39" si="41">$D$41-SUM(HA4:HA36)</f>
        <v>27</v>
      </c>
      <c r="HB39" s="23">
        <f t="shared" si="41"/>
        <v>27</v>
      </c>
      <c r="HC39" s="23">
        <f t="shared" si="41"/>
        <v>27</v>
      </c>
      <c r="HD39" s="23">
        <f t="shared" si="41"/>
        <v>27</v>
      </c>
      <c r="HE39" s="23">
        <f t="shared" si="41"/>
        <v>27</v>
      </c>
      <c r="HF39" s="23">
        <f t="shared" si="41"/>
        <v>27</v>
      </c>
      <c r="HG39" s="23">
        <f t="shared" si="41"/>
        <v>26</v>
      </c>
      <c r="HH39" s="23">
        <f t="shared" si="41"/>
        <v>26</v>
      </c>
      <c r="HI39" s="23">
        <f t="shared" si="41"/>
        <v>26</v>
      </c>
      <c r="HJ39" s="23">
        <f t="shared" si="41"/>
        <v>26</v>
      </c>
      <c r="HK39" s="23">
        <f t="shared" si="41"/>
        <v>26</v>
      </c>
      <c r="HL39" s="23">
        <f t="shared" si="41"/>
        <v>25</v>
      </c>
      <c r="HM39" s="23">
        <f t="shared" si="41"/>
        <v>25</v>
      </c>
      <c r="HN39" s="23">
        <f t="shared" si="41"/>
        <v>25</v>
      </c>
      <c r="HO39" s="23">
        <f t="shared" si="41"/>
        <v>25</v>
      </c>
      <c r="HP39" s="23">
        <f t="shared" si="41"/>
        <v>25</v>
      </c>
      <c r="HQ39" s="23">
        <f t="shared" si="41"/>
        <v>25</v>
      </c>
      <c r="HR39" s="23">
        <f t="shared" si="41"/>
        <v>25</v>
      </c>
      <c r="HS39" s="23">
        <f t="shared" si="41"/>
        <v>25</v>
      </c>
      <c r="HT39" s="23">
        <f t="shared" si="41"/>
        <v>25</v>
      </c>
      <c r="HU39" s="23">
        <f t="shared" si="41"/>
        <v>25</v>
      </c>
      <c r="HV39" s="23">
        <f t="shared" si="41"/>
        <v>25</v>
      </c>
      <c r="HW39" s="23">
        <f t="shared" si="41"/>
        <v>25</v>
      </c>
      <c r="HX39" s="23">
        <f t="shared" si="41"/>
        <v>26</v>
      </c>
      <c r="HY39" s="23">
        <f t="shared" si="41"/>
        <v>26</v>
      </c>
      <c r="HZ39" s="23">
        <f t="shared" si="41"/>
        <v>26</v>
      </c>
      <c r="IA39" s="23">
        <f t="shared" si="41"/>
        <v>26</v>
      </c>
      <c r="IB39" s="23">
        <f t="shared" si="41"/>
        <v>26</v>
      </c>
      <c r="IC39" s="23">
        <f t="shared" si="41"/>
        <v>27</v>
      </c>
      <c r="ID39" s="23">
        <f t="shared" si="41"/>
        <v>27</v>
      </c>
      <c r="IE39" s="23">
        <f t="shared" si="41"/>
        <v>27</v>
      </c>
      <c r="IF39" s="23">
        <f t="shared" si="41"/>
        <v>27</v>
      </c>
      <c r="IG39" s="23">
        <f t="shared" si="41"/>
        <v>27</v>
      </c>
      <c r="IH39" s="23">
        <f t="shared" si="41"/>
        <v>27</v>
      </c>
      <c r="II39" s="23">
        <f t="shared" si="41"/>
        <v>27</v>
      </c>
      <c r="IJ39" s="23">
        <f t="shared" si="41"/>
        <v>27</v>
      </c>
      <c r="IK39" s="23">
        <f t="shared" si="41"/>
        <v>27</v>
      </c>
      <c r="IL39" s="23">
        <f t="shared" si="41"/>
        <v>27</v>
      </c>
      <c r="IM39" s="23">
        <f t="shared" si="41"/>
        <v>27</v>
      </c>
      <c r="IN39" s="23">
        <f t="shared" si="41"/>
        <v>27</v>
      </c>
      <c r="IO39" s="23">
        <f t="shared" si="41"/>
        <v>27</v>
      </c>
      <c r="IP39" s="23">
        <f t="shared" si="41"/>
        <v>27</v>
      </c>
      <c r="IQ39" s="23">
        <f t="shared" si="41"/>
        <v>27</v>
      </c>
      <c r="IR39" s="23">
        <f t="shared" si="41"/>
        <v>27</v>
      </c>
      <c r="IS39" s="23">
        <f t="shared" si="41"/>
        <v>27</v>
      </c>
      <c r="IT39" s="23">
        <f t="shared" si="41"/>
        <v>27</v>
      </c>
      <c r="IU39" s="23">
        <f t="shared" si="41"/>
        <v>27</v>
      </c>
      <c r="IV39" s="23">
        <f t="shared" si="41"/>
        <v>27</v>
      </c>
      <c r="IW39" s="23">
        <f t="shared" si="41"/>
        <v>27</v>
      </c>
      <c r="IX39" s="23">
        <f t="shared" si="41"/>
        <v>27</v>
      </c>
      <c r="IY39" s="23">
        <f t="shared" si="41"/>
        <v>27</v>
      </c>
      <c r="IZ39" s="23">
        <f t="shared" si="41"/>
        <v>27</v>
      </c>
      <c r="JA39" s="23">
        <f t="shared" si="41"/>
        <v>27</v>
      </c>
      <c r="JB39" s="23">
        <f t="shared" si="41"/>
        <v>27</v>
      </c>
      <c r="JC39" s="23">
        <f t="shared" si="41"/>
        <v>26</v>
      </c>
      <c r="JD39" s="23">
        <f t="shared" si="41"/>
        <v>26</v>
      </c>
      <c r="JE39" s="23">
        <f t="shared" si="41"/>
        <v>26</v>
      </c>
      <c r="JF39" s="23">
        <f t="shared" si="41"/>
        <v>26</v>
      </c>
      <c r="JG39" s="23">
        <f t="shared" si="41"/>
        <v>26</v>
      </c>
      <c r="JH39" s="23">
        <f t="shared" si="41"/>
        <v>26</v>
      </c>
      <c r="JI39" s="23">
        <f t="shared" si="41"/>
        <v>26</v>
      </c>
      <c r="JJ39" s="23">
        <f t="shared" si="41"/>
        <v>26</v>
      </c>
      <c r="JK39" s="23">
        <f t="shared" si="41"/>
        <v>25</v>
      </c>
      <c r="JL39" s="23">
        <f t="shared" si="41"/>
        <v>25</v>
      </c>
      <c r="JM39" s="23">
        <f t="shared" ref="JM39:LX39" si="42">$D$41-SUM(JM4:JM36)</f>
        <v>25</v>
      </c>
      <c r="JN39" s="23">
        <f t="shared" si="42"/>
        <v>25</v>
      </c>
      <c r="JO39" s="23">
        <f t="shared" si="42"/>
        <v>25</v>
      </c>
      <c r="JP39" s="23">
        <f t="shared" si="42"/>
        <v>25</v>
      </c>
      <c r="JQ39" s="23">
        <f t="shared" si="42"/>
        <v>25</v>
      </c>
      <c r="JR39" s="23">
        <f t="shared" si="42"/>
        <v>25</v>
      </c>
      <c r="JS39" s="23">
        <f t="shared" si="42"/>
        <v>25</v>
      </c>
      <c r="JT39" s="23">
        <f t="shared" si="42"/>
        <v>25</v>
      </c>
      <c r="JU39" s="23">
        <f t="shared" si="42"/>
        <v>25</v>
      </c>
      <c r="JV39" s="23">
        <f t="shared" si="42"/>
        <v>25</v>
      </c>
      <c r="JW39" s="23">
        <f t="shared" si="42"/>
        <v>25</v>
      </c>
      <c r="JX39" s="23">
        <f t="shared" si="42"/>
        <v>25</v>
      </c>
      <c r="JY39" s="23">
        <f t="shared" si="42"/>
        <v>25</v>
      </c>
      <c r="JZ39" s="23">
        <f t="shared" si="42"/>
        <v>25</v>
      </c>
      <c r="KA39" s="23">
        <f t="shared" si="42"/>
        <v>25</v>
      </c>
      <c r="KB39" s="23">
        <f t="shared" si="42"/>
        <v>26</v>
      </c>
      <c r="KC39" s="23">
        <f t="shared" si="42"/>
        <v>25</v>
      </c>
      <c r="KD39" s="23">
        <f t="shared" si="42"/>
        <v>25</v>
      </c>
      <c r="KE39" s="23">
        <f t="shared" si="42"/>
        <v>25</v>
      </c>
      <c r="KF39" s="23">
        <f t="shared" si="42"/>
        <v>25</v>
      </c>
      <c r="KG39" s="23">
        <f t="shared" si="42"/>
        <v>25</v>
      </c>
      <c r="KH39" s="23">
        <f t="shared" si="42"/>
        <v>25</v>
      </c>
      <c r="KI39" s="23">
        <f t="shared" si="42"/>
        <v>25</v>
      </c>
      <c r="KJ39" s="23">
        <f t="shared" si="42"/>
        <v>25</v>
      </c>
      <c r="KK39" s="23">
        <f t="shared" si="42"/>
        <v>26</v>
      </c>
      <c r="KL39" s="23">
        <f t="shared" si="42"/>
        <v>26</v>
      </c>
      <c r="KM39" s="23">
        <f t="shared" si="42"/>
        <v>26</v>
      </c>
      <c r="KN39" s="23">
        <f t="shared" si="42"/>
        <v>26</v>
      </c>
      <c r="KO39" s="23">
        <f t="shared" si="42"/>
        <v>25</v>
      </c>
      <c r="KP39" s="23">
        <f t="shared" si="42"/>
        <v>25</v>
      </c>
      <c r="KQ39" s="23">
        <f t="shared" si="42"/>
        <v>25</v>
      </c>
      <c r="KR39" s="23">
        <f t="shared" si="42"/>
        <v>25</v>
      </c>
      <c r="KS39" s="23">
        <f t="shared" si="42"/>
        <v>25</v>
      </c>
      <c r="KT39" s="23">
        <f t="shared" si="42"/>
        <v>26</v>
      </c>
      <c r="KU39" s="23">
        <f t="shared" si="42"/>
        <v>26</v>
      </c>
      <c r="KV39" s="23">
        <f t="shared" si="42"/>
        <v>26</v>
      </c>
      <c r="KW39" s="23">
        <f t="shared" si="42"/>
        <v>26</v>
      </c>
      <c r="KX39" s="23">
        <f t="shared" si="42"/>
        <v>26</v>
      </c>
      <c r="KY39" s="23">
        <f t="shared" si="42"/>
        <v>25</v>
      </c>
      <c r="KZ39" s="23">
        <f t="shared" si="42"/>
        <v>25</v>
      </c>
      <c r="LA39" s="23">
        <f t="shared" si="42"/>
        <v>25</v>
      </c>
      <c r="LB39" s="23">
        <f t="shared" si="42"/>
        <v>24</v>
      </c>
      <c r="LC39" s="23">
        <f t="shared" si="42"/>
        <v>24</v>
      </c>
      <c r="LD39" s="23">
        <f t="shared" si="42"/>
        <v>24</v>
      </c>
      <c r="LE39" s="23">
        <f t="shared" si="42"/>
        <v>24</v>
      </c>
      <c r="LF39" s="23">
        <f t="shared" si="42"/>
        <v>24</v>
      </c>
      <c r="LG39" s="23">
        <f t="shared" si="42"/>
        <v>24</v>
      </c>
      <c r="LH39" s="23">
        <f t="shared" si="42"/>
        <v>24</v>
      </c>
      <c r="LI39" s="23">
        <f t="shared" si="42"/>
        <v>24</v>
      </c>
      <c r="LJ39" s="23">
        <f t="shared" si="42"/>
        <v>24</v>
      </c>
      <c r="LK39" s="23">
        <f t="shared" si="42"/>
        <v>24</v>
      </c>
      <c r="LL39" s="23">
        <f t="shared" si="42"/>
        <v>24</v>
      </c>
      <c r="LM39" s="23">
        <f t="shared" si="42"/>
        <v>24</v>
      </c>
      <c r="LN39" s="23">
        <f t="shared" si="42"/>
        <v>24</v>
      </c>
      <c r="LO39" s="23">
        <f t="shared" si="42"/>
        <v>24</v>
      </c>
      <c r="LP39" s="23">
        <f t="shared" si="42"/>
        <v>25</v>
      </c>
      <c r="LQ39" s="23">
        <f t="shared" si="42"/>
        <v>24</v>
      </c>
      <c r="LR39" s="23">
        <f t="shared" si="42"/>
        <v>24</v>
      </c>
      <c r="LS39" s="23">
        <f t="shared" si="42"/>
        <v>25</v>
      </c>
      <c r="LT39" s="23">
        <f t="shared" si="42"/>
        <v>25</v>
      </c>
      <c r="LU39" s="23">
        <f t="shared" si="42"/>
        <v>25</v>
      </c>
      <c r="LV39" s="23">
        <f t="shared" si="42"/>
        <v>25</v>
      </c>
      <c r="LW39" s="23">
        <f t="shared" si="42"/>
        <v>26</v>
      </c>
      <c r="LX39" s="23">
        <f t="shared" si="42"/>
        <v>26</v>
      </c>
      <c r="LY39" s="23">
        <f t="shared" ref="LY39:OJ39" si="43">$D$41-SUM(LY4:LY36)</f>
        <v>26</v>
      </c>
      <c r="LZ39" s="23">
        <f t="shared" si="43"/>
        <v>26</v>
      </c>
      <c r="MA39" s="23">
        <f t="shared" si="43"/>
        <v>26</v>
      </c>
      <c r="MB39" s="23">
        <f t="shared" si="43"/>
        <v>26</v>
      </c>
      <c r="MC39" s="23">
        <f t="shared" si="43"/>
        <v>26</v>
      </c>
      <c r="MD39" s="23">
        <f t="shared" si="43"/>
        <v>26</v>
      </c>
      <c r="ME39" s="23">
        <f t="shared" si="43"/>
        <v>26</v>
      </c>
      <c r="MF39" s="23">
        <f t="shared" si="43"/>
        <v>26</v>
      </c>
      <c r="MG39" s="23">
        <f t="shared" si="43"/>
        <v>26</v>
      </c>
      <c r="MH39" s="23">
        <f t="shared" si="43"/>
        <v>27</v>
      </c>
      <c r="MI39" s="23">
        <f t="shared" si="43"/>
        <v>24</v>
      </c>
      <c r="MJ39" s="23">
        <f t="shared" si="43"/>
        <v>24</v>
      </c>
      <c r="MK39" s="23">
        <f t="shared" si="43"/>
        <v>24</v>
      </c>
      <c r="ML39" s="23">
        <f t="shared" si="43"/>
        <v>24</v>
      </c>
      <c r="MM39" s="23">
        <f t="shared" si="43"/>
        <v>24</v>
      </c>
      <c r="MN39" s="23">
        <f t="shared" si="43"/>
        <v>24</v>
      </c>
      <c r="MO39" s="23">
        <f t="shared" si="43"/>
        <v>24</v>
      </c>
      <c r="MP39" s="23">
        <f t="shared" si="43"/>
        <v>24</v>
      </c>
      <c r="MQ39" s="23">
        <f t="shared" si="43"/>
        <v>24</v>
      </c>
      <c r="MR39" s="23">
        <f t="shared" si="43"/>
        <v>24</v>
      </c>
      <c r="MS39" s="23">
        <f t="shared" si="43"/>
        <v>24</v>
      </c>
      <c r="MT39" s="23">
        <f t="shared" si="43"/>
        <v>24</v>
      </c>
      <c r="MU39" s="23">
        <f t="shared" si="43"/>
        <v>24</v>
      </c>
      <c r="MV39" s="23">
        <f t="shared" si="43"/>
        <v>23</v>
      </c>
      <c r="MW39" s="23">
        <f t="shared" si="43"/>
        <v>23</v>
      </c>
      <c r="MX39" s="23">
        <f t="shared" si="43"/>
        <v>23</v>
      </c>
      <c r="MY39" s="23">
        <f t="shared" si="43"/>
        <v>23</v>
      </c>
      <c r="MZ39" s="23">
        <f t="shared" si="43"/>
        <v>26</v>
      </c>
      <c r="NA39" s="23">
        <f t="shared" si="43"/>
        <v>26</v>
      </c>
      <c r="NB39" s="23">
        <f t="shared" si="43"/>
        <v>25</v>
      </c>
      <c r="NC39" s="23">
        <f t="shared" si="43"/>
        <v>25</v>
      </c>
      <c r="ND39" s="23">
        <f t="shared" si="43"/>
        <v>25</v>
      </c>
      <c r="NE39" s="23">
        <f t="shared" si="43"/>
        <v>25</v>
      </c>
      <c r="NF39" s="23">
        <f t="shared" si="43"/>
        <v>25</v>
      </c>
      <c r="NG39" s="23">
        <f t="shared" si="43"/>
        <v>25</v>
      </c>
      <c r="NH39" s="23">
        <f t="shared" si="43"/>
        <v>25</v>
      </c>
      <c r="NI39" s="23">
        <f t="shared" si="43"/>
        <v>25</v>
      </c>
      <c r="NJ39" s="23">
        <f t="shared" si="43"/>
        <v>25</v>
      </c>
      <c r="NK39" s="23">
        <f t="shared" si="43"/>
        <v>25</v>
      </c>
      <c r="NL39" s="23">
        <f t="shared" si="43"/>
        <v>24</v>
      </c>
      <c r="NM39" s="23">
        <f t="shared" si="43"/>
        <v>25</v>
      </c>
      <c r="NN39" s="23">
        <f t="shared" si="43"/>
        <v>25</v>
      </c>
      <c r="NO39" s="23">
        <f t="shared" si="43"/>
        <v>25</v>
      </c>
      <c r="NP39" s="23">
        <f t="shared" si="43"/>
        <v>25</v>
      </c>
      <c r="NQ39" s="23">
        <f t="shared" si="43"/>
        <v>25</v>
      </c>
      <c r="NR39" s="23">
        <f t="shared" si="43"/>
        <v>25</v>
      </c>
      <c r="NS39" s="23">
        <f t="shared" si="43"/>
        <v>26</v>
      </c>
      <c r="NT39" s="23">
        <f t="shared" si="43"/>
        <v>26</v>
      </c>
      <c r="NU39" s="23">
        <f t="shared" si="43"/>
        <v>26</v>
      </c>
      <c r="NV39" s="23">
        <f t="shared" si="43"/>
        <v>26</v>
      </c>
      <c r="NW39" s="23">
        <f t="shared" si="43"/>
        <v>26</v>
      </c>
      <c r="NX39" s="23">
        <f t="shared" si="43"/>
        <v>26</v>
      </c>
      <c r="NY39" s="23">
        <f t="shared" si="43"/>
        <v>26</v>
      </c>
      <c r="NZ39" s="23">
        <f t="shared" si="43"/>
        <v>26</v>
      </c>
      <c r="OA39" s="23">
        <f t="shared" si="43"/>
        <v>26</v>
      </c>
      <c r="OB39" s="23">
        <f t="shared" si="43"/>
        <v>26</v>
      </c>
      <c r="OC39" s="23">
        <f t="shared" si="43"/>
        <v>27</v>
      </c>
      <c r="OD39" s="23">
        <f t="shared" si="43"/>
        <v>27</v>
      </c>
      <c r="OE39" s="23">
        <f t="shared" si="43"/>
        <v>27</v>
      </c>
      <c r="OF39" s="23">
        <f t="shared" si="43"/>
        <v>27</v>
      </c>
      <c r="OG39" s="23">
        <f t="shared" si="43"/>
        <v>27</v>
      </c>
      <c r="OH39" s="23">
        <f t="shared" si="43"/>
        <v>27</v>
      </c>
      <c r="OI39" s="23">
        <f t="shared" si="43"/>
        <v>27</v>
      </c>
      <c r="OJ39" s="23">
        <f t="shared" si="43"/>
        <v>27</v>
      </c>
      <c r="OK39" s="23">
        <f t="shared" ref="OK39:QV39" si="44">$D$41-SUM(OK4:OK36)</f>
        <v>27</v>
      </c>
      <c r="OL39" s="23">
        <f t="shared" si="44"/>
        <v>27</v>
      </c>
      <c r="OM39" s="23">
        <f t="shared" si="44"/>
        <v>27</v>
      </c>
      <c r="ON39" s="23">
        <f t="shared" si="44"/>
        <v>27</v>
      </c>
      <c r="OO39" s="23">
        <f t="shared" si="44"/>
        <v>27</v>
      </c>
      <c r="OP39" s="23">
        <f t="shared" si="44"/>
        <v>27</v>
      </c>
      <c r="OQ39" s="23">
        <f t="shared" si="44"/>
        <v>27</v>
      </c>
      <c r="OR39" s="23">
        <f t="shared" si="44"/>
        <v>27</v>
      </c>
      <c r="OS39" s="23">
        <f t="shared" si="44"/>
        <v>27</v>
      </c>
      <c r="OT39" s="23">
        <f t="shared" si="44"/>
        <v>27</v>
      </c>
      <c r="OU39" s="23">
        <f t="shared" si="44"/>
        <v>26</v>
      </c>
      <c r="OV39" s="23">
        <f t="shared" si="44"/>
        <v>26</v>
      </c>
      <c r="OW39" s="23">
        <f t="shared" si="44"/>
        <v>25</v>
      </c>
      <c r="OX39" s="23">
        <f t="shared" si="44"/>
        <v>25</v>
      </c>
      <c r="OY39" s="23">
        <f t="shared" si="44"/>
        <v>25</v>
      </c>
      <c r="OZ39" s="23">
        <f t="shared" si="44"/>
        <v>25</v>
      </c>
      <c r="PA39" s="23">
        <f t="shared" si="44"/>
        <v>25</v>
      </c>
      <c r="PB39" s="23">
        <f t="shared" si="44"/>
        <v>25</v>
      </c>
      <c r="PC39" s="23">
        <f t="shared" si="44"/>
        <v>25</v>
      </c>
      <c r="PD39" s="23">
        <f t="shared" si="44"/>
        <v>25</v>
      </c>
      <c r="PE39" s="23">
        <f t="shared" si="44"/>
        <v>25</v>
      </c>
      <c r="PF39" s="23">
        <f t="shared" si="44"/>
        <v>25</v>
      </c>
      <c r="PG39" s="23">
        <f t="shared" si="44"/>
        <v>25</v>
      </c>
      <c r="PH39" s="23">
        <f t="shared" si="44"/>
        <v>25</v>
      </c>
      <c r="PI39" s="23">
        <f t="shared" si="44"/>
        <v>25</v>
      </c>
      <c r="PJ39" s="23">
        <f t="shared" si="44"/>
        <v>25</v>
      </c>
      <c r="PK39" s="23">
        <f t="shared" si="44"/>
        <v>25</v>
      </c>
      <c r="PL39" s="23">
        <f t="shared" si="44"/>
        <v>26</v>
      </c>
      <c r="PM39" s="23">
        <f t="shared" si="44"/>
        <v>25</v>
      </c>
      <c r="PN39" s="23">
        <f t="shared" si="44"/>
        <v>26</v>
      </c>
      <c r="PO39" s="23">
        <f t="shared" si="44"/>
        <v>26</v>
      </c>
      <c r="PP39" s="23">
        <f t="shared" si="44"/>
        <v>26</v>
      </c>
      <c r="PQ39" s="23">
        <f t="shared" si="44"/>
        <v>26</v>
      </c>
      <c r="PR39" s="23">
        <f t="shared" si="44"/>
        <v>26</v>
      </c>
      <c r="PS39" s="23">
        <f t="shared" si="44"/>
        <v>26</v>
      </c>
      <c r="PT39" s="23">
        <f t="shared" si="44"/>
        <v>26</v>
      </c>
      <c r="PU39" s="23">
        <f t="shared" si="44"/>
        <v>26</v>
      </c>
      <c r="PV39" s="23">
        <f t="shared" si="44"/>
        <v>26</v>
      </c>
      <c r="PW39" s="23">
        <f t="shared" si="44"/>
        <v>26</v>
      </c>
      <c r="PX39" s="23">
        <f t="shared" si="44"/>
        <v>26</v>
      </c>
      <c r="PY39" s="23">
        <f t="shared" si="44"/>
        <v>26</v>
      </c>
      <c r="PZ39" s="23">
        <f t="shared" si="44"/>
        <v>26</v>
      </c>
      <c r="QA39" s="23">
        <f t="shared" si="44"/>
        <v>26</v>
      </c>
      <c r="QB39" s="23">
        <f t="shared" si="44"/>
        <v>26</v>
      </c>
      <c r="QC39" s="23">
        <f t="shared" si="44"/>
        <v>25</v>
      </c>
      <c r="QD39" s="23">
        <f t="shared" si="44"/>
        <v>26</v>
      </c>
      <c r="QE39" s="23">
        <f t="shared" si="44"/>
        <v>26</v>
      </c>
      <c r="QF39" s="23">
        <f t="shared" si="44"/>
        <v>26</v>
      </c>
      <c r="QG39" s="23">
        <f t="shared" si="44"/>
        <v>26</v>
      </c>
      <c r="QH39" s="23">
        <f t="shared" si="44"/>
        <v>26</v>
      </c>
      <c r="QI39" s="23">
        <f t="shared" si="44"/>
        <v>25</v>
      </c>
      <c r="QJ39" s="23">
        <f t="shared" si="44"/>
        <v>25</v>
      </c>
      <c r="QK39" s="23">
        <f t="shared" si="44"/>
        <v>25</v>
      </c>
      <c r="QL39" s="23">
        <f t="shared" si="44"/>
        <v>25</v>
      </c>
      <c r="QM39" s="23">
        <f t="shared" si="44"/>
        <v>25</v>
      </c>
      <c r="QN39" s="23">
        <f t="shared" si="44"/>
        <v>25</v>
      </c>
      <c r="QO39" s="23">
        <f t="shared" si="44"/>
        <v>25</v>
      </c>
      <c r="QP39" s="23">
        <f t="shared" si="44"/>
        <v>25</v>
      </c>
      <c r="QQ39" s="23">
        <f t="shared" si="44"/>
        <v>25</v>
      </c>
      <c r="QR39" s="23">
        <f t="shared" si="44"/>
        <v>25</v>
      </c>
      <c r="QS39" s="23">
        <f t="shared" si="44"/>
        <v>25</v>
      </c>
      <c r="QT39" s="23">
        <f t="shared" si="44"/>
        <v>25</v>
      </c>
      <c r="QU39" s="23">
        <f t="shared" si="44"/>
        <v>25</v>
      </c>
      <c r="QV39" s="23">
        <f t="shared" si="44"/>
        <v>25</v>
      </c>
      <c r="QW39" s="23">
        <f t="shared" ref="QW39:TH39" si="45">$D$41-SUM(QW4:QW36)</f>
        <v>24</v>
      </c>
      <c r="QX39" s="23">
        <f t="shared" si="45"/>
        <v>24</v>
      </c>
      <c r="QY39" s="23">
        <f t="shared" si="45"/>
        <v>24</v>
      </c>
      <c r="QZ39" s="23">
        <f t="shared" si="45"/>
        <v>25</v>
      </c>
      <c r="RA39" s="23">
        <f t="shared" si="45"/>
        <v>25</v>
      </c>
      <c r="RB39" s="23">
        <f t="shared" si="45"/>
        <v>25</v>
      </c>
      <c r="RC39" s="23">
        <f t="shared" si="45"/>
        <v>25</v>
      </c>
      <c r="RD39" s="23">
        <f t="shared" si="45"/>
        <v>25</v>
      </c>
      <c r="RE39" s="23">
        <f t="shared" si="45"/>
        <v>25</v>
      </c>
      <c r="RF39" s="23">
        <f t="shared" si="45"/>
        <v>25</v>
      </c>
      <c r="RG39" s="23">
        <f t="shared" si="45"/>
        <v>25</v>
      </c>
      <c r="RH39" s="23">
        <f t="shared" si="45"/>
        <v>25</v>
      </c>
      <c r="RI39" s="23">
        <f t="shared" si="45"/>
        <v>25</v>
      </c>
      <c r="RJ39" s="23">
        <f t="shared" si="45"/>
        <v>25</v>
      </c>
      <c r="RK39" s="23">
        <f t="shared" si="45"/>
        <v>26</v>
      </c>
      <c r="RL39" s="23">
        <f t="shared" si="45"/>
        <v>26</v>
      </c>
      <c r="RM39" s="23">
        <f t="shared" si="45"/>
        <v>26</v>
      </c>
      <c r="RN39" s="23">
        <f t="shared" si="45"/>
        <v>27</v>
      </c>
      <c r="RO39" s="23">
        <f t="shared" si="45"/>
        <v>27</v>
      </c>
      <c r="RP39" s="23">
        <f t="shared" si="45"/>
        <v>27</v>
      </c>
      <c r="RQ39" s="23">
        <f t="shared" si="45"/>
        <v>27</v>
      </c>
      <c r="RR39" s="23">
        <f t="shared" si="45"/>
        <v>26</v>
      </c>
      <c r="RS39" s="23">
        <f t="shared" si="45"/>
        <v>25</v>
      </c>
      <c r="RT39" s="23">
        <f t="shared" si="45"/>
        <v>25</v>
      </c>
      <c r="RU39" s="23">
        <f t="shared" si="45"/>
        <v>25</v>
      </c>
      <c r="RV39" s="23">
        <f t="shared" si="45"/>
        <v>25</v>
      </c>
      <c r="RW39" s="23">
        <f t="shared" si="45"/>
        <v>25</v>
      </c>
      <c r="RX39" s="23">
        <f t="shared" si="45"/>
        <v>25</v>
      </c>
      <c r="RY39" s="23">
        <f t="shared" si="45"/>
        <v>25</v>
      </c>
      <c r="RZ39" s="23">
        <f t="shared" si="45"/>
        <v>25</v>
      </c>
      <c r="SA39" s="23">
        <f t="shared" si="45"/>
        <v>25</v>
      </c>
      <c r="SB39" s="23">
        <f t="shared" si="45"/>
        <v>25</v>
      </c>
      <c r="SC39" s="23">
        <f t="shared" si="45"/>
        <v>25</v>
      </c>
      <c r="SD39" s="23">
        <f t="shared" si="45"/>
        <v>25</v>
      </c>
      <c r="SE39" s="23">
        <f t="shared" si="45"/>
        <v>25</v>
      </c>
      <c r="SF39" s="23">
        <f t="shared" si="45"/>
        <v>24</v>
      </c>
      <c r="SG39" s="23">
        <f t="shared" si="45"/>
        <v>24</v>
      </c>
      <c r="SH39" s="23">
        <f t="shared" si="45"/>
        <v>24</v>
      </c>
      <c r="SI39" s="23">
        <f t="shared" si="45"/>
        <v>25</v>
      </c>
      <c r="SJ39" s="23">
        <f t="shared" si="45"/>
        <v>26</v>
      </c>
      <c r="SK39" s="23">
        <f t="shared" si="45"/>
        <v>26</v>
      </c>
      <c r="SL39" s="23">
        <f t="shared" si="45"/>
        <v>26</v>
      </c>
      <c r="SM39" s="23">
        <f t="shared" si="45"/>
        <v>25</v>
      </c>
      <c r="SN39" s="23">
        <f t="shared" si="45"/>
        <v>24</v>
      </c>
      <c r="SO39" s="23">
        <f t="shared" si="45"/>
        <v>24</v>
      </c>
      <c r="SP39" s="23">
        <f t="shared" si="45"/>
        <v>24</v>
      </c>
      <c r="SQ39" s="23">
        <f t="shared" si="45"/>
        <v>24</v>
      </c>
      <c r="SR39" s="23">
        <f t="shared" si="45"/>
        <v>24</v>
      </c>
      <c r="SS39" s="23">
        <f t="shared" si="45"/>
        <v>24</v>
      </c>
      <c r="ST39" s="23">
        <f t="shared" si="45"/>
        <v>24</v>
      </c>
      <c r="SU39" s="23">
        <f t="shared" si="45"/>
        <v>24</v>
      </c>
      <c r="SV39" s="23">
        <f t="shared" si="45"/>
        <v>24</v>
      </c>
      <c r="SW39" s="23">
        <f t="shared" si="45"/>
        <v>25</v>
      </c>
      <c r="SX39" s="23">
        <f t="shared" si="45"/>
        <v>25</v>
      </c>
      <c r="SY39" s="23">
        <f t="shared" si="45"/>
        <v>25</v>
      </c>
      <c r="SZ39" s="23">
        <f t="shared" si="45"/>
        <v>25</v>
      </c>
      <c r="TA39" s="23">
        <f t="shared" si="45"/>
        <v>24</v>
      </c>
      <c r="TB39" s="23">
        <f t="shared" si="45"/>
        <v>24</v>
      </c>
      <c r="TC39" s="23">
        <f t="shared" si="45"/>
        <v>24</v>
      </c>
      <c r="TD39" s="23">
        <f t="shared" si="45"/>
        <v>25</v>
      </c>
      <c r="TE39" s="23">
        <f t="shared" si="45"/>
        <v>25</v>
      </c>
      <c r="TF39" s="23">
        <f t="shared" si="45"/>
        <v>24</v>
      </c>
      <c r="TG39" s="23">
        <f t="shared" si="45"/>
        <v>24</v>
      </c>
      <c r="TH39" s="23">
        <f t="shared" si="45"/>
        <v>24</v>
      </c>
      <c r="TI39" s="23">
        <f t="shared" ref="TI39:VT39" si="46">$D$41-SUM(TI4:TI36)</f>
        <v>24</v>
      </c>
      <c r="TJ39" s="23">
        <f t="shared" si="46"/>
        <v>24</v>
      </c>
      <c r="TK39" s="23">
        <f t="shared" si="46"/>
        <v>24</v>
      </c>
      <c r="TL39" s="23">
        <f t="shared" si="46"/>
        <v>24</v>
      </c>
      <c r="TM39" s="23">
        <f t="shared" si="46"/>
        <v>24</v>
      </c>
      <c r="TN39" s="23">
        <f t="shared" si="46"/>
        <v>24</v>
      </c>
      <c r="TO39" s="23">
        <f t="shared" si="46"/>
        <v>24</v>
      </c>
      <c r="TP39" s="23">
        <f t="shared" si="46"/>
        <v>24</v>
      </c>
      <c r="TQ39" s="23">
        <f t="shared" si="46"/>
        <v>24</v>
      </c>
      <c r="TR39" s="23">
        <f t="shared" si="46"/>
        <v>25</v>
      </c>
      <c r="TS39" s="23">
        <f t="shared" si="46"/>
        <v>24</v>
      </c>
      <c r="TT39" s="23">
        <f t="shared" si="46"/>
        <v>24</v>
      </c>
      <c r="TU39" s="23">
        <f t="shared" si="46"/>
        <v>24</v>
      </c>
      <c r="TV39" s="23">
        <f t="shared" si="46"/>
        <v>25</v>
      </c>
      <c r="TW39" s="23">
        <f t="shared" si="46"/>
        <v>26</v>
      </c>
      <c r="TX39" s="23">
        <f t="shared" si="46"/>
        <v>26</v>
      </c>
      <c r="TY39" s="23">
        <f t="shared" si="46"/>
        <v>26</v>
      </c>
      <c r="TZ39" s="23">
        <f t="shared" si="46"/>
        <v>26</v>
      </c>
      <c r="UA39" s="23">
        <f t="shared" si="46"/>
        <v>26</v>
      </c>
      <c r="UB39" s="23">
        <f t="shared" si="46"/>
        <v>26</v>
      </c>
      <c r="UC39" s="23">
        <f t="shared" si="46"/>
        <v>26</v>
      </c>
      <c r="UD39" s="23">
        <f t="shared" si="46"/>
        <v>26</v>
      </c>
      <c r="UE39" s="23">
        <f t="shared" si="46"/>
        <v>26</v>
      </c>
      <c r="UF39" s="23">
        <f t="shared" si="46"/>
        <v>25</v>
      </c>
      <c r="UG39" s="23">
        <f t="shared" si="46"/>
        <v>24</v>
      </c>
      <c r="UH39" s="23">
        <f t="shared" si="46"/>
        <v>24</v>
      </c>
      <c r="UI39" s="23">
        <f t="shared" si="46"/>
        <v>24</v>
      </c>
      <c r="UJ39" s="23">
        <f t="shared" si="46"/>
        <v>24</v>
      </c>
      <c r="UK39" s="23">
        <f t="shared" si="46"/>
        <v>24</v>
      </c>
      <c r="UL39" s="23">
        <f t="shared" si="46"/>
        <v>24</v>
      </c>
      <c r="UM39" s="23">
        <f t="shared" si="46"/>
        <v>24</v>
      </c>
      <c r="UN39" s="23">
        <f t="shared" si="46"/>
        <v>24</v>
      </c>
      <c r="UO39" s="23">
        <f t="shared" si="46"/>
        <v>24</v>
      </c>
      <c r="UP39" s="23">
        <f t="shared" si="46"/>
        <v>24</v>
      </c>
      <c r="UQ39" s="23">
        <f t="shared" si="46"/>
        <v>24</v>
      </c>
      <c r="UR39" s="23">
        <f t="shared" si="46"/>
        <v>24</v>
      </c>
      <c r="US39" s="23">
        <f t="shared" si="46"/>
        <v>24</v>
      </c>
      <c r="UT39" s="23">
        <f t="shared" si="46"/>
        <v>24</v>
      </c>
      <c r="UU39" s="23">
        <f t="shared" si="46"/>
        <v>24</v>
      </c>
      <c r="UV39" s="23">
        <f t="shared" si="46"/>
        <v>24</v>
      </c>
      <c r="UW39" s="23">
        <f t="shared" si="46"/>
        <v>25</v>
      </c>
      <c r="UX39" s="23">
        <f t="shared" si="46"/>
        <v>26</v>
      </c>
      <c r="UY39" s="23">
        <f t="shared" si="46"/>
        <v>25</v>
      </c>
      <c r="UZ39" s="23">
        <f t="shared" si="46"/>
        <v>25</v>
      </c>
      <c r="VA39" s="23">
        <f t="shared" si="46"/>
        <v>26</v>
      </c>
      <c r="VB39" s="23">
        <f t="shared" si="46"/>
        <v>26</v>
      </c>
      <c r="VC39" s="23">
        <f t="shared" si="46"/>
        <v>26</v>
      </c>
      <c r="VD39" s="23">
        <f t="shared" si="46"/>
        <v>26</v>
      </c>
      <c r="VE39" s="23">
        <f t="shared" si="46"/>
        <v>26</v>
      </c>
      <c r="VF39" s="23">
        <f t="shared" si="46"/>
        <v>26</v>
      </c>
      <c r="VG39" s="23">
        <f t="shared" si="46"/>
        <v>26</v>
      </c>
      <c r="VH39" s="23">
        <f t="shared" si="46"/>
        <v>26</v>
      </c>
      <c r="VI39" s="23">
        <f t="shared" si="46"/>
        <v>26</v>
      </c>
      <c r="VJ39" s="23">
        <f t="shared" si="46"/>
        <v>26</v>
      </c>
      <c r="VK39" s="23">
        <f t="shared" si="46"/>
        <v>26</v>
      </c>
      <c r="VL39" s="23">
        <f t="shared" si="46"/>
        <v>26</v>
      </c>
      <c r="VM39" s="23">
        <f t="shared" si="46"/>
        <v>26</v>
      </c>
      <c r="VN39" s="23">
        <f t="shared" si="46"/>
        <v>26</v>
      </c>
      <c r="VO39" s="23">
        <f t="shared" si="46"/>
        <v>26</v>
      </c>
      <c r="VP39" s="23">
        <f t="shared" si="46"/>
        <v>27</v>
      </c>
      <c r="VQ39" s="23">
        <f t="shared" si="46"/>
        <v>27</v>
      </c>
      <c r="VR39" s="23">
        <f t="shared" si="46"/>
        <v>27</v>
      </c>
      <c r="VS39" s="23">
        <f t="shared" si="46"/>
        <v>26</v>
      </c>
      <c r="VT39" s="23">
        <f t="shared" si="46"/>
        <v>26</v>
      </c>
      <c r="VU39" s="23">
        <f t="shared" ref="VU39:YF39" si="47">$D$41-SUM(VU4:VU36)</f>
        <v>26</v>
      </c>
      <c r="VV39" s="23">
        <f t="shared" si="47"/>
        <v>25</v>
      </c>
      <c r="VW39" s="23">
        <f t="shared" si="47"/>
        <v>25</v>
      </c>
      <c r="VX39" s="23">
        <f t="shared" si="47"/>
        <v>25</v>
      </c>
      <c r="VY39" s="23">
        <f t="shared" si="47"/>
        <v>25</v>
      </c>
      <c r="VZ39" s="23">
        <f t="shared" si="47"/>
        <v>25</v>
      </c>
      <c r="WA39" s="23">
        <f t="shared" si="47"/>
        <v>25</v>
      </c>
      <c r="WB39" s="23">
        <f t="shared" si="47"/>
        <v>25</v>
      </c>
      <c r="WC39" s="23">
        <f t="shared" si="47"/>
        <v>25</v>
      </c>
      <c r="WD39" s="23">
        <f t="shared" si="47"/>
        <v>25</v>
      </c>
      <c r="WE39" s="23">
        <f t="shared" si="47"/>
        <v>25</v>
      </c>
      <c r="WF39" s="23">
        <f t="shared" si="47"/>
        <v>25</v>
      </c>
      <c r="WG39" s="23">
        <f t="shared" si="47"/>
        <v>25</v>
      </c>
      <c r="WH39" s="23">
        <f t="shared" si="47"/>
        <v>25</v>
      </c>
      <c r="WI39" s="23">
        <f t="shared" si="47"/>
        <v>25</v>
      </c>
      <c r="WJ39" s="23">
        <f t="shared" si="47"/>
        <v>26</v>
      </c>
      <c r="WK39" s="23">
        <f t="shared" si="47"/>
        <v>25</v>
      </c>
      <c r="WL39" s="23">
        <f t="shared" si="47"/>
        <v>25</v>
      </c>
      <c r="WM39" s="23">
        <f t="shared" si="47"/>
        <v>26</v>
      </c>
      <c r="WN39" s="23">
        <f t="shared" si="47"/>
        <v>25</v>
      </c>
      <c r="WO39" s="23">
        <f t="shared" si="47"/>
        <v>25</v>
      </c>
      <c r="WP39" s="23">
        <f t="shared" si="47"/>
        <v>25</v>
      </c>
      <c r="WQ39" s="23">
        <f t="shared" si="47"/>
        <v>25</v>
      </c>
      <c r="WR39" s="23">
        <f t="shared" si="47"/>
        <v>25</v>
      </c>
      <c r="WS39" s="23">
        <f t="shared" si="47"/>
        <v>25</v>
      </c>
      <c r="WT39" s="23">
        <f t="shared" si="47"/>
        <v>25</v>
      </c>
      <c r="WU39" s="23">
        <f t="shared" si="47"/>
        <v>25</v>
      </c>
      <c r="WV39" s="23">
        <f t="shared" si="47"/>
        <v>25</v>
      </c>
      <c r="WW39" s="23">
        <f t="shared" si="47"/>
        <v>25</v>
      </c>
      <c r="WX39" s="23">
        <f t="shared" si="47"/>
        <v>25</v>
      </c>
      <c r="WY39" s="23">
        <f t="shared" si="47"/>
        <v>24</v>
      </c>
      <c r="WZ39" s="23">
        <f t="shared" si="47"/>
        <v>24</v>
      </c>
      <c r="XA39" s="23">
        <f t="shared" si="47"/>
        <v>24</v>
      </c>
      <c r="XB39" s="23">
        <f t="shared" si="47"/>
        <v>25</v>
      </c>
      <c r="XC39" s="23">
        <f t="shared" si="47"/>
        <v>25</v>
      </c>
      <c r="XD39" s="23">
        <f t="shared" si="47"/>
        <v>25</v>
      </c>
      <c r="XE39" s="23">
        <f t="shared" si="47"/>
        <v>25</v>
      </c>
      <c r="XF39" s="23">
        <f t="shared" si="47"/>
        <v>25</v>
      </c>
      <c r="XG39" s="23">
        <f t="shared" si="47"/>
        <v>25</v>
      </c>
      <c r="XH39" s="23">
        <f t="shared" si="47"/>
        <v>25</v>
      </c>
      <c r="XI39" s="23">
        <f t="shared" si="47"/>
        <v>25</v>
      </c>
      <c r="XJ39" s="23">
        <f t="shared" si="47"/>
        <v>25</v>
      </c>
      <c r="XK39" s="23">
        <f t="shared" si="47"/>
        <v>25</v>
      </c>
      <c r="XL39" s="23">
        <f t="shared" si="47"/>
        <v>25</v>
      </c>
      <c r="XM39" s="23">
        <f t="shared" si="47"/>
        <v>25</v>
      </c>
      <c r="XN39" s="23">
        <f t="shared" si="47"/>
        <v>25</v>
      </c>
      <c r="XO39" s="23">
        <f t="shared" si="47"/>
        <v>25</v>
      </c>
      <c r="XP39" s="23">
        <f t="shared" si="47"/>
        <v>26</v>
      </c>
      <c r="XQ39" s="23">
        <f t="shared" si="47"/>
        <v>26</v>
      </c>
      <c r="XR39" s="23">
        <f t="shared" si="47"/>
        <v>25</v>
      </c>
      <c r="XS39" s="23">
        <f t="shared" si="47"/>
        <v>25</v>
      </c>
      <c r="XT39" s="23">
        <f t="shared" si="47"/>
        <v>25</v>
      </c>
      <c r="XU39" s="23">
        <f t="shared" si="47"/>
        <v>24</v>
      </c>
      <c r="XV39" s="23">
        <f t="shared" si="47"/>
        <v>25</v>
      </c>
      <c r="XW39" s="23">
        <f t="shared" si="47"/>
        <v>25</v>
      </c>
      <c r="XX39" s="23">
        <f t="shared" si="47"/>
        <v>25</v>
      </c>
      <c r="XY39" s="23">
        <f t="shared" si="47"/>
        <v>24</v>
      </c>
      <c r="XZ39" s="23">
        <f t="shared" si="47"/>
        <v>24</v>
      </c>
      <c r="YA39" s="23">
        <f t="shared" si="47"/>
        <v>24</v>
      </c>
      <c r="YB39" s="23">
        <f t="shared" si="47"/>
        <v>24</v>
      </c>
      <c r="YC39" s="23">
        <f t="shared" si="47"/>
        <v>24</v>
      </c>
      <c r="YD39" s="23">
        <f t="shared" si="47"/>
        <v>24</v>
      </c>
      <c r="YE39" s="23">
        <f t="shared" si="47"/>
        <v>24</v>
      </c>
      <c r="YF39" s="23">
        <f t="shared" si="47"/>
        <v>24</v>
      </c>
      <c r="YG39" s="23">
        <f t="shared" ref="YG39:AAR39" si="48">$D$41-SUM(YG4:YG36)</f>
        <v>24</v>
      </c>
      <c r="YH39" s="23">
        <f t="shared" si="48"/>
        <v>24</v>
      </c>
      <c r="YI39" s="23">
        <f t="shared" si="48"/>
        <v>25</v>
      </c>
      <c r="YJ39" s="23">
        <f t="shared" si="48"/>
        <v>25</v>
      </c>
      <c r="YK39" s="23">
        <f t="shared" si="48"/>
        <v>25</v>
      </c>
      <c r="YL39" s="23">
        <f t="shared" si="48"/>
        <v>26</v>
      </c>
      <c r="YM39" s="23">
        <f t="shared" si="48"/>
        <v>26</v>
      </c>
      <c r="YN39" s="23">
        <f t="shared" si="48"/>
        <v>26</v>
      </c>
      <c r="YO39" s="23">
        <f t="shared" si="48"/>
        <v>25</v>
      </c>
      <c r="YP39" s="23">
        <f t="shared" si="48"/>
        <v>26</v>
      </c>
      <c r="YQ39" s="23">
        <f t="shared" si="48"/>
        <v>26</v>
      </c>
      <c r="YR39" s="23">
        <f t="shared" si="48"/>
        <v>25</v>
      </c>
      <c r="YS39" s="23">
        <f t="shared" si="48"/>
        <v>25</v>
      </c>
      <c r="YT39" s="23">
        <f t="shared" si="48"/>
        <v>25</v>
      </c>
      <c r="YU39" s="23">
        <f t="shared" si="48"/>
        <v>25</v>
      </c>
      <c r="YV39" s="23">
        <f t="shared" si="48"/>
        <v>25</v>
      </c>
      <c r="YW39" s="23">
        <f t="shared" si="48"/>
        <v>25</v>
      </c>
      <c r="YX39" s="23">
        <f t="shared" si="48"/>
        <v>25</v>
      </c>
      <c r="YY39" s="23">
        <f t="shared" si="48"/>
        <v>24</v>
      </c>
      <c r="YZ39" s="23">
        <f t="shared" si="48"/>
        <v>24</v>
      </c>
      <c r="ZA39" s="23">
        <f t="shared" si="48"/>
        <v>24</v>
      </c>
      <c r="ZB39" s="23">
        <f t="shared" si="48"/>
        <v>24</v>
      </c>
      <c r="ZC39" s="23">
        <f t="shared" si="48"/>
        <v>24</v>
      </c>
      <c r="ZD39" s="23">
        <f t="shared" si="48"/>
        <v>24</v>
      </c>
      <c r="ZE39" s="23">
        <f t="shared" si="48"/>
        <v>24</v>
      </c>
      <c r="ZF39" s="23">
        <f t="shared" si="48"/>
        <v>25</v>
      </c>
      <c r="ZG39" s="23">
        <f t="shared" si="48"/>
        <v>25</v>
      </c>
      <c r="ZH39" s="23">
        <f t="shared" si="48"/>
        <v>25</v>
      </c>
      <c r="ZI39" s="23">
        <f t="shared" si="48"/>
        <v>26</v>
      </c>
      <c r="ZJ39" s="23">
        <f t="shared" si="48"/>
        <v>26</v>
      </c>
      <c r="ZK39" s="23">
        <f t="shared" si="48"/>
        <v>26</v>
      </c>
      <c r="ZL39" s="23">
        <f t="shared" si="48"/>
        <v>26</v>
      </c>
      <c r="ZM39" s="23">
        <f t="shared" si="48"/>
        <v>26</v>
      </c>
      <c r="ZN39" s="23">
        <f t="shared" si="48"/>
        <v>26</v>
      </c>
      <c r="ZO39" s="23">
        <f t="shared" si="48"/>
        <v>26</v>
      </c>
      <c r="ZP39" s="23">
        <f t="shared" si="48"/>
        <v>27</v>
      </c>
      <c r="ZQ39" s="23">
        <f t="shared" si="48"/>
        <v>27</v>
      </c>
      <c r="ZR39" s="23">
        <f t="shared" si="48"/>
        <v>27</v>
      </c>
      <c r="ZS39" s="23">
        <f t="shared" si="48"/>
        <v>27</v>
      </c>
      <c r="ZT39" s="23">
        <f t="shared" si="48"/>
        <v>27</v>
      </c>
      <c r="ZU39" s="23">
        <f t="shared" si="48"/>
        <v>27</v>
      </c>
      <c r="ZV39" s="23">
        <f t="shared" si="48"/>
        <v>27</v>
      </c>
      <c r="ZW39" s="23">
        <f t="shared" si="48"/>
        <v>27</v>
      </c>
      <c r="ZX39" s="23">
        <f t="shared" si="48"/>
        <v>27</v>
      </c>
      <c r="ZY39" s="23">
        <f t="shared" si="48"/>
        <v>27</v>
      </c>
      <c r="ZZ39" s="23">
        <f t="shared" si="48"/>
        <v>27</v>
      </c>
      <c r="AAA39" s="23">
        <f t="shared" si="48"/>
        <v>27</v>
      </c>
      <c r="AAB39" s="23">
        <f t="shared" si="48"/>
        <v>26</v>
      </c>
      <c r="AAC39" s="23">
        <f t="shared" si="48"/>
        <v>26</v>
      </c>
      <c r="AAD39" s="23">
        <f t="shared" si="48"/>
        <v>26</v>
      </c>
      <c r="AAE39" s="23">
        <f t="shared" si="48"/>
        <v>26</v>
      </c>
      <c r="AAF39" s="23">
        <f t="shared" si="48"/>
        <v>26</v>
      </c>
      <c r="AAG39" s="23">
        <f t="shared" si="48"/>
        <v>26</v>
      </c>
      <c r="AAH39" s="23">
        <f t="shared" si="48"/>
        <v>26</v>
      </c>
      <c r="AAI39" s="23">
        <f t="shared" si="48"/>
        <v>26</v>
      </c>
      <c r="AAJ39" s="23">
        <f t="shared" si="48"/>
        <v>26</v>
      </c>
      <c r="AAK39" s="23">
        <f t="shared" si="48"/>
        <v>26</v>
      </c>
      <c r="AAL39" s="23">
        <f t="shared" si="48"/>
        <v>26</v>
      </c>
      <c r="AAM39" s="23">
        <f t="shared" si="48"/>
        <v>26</v>
      </c>
      <c r="AAN39" s="23">
        <f t="shared" si="48"/>
        <v>26</v>
      </c>
      <c r="AAO39" s="23">
        <f t="shared" si="48"/>
        <v>26</v>
      </c>
      <c r="AAP39" s="23">
        <f t="shared" si="48"/>
        <v>26</v>
      </c>
      <c r="AAQ39" s="23">
        <f t="shared" si="48"/>
        <v>26</v>
      </c>
      <c r="AAR39" s="23">
        <f t="shared" si="48"/>
        <v>26</v>
      </c>
      <c r="AAS39" s="23">
        <f t="shared" ref="AAS39:ABR39" si="49">$D$41-SUM(AAS4:AAS36)</f>
        <v>27</v>
      </c>
      <c r="AAT39" s="23">
        <f t="shared" si="49"/>
        <v>27</v>
      </c>
      <c r="AAU39" s="23">
        <f t="shared" si="49"/>
        <v>27</v>
      </c>
      <c r="AAV39" s="23">
        <f t="shared" si="49"/>
        <v>27</v>
      </c>
      <c r="AAW39" s="23">
        <f t="shared" si="49"/>
        <v>27</v>
      </c>
      <c r="AAX39" s="23">
        <f t="shared" si="49"/>
        <v>27</v>
      </c>
      <c r="AAY39" s="23">
        <f t="shared" si="49"/>
        <v>27</v>
      </c>
      <c r="AAZ39" s="23">
        <f t="shared" si="49"/>
        <v>27</v>
      </c>
      <c r="ABA39" s="23">
        <f t="shared" si="49"/>
        <v>27</v>
      </c>
      <c r="ABB39" s="23">
        <f t="shared" si="49"/>
        <v>27</v>
      </c>
      <c r="ABC39" s="23">
        <f t="shared" si="49"/>
        <v>27</v>
      </c>
      <c r="ABD39" s="23">
        <f t="shared" si="49"/>
        <v>27</v>
      </c>
      <c r="ABE39" s="23">
        <f t="shared" si="49"/>
        <v>27</v>
      </c>
      <c r="ABF39" s="23">
        <f t="shared" si="49"/>
        <v>27</v>
      </c>
      <c r="ABG39" s="23">
        <f t="shared" si="49"/>
        <v>27</v>
      </c>
      <c r="ABH39" s="23">
        <f t="shared" si="49"/>
        <v>27</v>
      </c>
      <c r="ABI39" s="23">
        <f t="shared" si="49"/>
        <v>27</v>
      </c>
      <c r="ABJ39" s="23">
        <f t="shared" si="49"/>
        <v>27</v>
      </c>
      <c r="ABK39" s="23">
        <f t="shared" si="49"/>
        <v>27</v>
      </c>
      <c r="ABL39" s="23">
        <f t="shared" si="49"/>
        <v>27</v>
      </c>
      <c r="ABM39" s="23">
        <f t="shared" si="49"/>
        <v>27</v>
      </c>
      <c r="ABN39" s="23">
        <f t="shared" si="49"/>
        <v>27</v>
      </c>
      <c r="ABO39" s="23">
        <f t="shared" si="49"/>
        <v>27</v>
      </c>
      <c r="ABP39" s="23">
        <f t="shared" si="49"/>
        <v>27</v>
      </c>
      <c r="ABQ39" s="23">
        <f t="shared" si="49"/>
        <v>27</v>
      </c>
      <c r="ABR39" s="23">
        <f t="shared" si="49"/>
        <v>27</v>
      </c>
    </row>
    <row r="40" spans="1:1822" customFormat="1" ht="36.75" customHeight="1" x14ac:dyDescent="0.3">
      <c r="A40" s="2"/>
      <c r="B40" s="2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114" t="s">
        <v>65</v>
      </c>
      <c r="P40" s="115"/>
      <c r="Q40" s="117">
        <v>1</v>
      </c>
      <c r="R40" s="117">
        <v>1</v>
      </c>
      <c r="S40" s="117">
        <v>1</v>
      </c>
      <c r="T40" s="117">
        <v>1</v>
      </c>
      <c r="U40" s="117">
        <v>1</v>
      </c>
      <c r="V40" s="117">
        <v>1</v>
      </c>
      <c r="W40" s="117">
        <v>1</v>
      </c>
      <c r="X40" s="117">
        <v>1</v>
      </c>
      <c r="Y40" s="117">
        <v>1</v>
      </c>
      <c r="Z40" s="117">
        <v>1</v>
      </c>
      <c r="AA40" s="117">
        <v>1</v>
      </c>
      <c r="AB40" s="117">
        <v>1</v>
      </c>
      <c r="AC40" s="117">
        <v>1</v>
      </c>
      <c r="AD40" s="117">
        <v>1</v>
      </c>
      <c r="AE40" s="117">
        <v>1</v>
      </c>
      <c r="AF40" s="117">
        <v>1</v>
      </c>
      <c r="AG40" s="117">
        <v>1</v>
      </c>
      <c r="AH40" s="117">
        <v>1</v>
      </c>
      <c r="AI40" s="117">
        <v>1</v>
      </c>
      <c r="AJ40" s="117">
        <v>1</v>
      </c>
      <c r="AK40" s="117">
        <v>1</v>
      </c>
      <c r="AL40" s="117">
        <v>1</v>
      </c>
      <c r="AM40" s="117">
        <v>1</v>
      </c>
      <c r="AN40" s="117">
        <v>1</v>
      </c>
      <c r="AO40" s="117">
        <v>1</v>
      </c>
      <c r="AP40" s="117">
        <v>1</v>
      </c>
      <c r="AQ40" s="117">
        <v>1</v>
      </c>
      <c r="AR40" s="117">
        <v>1</v>
      </c>
      <c r="AS40" s="117">
        <v>1</v>
      </c>
      <c r="AT40" s="117">
        <v>2</v>
      </c>
      <c r="AU40" s="117">
        <v>1</v>
      </c>
      <c r="AV40" s="117">
        <v>1</v>
      </c>
      <c r="AW40" s="117">
        <v>1</v>
      </c>
      <c r="AX40" s="118">
        <v>1.125</v>
      </c>
      <c r="AY40" s="117">
        <v>1</v>
      </c>
      <c r="AZ40" s="117">
        <v>1</v>
      </c>
      <c r="BA40" s="117">
        <v>1</v>
      </c>
      <c r="BB40" s="117">
        <v>1</v>
      </c>
      <c r="BC40" s="117">
        <v>1</v>
      </c>
      <c r="BD40" s="117">
        <v>1</v>
      </c>
      <c r="BE40" s="117">
        <v>1</v>
      </c>
      <c r="BF40" s="117">
        <v>1</v>
      </c>
      <c r="BG40" s="117">
        <v>1</v>
      </c>
      <c r="BH40" s="117">
        <v>1</v>
      </c>
      <c r="BI40" s="117">
        <v>1</v>
      </c>
      <c r="BJ40" s="117">
        <v>1</v>
      </c>
      <c r="BK40" s="117">
        <v>1</v>
      </c>
      <c r="BL40" s="117">
        <v>1</v>
      </c>
      <c r="BM40" s="117">
        <v>1</v>
      </c>
      <c r="BN40" s="117">
        <v>1</v>
      </c>
      <c r="BO40" s="117">
        <v>1</v>
      </c>
      <c r="BP40" s="117">
        <v>1</v>
      </c>
      <c r="BQ40" s="117">
        <v>1</v>
      </c>
      <c r="BR40" s="117">
        <v>1</v>
      </c>
      <c r="BS40" s="117">
        <v>1</v>
      </c>
      <c r="BT40" s="117">
        <v>1</v>
      </c>
      <c r="BU40" s="117">
        <v>1</v>
      </c>
      <c r="BV40" s="117">
        <v>1</v>
      </c>
      <c r="BW40" s="117">
        <v>1</v>
      </c>
      <c r="BX40" s="117">
        <v>1</v>
      </c>
      <c r="BY40" s="117">
        <v>1</v>
      </c>
      <c r="BZ40" s="117">
        <v>1</v>
      </c>
      <c r="CA40" s="117">
        <v>1</v>
      </c>
      <c r="CB40" s="117">
        <v>1</v>
      </c>
      <c r="CC40" s="117">
        <v>1</v>
      </c>
      <c r="CD40" s="117">
        <v>1</v>
      </c>
      <c r="CE40" s="117">
        <v>1</v>
      </c>
      <c r="CF40" s="117">
        <v>1</v>
      </c>
      <c r="CG40" s="117">
        <v>1</v>
      </c>
      <c r="CH40" s="117">
        <v>1</v>
      </c>
      <c r="CI40" s="117">
        <v>1</v>
      </c>
      <c r="CJ40" s="117">
        <v>1</v>
      </c>
      <c r="CK40" s="117">
        <v>1</v>
      </c>
      <c r="CL40" s="117">
        <v>1</v>
      </c>
      <c r="CM40" s="117">
        <v>1</v>
      </c>
      <c r="CN40" s="117">
        <v>1</v>
      </c>
      <c r="CO40" s="117">
        <v>1</v>
      </c>
      <c r="CP40" s="117">
        <v>1</v>
      </c>
      <c r="CQ40" s="117">
        <v>1</v>
      </c>
      <c r="CR40" s="117">
        <v>1</v>
      </c>
      <c r="CS40" s="117">
        <v>1</v>
      </c>
      <c r="CT40" s="117">
        <v>1</v>
      </c>
      <c r="CU40" s="117">
        <v>1</v>
      </c>
      <c r="CV40" s="117">
        <v>1</v>
      </c>
      <c r="CW40" s="117">
        <v>1</v>
      </c>
      <c r="CX40" s="117">
        <v>1</v>
      </c>
      <c r="CY40" s="117">
        <v>1</v>
      </c>
      <c r="CZ40" s="117">
        <v>1</v>
      </c>
      <c r="DA40" s="117">
        <v>1</v>
      </c>
      <c r="DB40" s="117">
        <v>1</v>
      </c>
      <c r="DC40" s="117">
        <v>1</v>
      </c>
      <c r="DD40" s="117">
        <v>1</v>
      </c>
      <c r="DE40" s="117">
        <v>1</v>
      </c>
      <c r="DF40" s="117">
        <v>1</v>
      </c>
      <c r="DG40" s="117">
        <v>1</v>
      </c>
      <c r="DH40" s="117">
        <v>1</v>
      </c>
      <c r="DI40" s="117">
        <v>1</v>
      </c>
      <c r="DJ40" s="117">
        <v>1</v>
      </c>
      <c r="DK40" s="117">
        <v>1</v>
      </c>
      <c r="DL40" s="117">
        <v>1</v>
      </c>
      <c r="DM40" s="117">
        <v>1</v>
      </c>
      <c r="DN40" s="117">
        <v>1</v>
      </c>
      <c r="DO40" s="117">
        <v>1</v>
      </c>
      <c r="DP40" s="117">
        <v>1</v>
      </c>
      <c r="DQ40" s="117">
        <v>1</v>
      </c>
      <c r="DR40" s="117">
        <v>1</v>
      </c>
      <c r="DS40" s="117">
        <v>1</v>
      </c>
      <c r="DT40" s="117">
        <v>1</v>
      </c>
      <c r="DU40" s="117">
        <v>1</v>
      </c>
      <c r="DV40" s="117">
        <v>1</v>
      </c>
      <c r="DW40" s="117">
        <v>1</v>
      </c>
      <c r="DX40" s="117">
        <v>1</v>
      </c>
      <c r="DY40" s="117">
        <v>1</v>
      </c>
      <c r="DZ40" s="117">
        <v>1</v>
      </c>
      <c r="EA40" s="117">
        <v>1</v>
      </c>
      <c r="EB40" s="117">
        <v>1</v>
      </c>
      <c r="EC40" s="117">
        <v>1</v>
      </c>
      <c r="ED40" s="117">
        <v>1</v>
      </c>
      <c r="EE40" s="117">
        <v>1</v>
      </c>
      <c r="EF40" s="117">
        <v>1</v>
      </c>
      <c r="EG40" s="117">
        <v>2</v>
      </c>
      <c r="EH40" s="117">
        <v>3</v>
      </c>
      <c r="EI40" s="117">
        <v>1</v>
      </c>
      <c r="EJ40" s="117">
        <v>1</v>
      </c>
      <c r="EK40" s="117">
        <v>1</v>
      </c>
      <c r="EL40" s="117">
        <v>1</v>
      </c>
      <c r="EM40" s="117">
        <v>1</v>
      </c>
      <c r="EN40" s="117">
        <v>1</v>
      </c>
      <c r="EO40" s="117">
        <v>1</v>
      </c>
      <c r="EP40" s="117">
        <v>1</v>
      </c>
      <c r="EQ40" s="117">
        <v>1</v>
      </c>
      <c r="ER40" s="117">
        <v>1</v>
      </c>
      <c r="ES40" s="117">
        <v>1</v>
      </c>
      <c r="ET40" s="117">
        <v>1</v>
      </c>
      <c r="EU40" s="117">
        <v>1</v>
      </c>
      <c r="EV40" s="117">
        <v>1</v>
      </c>
      <c r="EW40" s="117">
        <v>1</v>
      </c>
      <c r="EX40" s="117">
        <v>1</v>
      </c>
      <c r="EY40" s="117">
        <v>1</v>
      </c>
      <c r="EZ40" s="117">
        <v>1</v>
      </c>
      <c r="FA40" s="117">
        <v>1</v>
      </c>
      <c r="FB40" s="117">
        <v>1</v>
      </c>
      <c r="FC40" s="117">
        <v>1</v>
      </c>
      <c r="FD40" s="117">
        <v>1</v>
      </c>
      <c r="FE40" s="117">
        <v>1</v>
      </c>
      <c r="FF40" s="117">
        <v>1</v>
      </c>
      <c r="FG40" s="117">
        <v>1</v>
      </c>
      <c r="FH40" s="117">
        <v>1</v>
      </c>
      <c r="FI40" s="117">
        <v>1</v>
      </c>
      <c r="FJ40" s="117">
        <v>1</v>
      </c>
      <c r="FK40" s="117">
        <v>1</v>
      </c>
      <c r="FL40" s="117">
        <v>1</v>
      </c>
      <c r="FM40" s="117">
        <v>1</v>
      </c>
      <c r="FN40" s="117">
        <v>1</v>
      </c>
      <c r="FO40" s="117">
        <v>1</v>
      </c>
      <c r="FP40" s="117">
        <v>1</v>
      </c>
      <c r="FQ40" s="117">
        <v>1</v>
      </c>
      <c r="FR40" s="117">
        <v>1</v>
      </c>
      <c r="FS40" s="117">
        <v>1</v>
      </c>
      <c r="FT40" s="117">
        <v>1</v>
      </c>
      <c r="FU40" s="117">
        <v>1</v>
      </c>
      <c r="FV40" s="117">
        <v>1</v>
      </c>
      <c r="FW40" s="117">
        <v>1</v>
      </c>
      <c r="FX40" s="117">
        <v>1</v>
      </c>
      <c r="FY40" s="117">
        <v>1</v>
      </c>
      <c r="FZ40" s="117">
        <v>1</v>
      </c>
      <c r="GA40" s="117">
        <v>1</v>
      </c>
      <c r="GB40" s="117">
        <v>1</v>
      </c>
      <c r="GC40" s="117">
        <v>1</v>
      </c>
      <c r="GD40" s="117">
        <v>1</v>
      </c>
      <c r="GE40" s="117">
        <v>1</v>
      </c>
      <c r="GF40" s="117">
        <v>1</v>
      </c>
      <c r="GG40" s="117">
        <v>1</v>
      </c>
      <c r="GH40" s="117">
        <v>1</v>
      </c>
      <c r="GI40" s="117">
        <v>1</v>
      </c>
      <c r="GJ40" s="117">
        <v>1</v>
      </c>
      <c r="GK40" s="117">
        <v>1</v>
      </c>
      <c r="GL40" s="117">
        <v>1</v>
      </c>
      <c r="GM40" s="117">
        <v>1</v>
      </c>
      <c r="GN40" s="117">
        <v>1</v>
      </c>
      <c r="GO40" s="117">
        <v>1</v>
      </c>
      <c r="GP40" s="117">
        <v>1</v>
      </c>
      <c r="GQ40" s="117">
        <v>1</v>
      </c>
      <c r="GR40" s="117">
        <v>2</v>
      </c>
      <c r="GS40" s="117">
        <v>1</v>
      </c>
      <c r="GT40" s="117">
        <v>1</v>
      </c>
      <c r="GU40" s="117">
        <v>1</v>
      </c>
      <c r="GV40" s="117">
        <v>1</v>
      </c>
      <c r="GW40" s="117">
        <v>1</v>
      </c>
      <c r="GX40" s="117">
        <v>1</v>
      </c>
      <c r="GY40" s="117">
        <v>1</v>
      </c>
      <c r="GZ40" s="117">
        <v>1</v>
      </c>
      <c r="HA40" s="117">
        <v>1</v>
      </c>
      <c r="HB40" s="117">
        <v>1</v>
      </c>
      <c r="HC40" s="117">
        <v>1</v>
      </c>
      <c r="HD40" s="117">
        <v>1</v>
      </c>
      <c r="HE40" s="117">
        <v>1</v>
      </c>
      <c r="HF40" s="117">
        <v>1</v>
      </c>
      <c r="HG40" s="117">
        <v>1</v>
      </c>
      <c r="HH40" s="117">
        <v>1</v>
      </c>
      <c r="HI40" s="117">
        <v>1</v>
      </c>
      <c r="HJ40" s="117">
        <v>1</v>
      </c>
      <c r="HK40" s="117">
        <v>1</v>
      </c>
      <c r="HL40" s="117">
        <v>1</v>
      </c>
      <c r="HM40" s="117">
        <v>1</v>
      </c>
      <c r="HN40" s="117">
        <v>1</v>
      </c>
      <c r="HO40" s="117">
        <v>1</v>
      </c>
      <c r="HP40" s="117">
        <v>1</v>
      </c>
      <c r="HQ40" s="117">
        <v>1</v>
      </c>
      <c r="HR40" s="117">
        <v>1</v>
      </c>
      <c r="HS40" s="117">
        <v>1</v>
      </c>
      <c r="HT40" s="117">
        <v>1</v>
      </c>
      <c r="HU40" s="117">
        <v>1</v>
      </c>
      <c r="HV40" s="117">
        <v>1</v>
      </c>
      <c r="HW40" s="117">
        <v>1</v>
      </c>
      <c r="HX40" s="117">
        <v>1</v>
      </c>
      <c r="HY40" s="117">
        <v>1</v>
      </c>
      <c r="HZ40" s="117">
        <v>1</v>
      </c>
      <c r="IA40" s="117">
        <v>1</v>
      </c>
      <c r="IB40" s="117">
        <v>1</v>
      </c>
      <c r="IC40" s="117">
        <v>1</v>
      </c>
      <c r="ID40" s="117">
        <v>1</v>
      </c>
      <c r="IE40" s="117">
        <v>1</v>
      </c>
      <c r="IF40" s="117">
        <v>1</v>
      </c>
      <c r="IG40" s="117">
        <v>1</v>
      </c>
      <c r="IH40" s="117">
        <v>1</v>
      </c>
      <c r="II40" s="117">
        <v>1</v>
      </c>
      <c r="IJ40" s="117">
        <v>1</v>
      </c>
      <c r="IK40" s="117">
        <v>1</v>
      </c>
      <c r="IL40" s="117">
        <v>1</v>
      </c>
      <c r="IM40" s="117">
        <v>1</v>
      </c>
      <c r="IN40" s="117">
        <v>1</v>
      </c>
      <c r="IO40" s="117">
        <v>1</v>
      </c>
      <c r="IP40" s="117">
        <v>1</v>
      </c>
      <c r="IQ40" s="117">
        <v>1</v>
      </c>
      <c r="IR40" s="117">
        <v>1</v>
      </c>
      <c r="IS40" s="117">
        <v>1</v>
      </c>
      <c r="IT40" s="117">
        <v>1</v>
      </c>
      <c r="IU40" s="117">
        <v>1</v>
      </c>
      <c r="IV40" s="117">
        <v>1</v>
      </c>
      <c r="IW40" s="117">
        <v>1</v>
      </c>
      <c r="IX40" s="117">
        <v>1</v>
      </c>
      <c r="IY40" s="117">
        <v>2</v>
      </c>
      <c r="IZ40" s="117">
        <v>1</v>
      </c>
      <c r="JA40" s="117">
        <v>1</v>
      </c>
      <c r="JB40" s="117">
        <v>1</v>
      </c>
      <c r="JC40" s="117">
        <v>1</v>
      </c>
      <c r="JD40" s="117">
        <v>1</v>
      </c>
      <c r="JE40" s="117">
        <v>1</v>
      </c>
      <c r="JF40" s="117">
        <v>1</v>
      </c>
      <c r="JG40" s="117">
        <v>1</v>
      </c>
      <c r="JH40" s="117">
        <v>1</v>
      </c>
      <c r="JI40" s="117">
        <v>1</v>
      </c>
      <c r="JJ40" s="117">
        <v>1</v>
      </c>
      <c r="JK40" s="117">
        <v>1</v>
      </c>
      <c r="JL40" s="117">
        <v>1</v>
      </c>
      <c r="JM40" s="117">
        <v>1</v>
      </c>
      <c r="JN40" s="117">
        <v>1</v>
      </c>
      <c r="JO40" s="117">
        <v>1</v>
      </c>
      <c r="JP40" s="117">
        <v>1</v>
      </c>
      <c r="JQ40" s="117">
        <v>1</v>
      </c>
      <c r="JR40" s="117">
        <v>1</v>
      </c>
      <c r="JS40" s="117">
        <v>1</v>
      </c>
      <c r="JT40" s="117">
        <v>1</v>
      </c>
      <c r="JU40" s="117">
        <v>1</v>
      </c>
      <c r="JV40" s="117">
        <v>1</v>
      </c>
      <c r="JW40" s="117">
        <v>1</v>
      </c>
      <c r="JX40" s="117">
        <v>1</v>
      </c>
      <c r="JY40" s="117">
        <v>1</v>
      </c>
      <c r="JZ40" s="117">
        <v>1</v>
      </c>
      <c r="KA40" s="117">
        <v>1</v>
      </c>
      <c r="KB40" s="117">
        <v>1</v>
      </c>
      <c r="KC40" s="117">
        <v>1</v>
      </c>
      <c r="KD40" s="117">
        <v>1</v>
      </c>
      <c r="KE40" s="117">
        <v>1</v>
      </c>
      <c r="KF40" s="117">
        <v>1</v>
      </c>
      <c r="KG40" s="117">
        <v>1</v>
      </c>
      <c r="KH40" s="117">
        <v>1</v>
      </c>
      <c r="KI40" s="117">
        <v>1</v>
      </c>
      <c r="KJ40" s="117">
        <v>1</v>
      </c>
      <c r="KK40" s="117">
        <v>1</v>
      </c>
      <c r="KL40" s="117">
        <v>1</v>
      </c>
      <c r="KM40" s="117">
        <v>1</v>
      </c>
      <c r="KN40" s="117">
        <v>1</v>
      </c>
      <c r="KO40" s="117">
        <v>1</v>
      </c>
      <c r="KP40" s="117">
        <v>1</v>
      </c>
      <c r="KQ40" s="117">
        <v>1</v>
      </c>
      <c r="KR40" s="117">
        <v>1</v>
      </c>
      <c r="KS40" s="117">
        <v>1</v>
      </c>
      <c r="KT40" s="117">
        <v>1</v>
      </c>
      <c r="KU40" s="117">
        <v>1</v>
      </c>
      <c r="KV40" s="117">
        <v>1</v>
      </c>
      <c r="KW40" s="117">
        <v>1</v>
      </c>
      <c r="KX40" s="117">
        <v>1</v>
      </c>
      <c r="KY40" s="117">
        <v>1</v>
      </c>
      <c r="KZ40" s="117">
        <v>1</v>
      </c>
      <c r="LA40" s="117">
        <v>1</v>
      </c>
      <c r="LB40" s="117">
        <v>1</v>
      </c>
      <c r="LC40" s="117">
        <v>1</v>
      </c>
      <c r="LD40" s="117">
        <v>1</v>
      </c>
      <c r="LE40" s="117">
        <v>1</v>
      </c>
      <c r="LF40" s="117">
        <v>1</v>
      </c>
      <c r="LG40" s="117">
        <v>1</v>
      </c>
      <c r="LH40" s="117">
        <v>1</v>
      </c>
      <c r="LI40" s="117">
        <v>1</v>
      </c>
      <c r="LJ40" s="117">
        <v>1</v>
      </c>
      <c r="LK40" s="117">
        <v>1</v>
      </c>
      <c r="LL40" s="117">
        <v>1</v>
      </c>
      <c r="LM40" s="117">
        <v>1</v>
      </c>
      <c r="LN40" s="117">
        <v>1</v>
      </c>
      <c r="LO40" s="117">
        <v>1</v>
      </c>
      <c r="LP40" s="117">
        <v>1</v>
      </c>
      <c r="LQ40" s="117">
        <v>1</v>
      </c>
      <c r="LR40" s="117">
        <v>1</v>
      </c>
      <c r="LS40" s="117">
        <v>1</v>
      </c>
      <c r="LT40" s="117">
        <v>1</v>
      </c>
      <c r="LU40" s="117">
        <v>1</v>
      </c>
      <c r="LV40" s="117">
        <v>1</v>
      </c>
      <c r="LW40" s="117">
        <v>1</v>
      </c>
      <c r="LX40" s="117">
        <v>1</v>
      </c>
      <c r="LY40" s="117">
        <v>1</v>
      </c>
      <c r="LZ40" s="117">
        <v>1</v>
      </c>
      <c r="MA40" s="117">
        <v>1</v>
      </c>
      <c r="MB40" s="117">
        <v>1</v>
      </c>
      <c r="MC40" s="117">
        <v>1</v>
      </c>
      <c r="MD40" s="117">
        <v>1</v>
      </c>
      <c r="ME40" s="117">
        <v>1</v>
      </c>
      <c r="MF40" s="117">
        <v>1</v>
      </c>
      <c r="MG40" s="117">
        <v>1</v>
      </c>
      <c r="MH40" s="117">
        <v>1</v>
      </c>
      <c r="MI40" s="117">
        <v>1</v>
      </c>
      <c r="MJ40" s="117">
        <v>1</v>
      </c>
      <c r="MK40" s="117">
        <v>1</v>
      </c>
      <c r="ML40" s="117">
        <v>1</v>
      </c>
      <c r="MM40" s="117">
        <v>1</v>
      </c>
      <c r="MN40" s="117">
        <v>1</v>
      </c>
      <c r="MO40" s="117">
        <v>1</v>
      </c>
      <c r="MP40" s="117">
        <v>1</v>
      </c>
      <c r="MQ40" s="117">
        <v>1</v>
      </c>
      <c r="MR40" s="117">
        <v>1</v>
      </c>
      <c r="MS40" s="117">
        <v>1</v>
      </c>
      <c r="MT40" s="117">
        <v>1</v>
      </c>
      <c r="MU40" s="117">
        <v>1</v>
      </c>
      <c r="MV40" s="117">
        <v>1</v>
      </c>
      <c r="MW40" s="117">
        <v>1</v>
      </c>
      <c r="MX40" s="117">
        <v>1</v>
      </c>
      <c r="MY40" s="117">
        <v>1</v>
      </c>
      <c r="MZ40" s="117">
        <v>1</v>
      </c>
      <c r="NA40" s="117">
        <v>1</v>
      </c>
      <c r="NB40" s="117">
        <v>1</v>
      </c>
      <c r="NC40" s="117">
        <v>1</v>
      </c>
      <c r="ND40" s="117">
        <v>1</v>
      </c>
      <c r="NE40" s="117">
        <v>1</v>
      </c>
      <c r="NF40" s="117">
        <v>1</v>
      </c>
      <c r="NG40" s="117">
        <v>1</v>
      </c>
      <c r="NH40" s="117">
        <v>1</v>
      </c>
      <c r="NI40" s="117">
        <v>1</v>
      </c>
      <c r="NJ40" s="117">
        <v>1</v>
      </c>
      <c r="NK40" s="117">
        <v>1</v>
      </c>
      <c r="NL40" s="117">
        <v>1</v>
      </c>
      <c r="NM40" s="117">
        <v>1</v>
      </c>
      <c r="NN40" s="117">
        <v>1</v>
      </c>
      <c r="NO40" s="117">
        <v>1</v>
      </c>
      <c r="NP40" s="117">
        <v>1</v>
      </c>
      <c r="NQ40" s="117">
        <v>1</v>
      </c>
      <c r="NR40" s="117">
        <v>1</v>
      </c>
      <c r="NS40" s="117">
        <v>1</v>
      </c>
      <c r="NT40" s="117">
        <v>1</v>
      </c>
      <c r="NU40" s="117">
        <v>1</v>
      </c>
      <c r="NV40" s="117">
        <v>1</v>
      </c>
      <c r="NW40" s="117">
        <v>1</v>
      </c>
      <c r="NX40" s="117">
        <v>1</v>
      </c>
      <c r="NY40" s="117">
        <v>1</v>
      </c>
      <c r="NZ40" s="117">
        <v>1</v>
      </c>
      <c r="OA40" s="117">
        <v>1</v>
      </c>
      <c r="OB40" s="117">
        <v>1</v>
      </c>
      <c r="OC40" s="117">
        <v>1</v>
      </c>
      <c r="OD40" s="117">
        <v>1</v>
      </c>
      <c r="OE40" s="117">
        <v>1</v>
      </c>
      <c r="OF40" s="117">
        <v>1</v>
      </c>
      <c r="OG40" s="117">
        <v>1</v>
      </c>
      <c r="OH40" s="117">
        <v>1</v>
      </c>
      <c r="OI40" s="117">
        <v>1</v>
      </c>
      <c r="OJ40" s="117">
        <v>1</v>
      </c>
      <c r="OK40" s="117">
        <v>1</v>
      </c>
      <c r="OL40" s="117">
        <v>1</v>
      </c>
      <c r="OM40" s="117">
        <v>1</v>
      </c>
      <c r="ON40" s="117">
        <v>1</v>
      </c>
      <c r="OO40" s="117">
        <v>1</v>
      </c>
      <c r="OP40" s="117">
        <v>1</v>
      </c>
      <c r="OQ40" s="117">
        <v>1</v>
      </c>
      <c r="OR40" s="117">
        <v>1</v>
      </c>
      <c r="OS40" s="117">
        <v>1</v>
      </c>
      <c r="OT40" s="117">
        <v>1</v>
      </c>
      <c r="OU40" s="117">
        <v>1</v>
      </c>
      <c r="OV40" s="117">
        <v>2</v>
      </c>
      <c r="OW40" s="117">
        <v>1</v>
      </c>
      <c r="OX40" s="117">
        <v>1</v>
      </c>
      <c r="OY40" s="117">
        <v>1</v>
      </c>
      <c r="OZ40" s="117">
        <v>1</v>
      </c>
      <c r="PA40" s="117">
        <v>1</v>
      </c>
      <c r="PB40" s="117">
        <v>1</v>
      </c>
      <c r="PC40" s="117">
        <v>1</v>
      </c>
      <c r="PD40" s="117">
        <v>1</v>
      </c>
      <c r="PE40" s="117">
        <v>1</v>
      </c>
      <c r="PF40" s="117">
        <v>1</v>
      </c>
      <c r="PG40" s="117">
        <v>1</v>
      </c>
      <c r="PH40" s="117">
        <v>1</v>
      </c>
      <c r="PI40" s="117">
        <v>1</v>
      </c>
      <c r="PJ40" s="117">
        <v>1</v>
      </c>
      <c r="PK40" s="117">
        <v>1</v>
      </c>
      <c r="PL40" s="117">
        <v>1</v>
      </c>
      <c r="PM40" s="117">
        <v>1</v>
      </c>
      <c r="PN40" s="117">
        <v>1</v>
      </c>
      <c r="PO40" s="117">
        <v>1</v>
      </c>
      <c r="PP40" s="117">
        <v>1</v>
      </c>
      <c r="PQ40" s="117">
        <v>1</v>
      </c>
      <c r="PR40" s="117">
        <v>1</v>
      </c>
      <c r="PS40" s="117">
        <v>1</v>
      </c>
      <c r="PT40" s="117">
        <v>1</v>
      </c>
      <c r="PU40" s="117">
        <v>1</v>
      </c>
      <c r="PV40" s="117">
        <v>1</v>
      </c>
      <c r="PW40" s="117">
        <v>1</v>
      </c>
      <c r="PX40" s="117">
        <v>1</v>
      </c>
      <c r="PY40" s="117">
        <v>1</v>
      </c>
      <c r="PZ40" s="117">
        <v>1</v>
      </c>
      <c r="QA40" s="117">
        <v>1</v>
      </c>
      <c r="QB40" s="117">
        <v>1</v>
      </c>
      <c r="QC40" s="117">
        <v>1</v>
      </c>
      <c r="QD40" s="117">
        <v>1</v>
      </c>
      <c r="QE40" s="117">
        <v>1</v>
      </c>
      <c r="QF40" s="117">
        <v>1</v>
      </c>
      <c r="QG40" s="117">
        <v>1</v>
      </c>
      <c r="QH40" s="117">
        <v>1</v>
      </c>
      <c r="QI40" s="117">
        <v>1</v>
      </c>
      <c r="QJ40" s="117">
        <v>1</v>
      </c>
      <c r="QK40" s="117">
        <v>1</v>
      </c>
      <c r="QL40" s="117">
        <v>1</v>
      </c>
      <c r="QM40" s="117">
        <v>1</v>
      </c>
      <c r="QN40" s="117">
        <v>1</v>
      </c>
      <c r="QO40" s="117">
        <v>1</v>
      </c>
      <c r="QP40" s="117">
        <v>1</v>
      </c>
      <c r="QQ40" s="117">
        <v>1</v>
      </c>
      <c r="QR40" s="117">
        <v>1</v>
      </c>
      <c r="QS40" s="117">
        <v>1</v>
      </c>
      <c r="QT40" s="117">
        <v>1</v>
      </c>
      <c r="QU40" s="117">
        <v>1</v>
      </c>
      <c r="QV40" s="117">
        <v>1</v>
      </c>
      <c r="QW40" s="117">
        <v>1</v>
      </c>
      <c r="QX40" s="117">
        <v>1</v>
      </c>
      <c r="QY40" s="117">
        <v>1</v>
      </c>
      <c r="QZ40" s="117">
        <v>1</v>
      </c>
      <c r="RA40" s="117">
        <v>1</v>
      </c>
      <c r="RB40" s="117">
        <v>1</v>
      </c>
      <c r="RC40" s="117">
        <v>1</v>
      </c>
      <c r="RD40" s="117">
        <v>1</v>
      </c>
      <c r="RE40" s="117">
        <v>1</v>
      </c>
      <c r="RF40" s="117">
        <v>1</v>
      </c>
      <c r="RG40" s="117">
        <v>1</v>
      </c>
      <c r="RH40" s="117">
        <v>1</v>
      </c>
      <c r="RI40" s="117">
        <v>1</v>
      </c>
      <c r="RJ40" s="117">
        <v>1</v>
      </c>
      <c r="RK40" s="117">
        <v>1</v>
      </c>
      <c r="RL40" s="117">
        <v>1</v>
      </c>
      <c r="RM40" s="117">
        <v>1</v>
      </c>
      <c r="RN40" s="117">
        <v>1</v>
      </c>
      <c r="RO40" s="117">
        <v>1</v>
      </c>
      <c r="RP40" s="117">
        <v>1</v>
      </c>
      <c r="RQ40" s="117">
        <v>1</v>
      </c>
      <c r="RR40" s="117">
        <v>1</v>
      </c>
      <c r="RS40" s="117">
        <v>1</v>
      </c>
      <c r="RT40" s="117">
        <v>1</v>
      </c>
      <c r="RU40" s="117">
        <v>1</v>
      </c>
      <c r="RV40" s="117">
        <v>1</v>
      </c>
      <c r="RW40" s="117">
        <v>1</v>
      </c>
      <c r="RX40" s="117">
        <v>1</v>
      </c>
      <c r="RY40" s="117">
        <v>1</v>
      </c>
      <c r="RZ40" s="117">
        <v>1</v>
      </c>
      <c r="SA40" s="117">
        <v>1</v>
      </c>
      <c r="SB40" s="117">
        <v>1</v>
      </c>
      <c r="SC40" s="117">
        <v>1</v>
      </c>
      <c r="SD40" s="117">
        <v>1</v>
      </c>
      <c r="SE40" s="117">
        <v>1</v>
      </c>
      <c r="SF40" s="117">
        <v>1</v>
      </c>
      <c r="SG40" s="117">
        <v>1</v>
      </c>
      <c r="SH40" s="117">
        <v>1</v>
      </c>
      <c r="SI40" s="117">
        <v>1</v>
      </c>
      <c r="SJ40" s="117">
        <v>1</v>
      </c>
      <c r="SK40" s="117">
        <v>1</v>
      </c>
      <c r="SL40" s="117">
        <v>1</v>
      </c>
      <c r="SM40" s="117">
        <v>1</v>
      </c>
      <c r="SN40" s="117">
        <v>1</v>
      </c>
      <c r="SO40" s="117">
        <v>1</v>
      </c>
      <c r="SP40" s="117">
        <v>1</v>
      </c>
      <c r="SQ40" s="117">
        <v>1</v>
      </c>
      <c r="SR40" s="117">
        <v>1</v>
      </c>
      <c r="SS40" s="117">
        <v>1</v>
      </c>
      <c r="ST40" s="117">
        <v>1</v>
      </c>
      <c r="SU40" s="117">
        <v>1</v>
      </c>
      <c r="SV40" s="117">
        <v>1</v>
      </c>
      <c r="SW40" s="117">
        <v>1</v>
      </c>
      <c r="SX40" s="117">
        <v>1</v>
      </c>
      <c r="SY40" s="117">
        <v>1</v>
      </c>
      <c r="SZ40" s="117">
        <v>1</v>
      </c>
      <c r="TA40" s="117">
        <v>1</v>
      </c>
      <c r="TB40" s="117">
        <v>1</v>
      </c>
      <c r="TC40" s="117">
        <v>1</v>
      </c>
      <c r="TD40" s="117">
        <v>1</v>
      </c>
      <c r="TE40" s="117">
        <v>1</v>
      </c>
      <c r="TF40" s="117">
        <v>1</v>
      </c>
      <c r="TG40" s="117">
        <v>1</v>
      </c>
      <c r="TH40" s="117">
        <v>1</v>
      </c>
      <c r="TI40" s="117">
        <v>1</v>
      </c>
      <c r="TJ40" s="117">
        <v>1</v>
      </c>
      <c r="TK40" s="117">
        <v>1</v>
      </c>
      <c r="TL40" s="117">
        <v>1</v>
      </c>
      <c r="TM40" s="117">
        <v>1</v>
      </c>
      <c r="TN40" s="117">
        <v>1</v>
      </c>
      <c r="TO40" s="117">
        <v>1</v>
      </c>
      <c r="TP40" s="117">
        <v>1</v>
      </c>
      <c r="TQ40" s="117">
        <v>1</v>
      </c>
      <c r="TR40" s="117">
        <v>1</v>
      </c>
      <c r="TS40" s="117">
        <v>1</v>
      </c>
      <c r="TT40" s="117">
        <v>1</v>
      </c>
      <c r="TU40" s="117">
        <v>1</v>
      </c>
      <c r="TV40" s="117">
        <v>1</v>
      </c>
      <c r="TW40" s="117">
        <v>1</v>
      </c>
      <c r="TX40" s="117">
        <v>1</v>
      </c>
      <c r="TY40" s="117">
        <v>1</v>
      </c>
      <c r="TZ40" s="117">
        <v>1</v>
      </c>
      <c r="UA40" s="117">
        <v>1</v>
      </c>
      <c r="UB40" s="117">
        <v>1</v>
      </c>
      <c r="UC40" s="117">
        <v>1</v>
      </c>
      <c r="UD40" s="117">
        <v>1</v>
      </c>
      <c r="UE40" s="117">
        <v>1</v>
      </c>
      <c r="UF40" s="117">
        <v>1</v>
      </c>
      <c r="UG40" s="117">
        <v>1</v>
      </c>
      <c r="UH40" s="117">
        <v>1</v>
      </c>
      <c r="UI40" s="117">
        <v>1</v>
      </c>
      <c r="UJ40" s="117">
        <v>1</v>
      </c>
      <c r="UK40" s="117">
        <v>1</v>
      </c>
      <c r="UL40" s="117">
        <v>1</v>
      </c>
      <c r="UM40" s="117">
        <v>1</v>
      </c>
      <c r="UN40" s="117">
        <v>1</v>
      </c>
      <c r="UO40" s="117">
        <v>1</v>
      </c>
      <c r="UP40" s="117">
        <v>1</v>
      </c>
      <c r="UQ40" s="117">
        <v>1</v>
      </c>
      <c r="UR40" s="117">
        <v>1</v>
      </c>
      <c r="US40" s="117">
        <v>2</v>
      </c>
      <c r="UT40" s="117">
        <v>1</v>
      </c>
      <c r="UU40" s="117">
        <v>1</v>
      </c>
      <c r="UV40" s="117">
        <v>1</v>
      </c>
      <c r="UW40" s="117">
        <v>1</v>
      </c>
      <c r="UX40" s="117">
        <v>1</v>
      </c>
      <c r="UY40" s="117">
        <v>1</v>
      </c>
      <c r="UZ40" s="117">
        <v>1</v>
      </c>
      <c r="VA40" s="117">
        <v>1</v>
      </c>
      <c r="VB40" s="117">
        <v>1</v>
      </c>
      <c r="VC40" s="117">
        <v>1</v>
      </c>
      <c r="VD40" s="117">
        <v>1</v>
      </c>
      <c r="VE40" s="117">
        <v>1</v>
      </c>
      <c r="VF40" s="117">
        <v>1</v>
      </c>
      <c r="VG40" s="117">
        <v>1</v>
      </c>
      <c r="VH40" s="117">
        <v>1</v>
      </c>
      <c r="VI40" s="117">
        <v>1</v>
      </c>
      <c r="VJ40" s="117">
        <v>1</v>
      </c>
      <c r="VK40" s="117">
        <v>1</v>
      </c>
      <c r="VL40" s="117">
        <v>1</v>
      </c>
      <c r="VM40" s="117">
        <v>1</v>
      </c>
      <c r="VN40" s="117">
        <v>1</v>
      </c>
      <c r="VO40" s="117">
        <v>1</v>
      </c>
      <c r="VP40" s="117">
        <v>1</v>
      </c>
      <c r="VQ40" s="117">
        <v>1</v>
      </c>
      <c r="VR40" s="117">
        <v>1</v>
      </c>
      <c r="VS40" s="117">
        <v>1</v>
      </c>
      <c r="VT40" s="117">
        <v>1</v>
      </c>
      <c r="VU40" s="117">
        <v>2</v>
      </c>
      <c r="VV40" s="117">
        <v>1</v>
      </c>
      <c r="VW40" s="117">
        <v>1</v>
      </c>
      <c r="VX40" s="117">
        <v>1</v>
      </c>
      <c r="VY40" s="117">
        <v>1</v>
      </c>
      <c r="VZ40" s="117">
        <v>1</v>
      </c>
      <c r="WA40" s="117">
        <v>1</v>
      </c>
      <c r="WB40" s="117">
        <v>1</v>
      </c>
      <c r="WC40" s="117">
        <v>1</v>
      </c>
      <c r="WD40" s="117">
        <v>1</v>
      </c>
      <c r="WE40" s="117">
        <v>1</v>
      </c>
      <c r="WF40" s="117">
        <v>1</v>
      </c>
      <c r="WG40" s="117">
        <v>1</v>
      </c>
      <c r="WH40" s="117">
        <v>1</v>
      </c>
      <c r="WI40" s="117">
        <v>1</v>
      </c>
      <c r="WJ40" s="117">
        <v>1</v>
      </c>
      <c r="WK40" s="117">
        <v>1</v>
      </c>
      <c r="WL40" s="117">
        <v>1</v>
      </c>
      <c r="WM40" s="117">
        <v>1</v>
      </c>
      <c r="WN40" s="117">
        <v>1</v>
      </c>
      <c r="WO40" s="117">
        <v>1</v>
      </c>
      <c r="WP40" s="117">
        <v>1</v>
      </c>
      <c r="WQ40" s="117">
        <v>1</v>
      </c>
      <c r="WR40" s="117">
        <v>1</v>
      </c>
      <c r="WS40" s="117">
        <v>1</v>
      </c>
      <c r="WT40" s="117">
        <v>1</v>
      </c>
      <c r="WU40" s="117">
        <v>1</v>
      </c>
      <c r="WV40" s="117">
        <v>1</v>
      </c>
      <c r="WW40" s="117">
        <v>1</v>
      </c>
      <c r="WX40" s="117">
        <v>1</v>
      </c>
      <c r="WY40" s="117">
        <v>1</v>
      </c>
      <c r="WZ40" s="117">
        <v>2</v>
      </c>
      <c r="XA40" s="117">
        <v>1</v>
      </c>
      <c r="XB40" s="117">
        <v>1</v>
      </c>
      <c r="XC40" s="117">
        <v>1</v>
      </c>
      <c r="XD40" s="117">
        <v>1</v>
      </c>
      <c r="XE40" s="117">
        <v>1</v>
      </c>
      <c r="XF40" s="117">
        <v>1</v>
      </c>
      <c r="XG40" s="117">
        <v>1</v>
      </c>
      <c r="XH40" s="117">
        <v>1</v>
      </c>
      <c r="XI40" s="117">
        <v>1</v>
      </c>
      <c r="XJ40" s="117">
        <v>1</v>
      </c>
      <c r="XK40" s="117">
        <v>1</v>
      </c>
      <c r="XL40" s="117">
        <v>1</v>
      </c>
      <c r="XM40" s="117">
        <v>1</v>
      </c>
      <c r="XN40" s="117">
        <v>1</v>
      </c>
      <c r="XO40" s="117">
        <v>1</v>
      </c>
      <c r="XP40" s="117">
        <v>1</v>
      </c>
      <c r="XQ40" s="117">
        <v>1</v>
      </c>
      <c r="XR40" s="117">
        <v>1</v>
      </c>
      <c r="XS40" s="117">
        <v>1</v>
      </c>
      <c r="XT40" s="117">
        <v>1</v>
      </c>
      <c r="XU40" s="117">
        <v>1</v>
      </c>
      <c r="XV40" s="117">
        <v>1</v>
      </c>
      <c r="XW40" s="117">
        <v>1</v>
      </c>
      <c r="XX40" s="117">
        <v>1</v>
      </c>
      <c r="XY40" s="117">
        <v>1</v>
      </c>
      <c r="XZ40" s="117">
        <v>1</v>
      </c>
      <c r="YA40" s="117">
        <v>1</v>
      </c>
      <c r="YB40" s="117">
        <v>1</v>
      </c>
      <c r="YC40" s="117">
        <v>1</v>
      </c>
      <c r="YD40" s="117">
        <v>1</v>
      </c>
      <c r="YE40" s="117">
        <v>1</v>
      </c>
      <c r="YF40" s="117">
        <v>1</v>
      </c>
      <c r="YG40" s="117">
        <v>1</v>
      </c>
      <c r="YH40" s="117">
        <v>1</v>
      </c>
      <c r="YI40" s="117">
        <v>1</v>
      </c>
      <c r="YJ40" s="117">
        <v>1</v>
      </c>
      <c r="YK40" s="117">
        <v>1</v>
      </c>
      <c r="YL40" s="117">
        <v>1</v>
      </c>
      <c r="YM40" s="117">
        <v>1</v>
      </c>
      <c r="YN40" s="117">
        <v>1</v>
      </c>
      <c r="YO40" s="117">
        <v>1</v>
      </c>
      <c r="YP40" s="117">
        <v>1</v>
      </c>
      <c r="YQ40" s="117">
        <v>1</v>
      </c>
      <c r="YR40" s="117">
        <v>1</v>
      </c>
      <c r="YS40" s="117">
        <v>1</v>
      </c>
      <c r="YT40" s="117">
        <v>1</v>
      </c>
      <c r="YU40" s="117">
        <v>1</v>
      </c>
      <c r="YV40" s="117">
        <v>1</v>
      </c>
      <c r="YW40" s="117">
        <v>1</v>
      </c>
      <c r="YX40" s="117">
        <v>1</v>
      </c>
      <c r="YY40" s="117">
        <v>1</v>
      </c>
      <c r="YZ40" s="117">
        <v>1</v>
      </c>
      <c r="ZA40" s="117">
        <v>1</v>
      </c>
      <c r="ZB40" s="117">
        <v>1</v>
      </c>
      <c r="ZC40" s="117">
        <v>1</v>
      </c>
      <c r="ZD40" s="117">
        <v>1</v>
      </c>
      <c r="ZE40" s="117">
        <v>1</v>
      </c>
      <c r="ZF40" s="117">
        <v>1</v>
      </c>
      <c r="ZG40" s="117">
        <v>1</v>
      </c>
      <c r="ZH40" s="117">
        <v>1</v>
      </c>
      <c r="ZI40" s="117">
        <v>1</v>
      </c>
      <c r="ZJ40" s="117">
        <v>1</v>
      </c>
      <c r="ZK40" s="117">
        <v>1</v>
      </c>
      <c r="ZL40" s="117">
        <v>1</v>
      </c>
      <c r="ZM40" s="117">
        <v>1</v>
      </c>
      <c r="ZN40" s="117">
        <v>1</v>
      </c>
      <c r="ZO40" s="117">
        <v>1</v>
      </c>
      <c r="ZP40" s="117">
        <v>1</v>
      </c>
      <c r="ZQ40" s="117">
        <v>1</v>
      </c>
      <c r="ZR40" s="117">
        <v>1</v>
      </c>
      <c r="ZS40" s="117">
        <v>1</v>
      </c>
      <c r="ZT40" s="117">
        <v>1</v>
      </c>
      <c r="ZU40" s="117">
        <v>1</v>
      </c>
      <c r="ZV40" s="117">
        <v>1</v>
      </c>
      <c r="ZW40" s="117">
        <v>1</v>
      </c>
      <c r="ZX40" s="117">
        <v>1</v>
      </c>
      <c r="ZY40" s="117">
        <v>1</v>
      </c>
      <c r="ZZ40" s="117">
        <v>1</v>
      </c>
      <c r="AAA40" s="117">
        <v>1</v>
      </c>
      <c r="AAB40" s="117">
        <v>1</v>
      </c>
      <c r="AAC40" s="117">
        <v>1</v>
      </c>
      <c r="AAD40" s="117">
        <v>1</v>
      </c>
      <c r="AAE40" s="117">
        <v>1</v>
      </c>
      <c r="AAF40" s="117">
        <v>1</v>
      </c>
      <c r="AAG40" s="117">
        <v>1</v>
      </c>
      <c r="AAH40" s="117">
        <v>1</v>
      </c>
      <c r="AAI40" s="117">
        <v>1</v>
      </c>
      <c r="AAJ40" s="117">
        <v>1</v>
      </c>
      <c r="AAK40" s="117">
        <v>1</v>
      </c>
      <c r="AAL40" s="117">
        <v>1</v>
      </c>
      <c r="AAM40" s="117">
        <v>1</v>
      </c>
      <c r="AAN40" s="117">
        <v>1</v>
      </c>
      <c r="AAO40" s="117">
        <v>1</v>
      </c>
      <c r="AAP40" s="117">
        <v>1</v>
      </c>
      <c r="AAQ40" s="117">
        <v>1</v>
      </c>
      <c r="AAR40" s="117">
        <v>1</v>
      </c>
      <c r="AAS40" s="117">
        <v>1</v>
      </c>
      <c r="AAT40" s="117">
        <v>1</v>
      </c>
      <c r="AAU40" s="117">
        <v>1</v>
      </c>
      <c r="AAV40" s="117">
        <v>1</v>
      </c>
      <c r="AAW40" s="117">
        <v>1</v>
      </c>
      <c r="AAX40" s="117">
        <v>1</v>
      </c>
      <c r="AAY40" s="117">
        <v>1</v>
      </c>
      <c r="AAZ40" s="117">
        <v>1</v>
      </c>
      <c r="ABA40" s="117">
        <v>1</v>
      </c>
      <c r="ABB40" s="117">
        <v>1</v>
      </c>
      <c r="ABC40" s="117">
        <v>1</v>
      </c>
      <c r="ABD40" s="117">
        <v>1</v>
      </c>
      <c r="ABE40" s="117">
        <v>1</v>
      </c>
      <c r="ABF40" s="117">
        <v>1</v>
      </c>
      <c r="ABG40" s="117">
        <v>1</v>
      </c>
      <c r="ABH40" s="117">
        <v>1</v>
      </c>
      <c r="ABI40" s="117">
        <v>1</v>
      </c>
      <c r="ABJ40" s="117">
        <v>1</v>
      </c>
      <c r="ABK40" s="117">
        <v>1</v>
      </c>
      <c r="ABL40" s="117">
        <v>1</v>
      </c>
      <c r="ABM40" s="117">
        <v>1</v>
      </c>
      <c r="ABN40" s="117">
        <v>1</v>
      </c>
      <c r="ABO40" s="117">
        <v>1</v>
      </c>
      <c r="ABP40" s="117">
        <v>1</v>
      </c>
      <c r="ABQ40" s="117">
        <v>1</v>
      </c>
      <c r="ABR40" s="117">
        <v>1</v>
      </c>
    </row>
    <row r="41" spans="1:1822" customFormat="1" ht="39" customHeight="1" x14ac:dyDescent="0.3">
      <c r="A41" s="2"/>
      <c r="B41" s="2"/>
      <c r="C41" s="38" t="s">
        <v>66</v>
      </c>
      <c r="D41" s="2">
        <f>COUNT(A4:A32)</f>
        <v>27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119" t="s">
        <v>67</v>
      </c>
      <c r="P41" s="120"/>
      <c r="Q41" s="121">
        <f t="shared" ref="Q41:CB41" si="50">Q39/Q38</f>
        <v>2564.1666666666665</v>
      </c>
      <c r="R41" s="121">
        <f t="shared" si="50"/>
        <v>1.5</v>
      </c>
      <c r="S41" s="121">
        <f t="shared" si="50"/>
        <v>1.5</v>
      </c>
      <c r="T41" s="121">
        <f t="shared" si="50"/>
        <v>1.5</v>
      </c>
      <c r="U41" s="121">
        <f t="shared" si="50"/>
        <v>1.5</v>
      </c>
      <c r="V41" s="121">
        <f t="shared" si="50"/>
        <v>1.5</v>
      </c>
      <c r="W41" s="121">
        <f t="shared" si="50"/>
        <v>1.5</v>
      </c>
      <c r="X41" s="121">
        <f t="shared" si="50"/>
        <v>1.4444444444444444</v>
      </c>
      <c r="Y41" s="121">
        <f t="shared" si="50"/>
        <v>1.4444444444444444</v>
      </c>
      <c r="Z41" s="121">
        <f t="shared" si="50"/>
        <v>1.4444444444444444</v>
      </c>
      <c r="AA41" s="121">
        <f t="shared" si="50"/>
        <v>1.4444444444444444</v>
      </c>
      <c r="AB41" s="121">
        <f t="shared" si="50"/>
        <v>1.4444444444444444</v>
      </c>
      <c r="AC41" s="121">
        <f t="shared" si="50"/>
        <v>1.4444444444444444</v>
      </c>
      <c r="AD41" s="121">
        <f t="shared" si="50"/>
        <v>1.3888888888888888</v>
      </c>
      <c r="AE41" s="121">
        <f t="shared" si="50"/>
        <v>1.3888888888888888</v>
      </c>
      <c r="AF41" s="121">
        <f t="shared" si="50"/>
        <v>1.3888888888888888</v>
      </c>
      <c r="AG41" s="121">
        <f t="shared" si="50"/>
        <v>1.3888888888888888</v>
      </c>
      <c r="AH41" s="121">
        <f t="shared" si="50"/>
        <v>1.3888888888888888</v>
      </c>
      <c r="AI41" s="121">
        <f t="shared" si="50"/>
        <v>1.3888888888888888</v>
      </c>
      <c r="AJ41" s="121">
        <f t="shared" si="50"/>
        <v>1.3888888888888888</v>
      </c>
      <c r="AK41" s="121">
        <f t="shared" si="50"/>
        <v>1.3888888888888888</v>
      </c>
      <c r="AL41" s="121">
        <f t="shared" si="50"/>
        <v>1.3888888888888888</v>
      </c>
      <c r="AM41" s="121">
        <f t="shared" si="50"/>
        <v>1.3888888888888888</v>
      </c>
      <c r="AN41" s="121">
        <f t="shared" si="50"/>
        <v>1.3888888888888888</v>
      </c>
      <c r="AO41" s="121">
        <f t="shared" si="50"/>
        <v>1.4444444444444444</v>
      </c>
      <c r="AP41" s="121">
        <f t="shared" si="50"/>
        <v>1.3888888888888888</v>
      </c>
      <c r="AQ41" s="121">
        <f t="shared" si="50"/>
        <v>1.3888888888888888</v>
      </c>
      <c r="AR41" s="121">
        <f t="shared" si="50"/>
        <v>1.3888888888888888</v>
      </c>
      <c r="AS41" s="121">
        <f t="shared" si="50"/>
        <v>1.3888888888888888</v>
      </c>
      <c r="AT41" s="121">
        <f t="shared" si="50"/>
        <v>1.3888888888888888</v>
      </c>
      <c r="AU41" s="121">
        <f t="shared" si="50"/>
        <v>1.4444444444444444</v>
      </c>
      <c r="AV41" s="121">
        <f t="shared" si="50"/>
        <v>1.4444444444444444</v>
      </c>
      <c r="AW41" s="121">
        <f t="shared" si="50"/>
        <v>1.4444444444444444</v>
      </c>
      <c r="AX41" s="121">
        <f t="shared" si="50"/>
        <v>1.4444444444444444</v>
      </c>
      <c r="AY41" s="121">
        <f t="shared" si="50"/>
        <v>1.4444444444444444</v>
      </c>
      <c r="AZ41" s="121">
        <f t="shared" si="50"/>
        <v>1.4444444444444444</v>
      </c>
      <c r="BA41" s="121">
        <f t="shared" si="50"/>
        <v>1.4444444444444444</v>
      </c>
      <c r="BB41" s="121">
        <f t="shared" si="50"/>
        <v>1.4444444444444444</v>
      </c>
      <c r="BC41" s="121">
        <f t="shared" si="50"/>
        <v>1.4444444444444444</v>
      </c>
      <c r="BD41" s="121">
        <f t="shared" si="50"/>
        <v>1.4444444444444444</v>
      </c>
      <c r="BE41" s="121">
        <f t="shared" si="50"/>
        <v>1.4444444444444444</v>
      </c>
      <c r="BF41" s="121">
        <f t="shared" si="50"/>
        <v>1.4444444444444444</v>
      </c>
      <c r="BG41" s="121">
        <f t="shared" si="50"/>
        <v>1.5</v>
      </c>
      <c r="BH41" s="121">
        <f t="shared" si="50"/>
        <v>1.5</v>
      </c>
      <c r="BI41" s="121">
        <f t="shared" si="50"/>
        <v>1.5</v>
      </c>
      <c r="BJ41" s="121">
        <f t="shared" si="50"/>
        <v>1.5</v>
      </c>
      <c r="BK41" s="121">
        <f t="shared" si="50"/>
        <v>1.5</v>
      </c>
      <c r="BL41" s="121">
        <f t="shared" si="50"/>
        <v>1.5</v>
      </c>
      <c r="BM41" s="121">
        <f t="shared" si="50"/>
        <v>1.5</v>
      </c>
      <c r="BN41" s="121">
        <f t="shared" si="50"/>
        <v>1.5</v>
      </c>
      <c r="BO41" s="121">
        <f t="shared" si="50"/>
        <v>1.5</v>
      </c>
      <c r="BP41" s="121">
        <f t="shared" si="50"/>
        <v>1.4444444444444444</v>
      </c>
      <c r="BQ41" s="121">
        <f t="shared" si="50"/>
        <v>1.4444444444444444</v>
      </c>
      <c r="BR41" s="121">
        <f t="shared" si="50"/>
        <v>1.4444444444444444</v>
      </c>
      <c r="BS41" s="121">
        <f t="shared" si="50"/>
        <v>1.4444444444444444</v>
      </c>
      <c r="BT41" s="121">
        <f t="shared" si="50"/>
        <v>1.4444444444444444</v>
      </c>
      <c r="BU41" s="121">
        <f t="shared" si="50"/>
        <v>1.4444444444444444</v>
      </c>
      <c r="BV41" s="121">
        <f t="shared" si="50"/>
        <v>1.4444444444444444</v>
      </c>
      <c r="BW41" s="121">
        <f t="shared" si="50"/>
        <v>1.4444444444444444</v>
      </c>
      <c r="BX41" s="121">
        <f t="shared" si="50"/>
        <v>1.4444444444444444</v>
      </c>
      <c r="BY41" s="121">
        <f t="shared" si="50"/>
        <v>1.4444444444444444</v>
      </c>
      <c r="BZ41" s="121">
        <f t="shared" si="50"/>
        <v>1.4444444444444444</v>
      </c>
      <c r="CA41" s="121">
        <f t="shared" si="50"/>
        <v>1.4444444444444444</v>
      </c>
      <c r="CB41" s="121">
        <f t="shared" si="50"/>
        <v>1.4444444444444444</v>
      </c>
      <c r="CC41" s="121">
        <f t="shared" ref="CC41:EN41" si="51">CC39/CC38</f>
        <v>1.3888888888888888</v>
      </c>
      <c r="CD41" s="121">
        <f t="shared" si="51"/>
        <v>1.3888888888888888</v>
      </c>
      <c r="CE41" s="121">
        <f t="shared" si="51"/>
        <v>1.3888888888888888</v>
      </c>
      <c r="CF41" s="121">
        <f t="shared" si="51"/>
        <v>1.3888888888888888</v>
      </c>
      <c r="CG41" s="121">
        <f t="shared" si="51"/>
        <v>1.4444444444444444</v>
      </c>
      <c r="CH41" s="121">
        <f t="shared" si="51"/>
        <v>1.3888888888888888</v>
      </c>
      <c r="CI41" s="121">
        <f t="shared" si="51"/>
        <v>1.3888888888888888</v>
      </c>
      <c r="CJ41" s="121">
        <f t="shared" si="51"/>
        <v>1.3888888888888888</v>
      </c>
      <c r="CK41" s="121">
        <f t="shared" si="51"/>
        <v>1.3888888888888888</v>
      </c>
      <c r="CL41" s="121">
        <f t="shared" si="51"/>
        <v>1.3888888888888888</v>
      </c>
      <c r="CM41" s="121">
        <f t="shared" si="51"/>
        <v>1.3888888888888888</v>
      </c>
      <c r="CN41" s="121">
        <f t="shared" si="51"/>
        <v>1.3888888888888888</v>
      </c>
      <c r="CO41" s="121">
        <f t="shared" si="51"/>
        <v>1.3888888888888888</v>
      </c>
      <c r="CP41" s="121">
        <f t="shared" si="51"/>
        <v>1.3888888888888888</v>
      </c>
      <c r="CQ41" s="121">
        <f t="shared" si="51"/>
        <v>1.3888888888888888</v>
      </c>
      <c r="CR41" s="121">
        <f t="shared" si="51"/>
        <v>1.3888888888888888</v>
      </c>
      <c r="CS41" s="121">
        <f t="shared" si="51"/>
        <v>1.3888888888888888</v>
      </c>
      <c r="CT41" s="121">
        <f t="shared" si="51"/>
        <v>1.4444444444444444</v>
      </c>
      <c r="CU41" s="121">
        <f t="shared" si="51"/>
        <v>1.4444444444444444</v>
      </c>
      <c r="CV41" s="121">
        <f t="shared" si="51"/>
        <v>1.4444444444444444</v>
      </c>
      <c r="CW41" s="121">
        <f t="shared" si="51"/>
        <v>1.4444444444444444</v>
      </c>
      <c r="CX41" s="121">
        <f t="shared" si="51"/>
        <v>1.4444444444444444</v>
      </c>
      <c r="CY41" s="121">
        <f t="shared" si="51"/>
        <v>1.5</v>
      </c>
      <c r="CZ41" s="121">
        <f t="shared" si="51"/>
        <v>1.5</v>
      </c>
      <c r="DA41" s="121">
        <f t="shared" si="51"/>
        <v>1.5</v>
      </c>
      <c r="DB41" s="121">
        <f t="shared" si="51"/>
        <v>1.4444444444444444</v>
      </c>
      <c r="DC41" s="121">
        <f t="shared" si="51"/>
        <v>1.4444444444444444</v>
      </c>
      <c r="DD41" s="121">
        <f t="shared" si="51"/>
        <v>1.4444444444444444</v>
      </c>
      <c r="DE41" s="121">
        <f t="shared" si="51"/>
        <v>1.4444444444444444</v>
      </c>
      <c r="DF41" s="121">
        <f t="shared" si="51"/>
        <v>1.4444444444444444</v>
      </c>
      <c r="DG41" s="121">
        <f t="shared" si="51"/>
        <v>1.4444444444444444</v>
      </c>
      <c r="DH41" s="121">
        <f t="shared" si="51"/>
        <v>1.4444444444444444</v>
      </c>
      <c r="DI41" s="121">
        <f t="shared" si="51"/>
        <v>1.4444444444444444</v>
      </c>
      <c r="DJ41" s="121">
        <f t="shared" si="51"/>
        <v>1.3888888888888888</v>
      </c>
      <c r="DK41" s="121">
        <f t="shared" si="51"/>
        <v>1.3888888888888888</v>
      </c>
      <c r="DL41" s="121">
        <f t="shared" si="51"/>
        <v>1.3888888888888888</v>
      </c>
      <c r="DM41" s="121">
        <f t="shared" si="51"/>
        <v>1.3333333333333333</v>
      </c>
      <c r="DN41" s="121">
        <f t="shared" si="51"/>
        <v>1.3333333333333333</v>
      </c>
      <c r="DO41" s="121">
        <f t="shared" si="51"/>
        <v>1.3333333333333333</v>
      </c>
      <c r="DP41" s="121">
        <f t="shared" si="51"/>
        <v>1.3333333333333333</v>
      </c>
      <c r="DQ41" s="121">
        <f t="shared" si="51"/>
        <v>1.3333333333333333</v>
      </c>
      <c r="DR41" s="121">
        <f t="shared" si="51"/>
        <v>1.2777777777777777</v>
      </c>
      <c r="DS41" s="121">
        <f t="shared" si="51"/>
        <v>1.3333333333333333</v>
      </c>
      <c r="DT41" s="121">
        <f t="shared" si="51"/>
        <v>1.3333333333333333</v>
      </c>
      <c r="DU41" s="121">
        <f t="shared" si="51"/>
        <v>1.3333333333333333</v>
      </c>
      <c r="DV41" s="121">
        <f t="shared" si="51"/>
        <v>1.3333333333333333</v>
      </c>
      <c r="DW41" s="121">
        <f t="shared" si="51"/>
        <v>1.3333333333333333</v>
      </c>
      <c r="DX41" s="121">
        <f t="shared" si="51"/>
        <v>1.3333333333333333</v>
      </c>
      <c r="DY41" s="121">
        <f t="shared" si="51"/>
        <v>1.3333333333333333</v>
      </c>
      <c r="DZ41" s="121">
        <f t="shared" si="51"/>
        <v>1.3333333333333333</v>
      </c>
      <c r="EA41" s="121">
        <f t="shared" si="51"/>
        <v>1.3888888888888888</v>
      </c>
      <c r="EB41" s="121">
        <f t="shared" si="51"/>
        <v>1.3888888888888888</v>
      </c>
      <c r="EC41" s="121">
        <f t="shared" si="51"/>
        <v>1.3888888888888888</v>
      </c>
      <c r="ED41" s="121">
        <f t="shared" si="51"/>
        <v>1.3888888888888888</v>
      </c>
      <c r="EE41" s="121">
        <f t="shared" si="51"/>
        <v>1.3888888888888888</v>
      </c>
      <c r="EF41" s="121">
        <f t="shared" si="51"/>
        <v>1.3888888888888888</v>
      </c>
      <c r="EG41" s="121">
        <f t="shared" si="51"/>
        <v>1.3888888888888888</v>
      </c>
      <c r="EH41" s="121">
        <f t="shared" si="51"/>
        <v>1.3888888888888888</v>
      </c>
      <c r="EI41" s="121">
        <f t="shared" si="51"/>
        <v>1.4444444444444444</v>
      </c>
      <c r="EJ41" s="121">
        <f t="shared" si="51"/>
        <v>1.4444444444444444</v>
      </c>
      <c r="EK41" s="121">
        <f t="shared" si="51"/>
        <v>1.4444444444444444</v>
      </c>
      <c r="EL41" s="121">
        <f t="shared" si="51"/>
        <v>1.4444444444444444</v>
      </c>
      <c r="EM41" s="121">
        <f t="shared" si="51"/>
        <v>1.4444444444444444</v>
      </c>
      <c r="EN41" s="121">
        <f t="shared" si="51"/>
        <v>1.4444444444444444</v>
      </c>
      <c r="EO41" s="121">
        <f t="shared" ref="EO41:GZ41" si="52">EO39/EO38</f>
        <v>1.4444444444444444</v>
      </c>
      <c r="EP41" s="121">
        <f t="shared" si="52"/>
        <v>1.4444444444444444</v>
      </c>
      <c r="EQ41" s="121">
        <f t="shared" si="52"/>
        <v>1.4444444444444444</v>
      </c>
      <c r="ER41" s="121">
        <f t="shared" si="52"/>
        <v>1.4444444444444444</v>
      </c>
      <c r="ES41" s="121">
        <f t="shared" si="52"/>
        <v>1.4444444444444444</v>
      </c>
      <c r="ET41" s="121">
        <f t="shared" si="52"/>
        <v>1.4444444444444444</v>
      </c>
      <c r="EU41" s="121">
        <f t="shared" si="52"/>
        <v>1.5</v>
      </c>
      <c r="EV41" s="121">
        <f t="shared" si="52"/>
        <v>1.5</v>
      </c>
      <c r="EW41" s="121">
        <f t="shared" si="52"/>
        <v>1.5</v>
      </c>
      <c r="EX41" s="121">
        <f t="shared" si="52"/>
        <v>1.5</v>
      </c>
      <c r="EY41" s="121">
        <f t="shared" si="52"/>
        <v>1.5</v>
      </c>
      <c r="EZ41" s="121">
        <f t="shared" si="52"/>
        <v>1.5</v>
      </c>
      <c r="FA41" s="121">
        <f t="shared" si="52"/>
        <v>1.5</v>
      </c>
      <c r="FB41" s="121">
        <f t="shared" si="52"/>
        <v>1.5</v>
      </c>
      <c r="FC41" s="121">
        <f t="shared" si="52"/>
        <v>1.5</v>
      </c>
      <c r="FD41" s="121">
        <f t="shared" si="52"/>
        <v>1.5</v>
      </c>
      <c r="FE41" s="121">
        <f t="shared" si="52"/>
        <v>1.5</v>
      </c>
      <c r="FF41" s="121">
        <f t="shared" si="52"/>
        <v>1.5</v>
      </c>
      <c r="FG41" s="121">
        <f t="shared" si="52"/>
        <v>1.5</v>
      </c>
      <c r="FH41" s="121">
        <f t="shared" si="52"/>
        <v>1.5</v>
      </c>
      <c r="FI41" s="121">
        <f t="shared" si="52"/>
        <v>1.5</v>
      </c>
      <c r="FJ41" s="121">
        <f t="shared" si="52"/>
        <v>1.5</v>
      </c>
      <c r="FK41" s="121">
        <f t="shared" si="52"/>
        <v>1.5</v>
      </c>
      <c r="FL41" s="121">
        <f t="shared" si="52"/>
        <v>1.5</v>
      </c>
      <c r="FM41" s="121">
        <f t="shared" si="52"/>
        <v>1.5</v>
      </c>
      <c r="FN41" s="121">
        <f t="shared" si="52"/>
        <v>1.4444444444444444</v>
      </c>
      <c r="FO41" s="121">
        <f t="shared" si="52"/>
        <v>1.4444444444444444</v>
      </c>
      <c r="FP41" s="121">
        <f t="shared" si="52"/>
        <v>1.4444444444444444</v>
      </c>
      <c r="FQ41" s="121">
        <f t="shared" si="52"/>
        <v>1.4444444444444444</v>
      </c>
      <c r="FR41" s="121">
        <f t="shared" si="52"/>
        <v>1.4444444444444444</v>
      </c>
      <c r="FS41" s="121">
        <f t="shared" si="52"/>
        <v>1.4444444444444444</v>
      </c>
      <c r="FT41" s="121">
        <f t="shared" si="52"/>
        <v>1.4444444444444444</v>
      </c>
      <c r="FU41" s="121">
        <f t="shared" si="52"/>
        <v>1.4444444444444444</v>
      </c>
      <c r="FV41" s="121">
        <f t="shared" si="52"/>
        <v>1.4444444444444444</v>
      </c>
      <c r="FW41" s="121">
        <f t="shared" si="52"/>
        <v>1.4444444444444444</v>
      </c>
      <c r="FX41" s="121">
        <f t="shared" si="52"/>
        <v>1.4444444444444444</v>
      </c>
      <c r="FY41" s="121">
        <f t="shared" si="52"/>
        <v>1.4444444444444444</v>
      </c>
      <c r="FZ41" s="121">
        <f t="shared" si="52"/>
        <v>1.4444444444444444</v>
      </c>
      <c r="GA41" s="121">
        <f t="shared" si="52"/>
        <v>1.4444444444444444</v>
      </c>
      <c r="GB41" s="121">
        <f t="shared" si="52"/>
        <v>1.4444444444444444</v>
      </c>
      <c r="GC41" s="121">
        <f t="shared" si="52"/>
        <v>1.4444444444444444</v>
      </c>
      <c r="GD41" s="121">
        <f t="shared" si="52"/>
        <v>1.4444444444444444</v>
      </c>
      <c r="GE41" s="121">
        <f t="shared" si="52"/>
        <v>1.5</v>
      </c>
      <c r="GF41" s="121">
        <f t="shared" si="52"/>
        <v>1.5</v>
      </c>
      <c r="GG41" s="121">
        <f t="shared" si="52"/>
        <v>1.5</v>
      </c>
      <c r="GH41" s="121">
        <f t="shared" si="52"/>
        <v>1.5</v>
      </c>
      <c r="GI41" s="121">
        <f t="shared" si="52"/>
        <v>1.5</v>
      </c>
      <c r="GJ41" s="121">
        <f t="shared" si="52"/>
        <v>1.5</v>
      </c>
      <c r="GK41" s="121">
        <f t="shared" si="52"/>
        <v>1.5</v>
      </c>
      <c r="GL41" s="121">
        <f t="shared" si="52"/>
        <v>1.5</v>
      </c>
      <c r="GM41" s="121">
        <f t="shared" si="52"/>
        <v>1.5</v>
      </c>
      <c r="GN41" s="121">
        <f t="shared" si="52"/>
        <v>1.5</v>
      </c>
      <c r="GO41" s="121">
        <f t="shared" si="52"/>
        <v>1.5</v>
      </c>
      <c r="GP41" s="121">
        <f t="shared" si="52"/>
        <v>1.5</v>
      </c>
      <c r="GQ41" s="121">
        <f t="shared" si="52"/>
        <v>1.5</v>
      </c>
      <c r="GR41" s="121">
        <f t="shared" si="52"/>
        <v>1.5</v>
      </c>
      <c r="GS41" s="121">
        <f t="shared" si="52"/>
        <v>1.5</v>
      </c>
      <c r="GT41" s="121">
        <f t="shared" si="52"/>
        <v>1.5</v>
      </c>
      <c r="GU41" s="121">
        <f t="shared" si="52"/>
        <v>1.5</v>
      </c>
      <c r="GV41" s="121">
        <f t="shared" si="52"/>
        <v>1.5</v>
      </c>
      <c r="GW41" s="121">
        <f t="shared" si="52"/>
        <v>1.5</v>
      </c>
      <c r="GX41" s="121">
        <f t="shared" si="52"/>
        <v>1.5</v>
      </c>
      <c r="GY41" s="121">
        <f t="shared" si="52"/>
        <v>1.5</v>
      </c>
      <c r="GZ41" s="121">
        <f t="shared" si="52"/>
        <v>1.5</v>
      </c>
      <c r="HA41" s="121">
        <f t="shared" ref="HA41:JL41" si="53">HA39/HA38</f>
        <v>1.5</v>
      </c>
      <c r="HB41" s="121">
        <f t="shared" si="53"/>
        <v>1.5</v>
      </c>
      <c r="HC41" s="121">
        <f t="shared" si="53"/>
        <v>1.5</v>
      </c>
      <c r="HD41" s="121">
        <f t="shared" si="53"/>
        <v>1.5</v>
      </c>
      <c r="HE41" s="121">
        <f t="shared" si="53"/>
        <v>1.5</v>
      </c>
      <c r="HF41" s="121">
        <f t="shared" si="53"/>
        <v>1.5</v>
      </c>
      <c r="HG41" s="121">
        <f t="shared" si="53"/>
        <v>1.4444444444444444</v>
      </c>
      <c r="HH41" s="121">
        <f t="shared" si="53"/>
        <v>1.4444444444444444</v>
      </c>
      <c r="HI41" s="121">
        <f t="shared" si="53"/>
        <v>1.4444444444444444</v>
      </c>
      <c r="HJ41" s="121">
        <f t="shared" si="53"/>
        <v>1.4444444444444444</v>
      </c>
      <c r="HK41" s="121">
        <f t="shared" si="53"/>
        <v>1.4444444444444444</v>
      </c>
      <c r="HL41" s="121">
        <f t="shared" si="53"/>
        <v>1.3888888888888888</v>
      </c>
      <c r="HM41" s="121">
        <f t="shared" si="53"/>
        <v>1.3888888888888888</v>
      </c>
      <c r="HN41" s="121">
        <f t="shared" si="53"/>
        <v>1.3888888888888888</v>
      </c>
      <c r="HO41" s="121">
        <f t="shared" si="53"/>
        <v>1.3888888888888888</v>
      </c>
      <c r="HP41" s="121">
        <f t="shared" si="53"/>
        <v>1.3888888888888888</v>
      </c>
      <c r="HQ41" s="121">
        <f t="shared" si="53"/>
        <v>1.3888888888888888</v>
      </c>
      <c r="HR41" s="121">
        <f t="shared" si="53"/>
        <v>1.3888888888888888</v>
      </c>
      <c r="HS41" s="121">
        <f t="shared" si="53"/>
        <v>1.3888888888888888</v>
      </c>
      <c r="HT41" s="121">
        <f t="shared" si="53"/>
        <v>1.3888888888888888</v>
      </c>
      <c r="HU41" s="121">
        <f t="shared" si="53"/>
        <v>1.3888888888888888</v>
      </c>
      <c r="HV41" s="121">
        <f t="shared" si="53"/>
        <v>1.3888888888888888</v>
      </c>
      <c r="HW41" s="121">
        <f t="shared" si="53"/>
        <v>1.3888888888888888</v>
      </c>
      <c r="HX41" s="121">
        <f t="shared" si="53"/>
        <v>1.4444444444444444</v>
      </c>
      <c r="HY41" s="121">
        <f t="shared" si="53"/>
        <v>1.4444444444444444</v>
      </c>
      <c r="HZ41" s="121">
        <f t="shared" si="53"/>
        <v>1.4444444444444444</v>
      </c>
      <c r="IA41" s="121">
        <f t="shared" si="53"/>
        <v>1.4444444444444444</v>
      </c>
      <c r="IB41" s="121">
        <f t="shared" si="53"/>
        <v>1.4444444444444444</v>
      </c>
      <c r="IC41" s="121">
        <f t="shared" si="53"/>
        <v>1.5</v>
      </c>
      <c r="ID41" s="121">
        <f t="shared" si="53"/>
        <v>1.5</v>
      </c>
      <c r="IE41" s="121">
        <f t="shared" si="53"/>
        <v>1.5</v>
      </c>
      <c r="IF41" s="121">
        <f t="shared" si="53"/>
        <v>1.5</v>
      </c>
      <c r="IG41" s="121">
        <f t="shared" si="53"/>
        <v>1.5</v>
      </c>
      <c r="IH41" s="121">
        <f t="shared" si="53"/>
        <v>1.5</v>
      </c>
      <c r="II41" s="121">
        <f t="shared" si="53"/>
        <v>1.5</v>
      </c>
      <c r="IJ41" s="121">
        <f t="shared" si="53"/>
        <v>1.5</v>
      </c>
      <c r="IK41" s="121">
        <f t="shared" si="53"/>
        <v>1.5</v>
      </c>
      <c r="IL41" s="121">
        <f t="shared" si="53"/>
        <v>1.5</v>
      </c>
      <c r="IM41" s="121">
        <f t="shared" si="53"/>
        <v>1.5</v>
      </c>
      <c r="IN41" s="121">
        <f t="shared" si="53"/>
        <v>1.5</v>
      </c>
      <c r="IO41" s="121">
        <f t="shared" si="53"/>
        <v>1.5</v>
      </c>
      <c r="IP41" s="121">
        <f t="shared" si="53"/>
        <v>1.5</v>
      </c>
      <c r="IQ41" s="121">
        <f t="shared" si="53"/>
        <v>1.5</v>
      </c>
      <c r="IR41" s="121">
        <f t="shared" si="53"/>
        <v>1.5</v>
      </c>
      <c r="IS41" s="121">
        <f t="shared" si="53"/>
        <v>1.5</v>
      </c>
      <c r="IT41" s="121">
        <f t="shared" si="53"/>
        <v>1.5</v>
      </c>
      <c r="IU41" s="121">
        <f t="shared" si="53"/>
        <v>1.5</v>
      </c>
      <c r="IV41" s="121">
        <f t="shared" si="53"/>
        <v>1.5</v>
      </c>
      <c r="IW41" s="121">
        <f t="shared" si="53"/>
        <v>1.5</v>
      </c>
      <c r="IX41" s="121">
        <f t="shared" si="53"/>
        <v>1.5</v>
      </c>
      <c r="IY41" s="121">
        <f t="shared" si="53"/>
        <v>1.5</v>
      </c>
      <c r="IZ41" s="121">
        <f t="shared" si="53"/>
        <v>1.5</v>
      </c>
      <c r="JA41" s="121">
        <f t="shared" si="53"/>
        <v>1.5</v>
      </c>
      <c r="JB41" s="121">
        <f t="shared" si="53"/>
        <v>1.5</v>
      </c>
      <c r="JC41" s="121">
        <f t="shared" si="53"/>
        <v>1.4444444444444444</v>
      </c>
      <c r="JD41" s="121">
        <f t="shared" si="53"/>
        <v>1.4444444444444444</v>
      </c>
      <c r="JE41" s="121">
        <f t="shared" si="53"/>
        <v>1.4444444444444444</v>
      </c>
      <c r="JF41" s="121">
        <f t="shared" si="53"/>
        <v>1.4444444444444444</v>
      </c>
      <c r="JG41" s="121">
        <f t="shared" si="53"/>
        <v>1.4444444444444444</v>
      </c>
      <c r="JH41" s="121">
        <f t="shared" si="53"/>
        <v>1.4444444444444444</v>
      </c>
      <c r="JI41" s="121">
        <f t="shared" si="53"/>
        <v>1.4444444444444444</v>
      </c>
      <c r="JJ41" s="121">
        <f t="shared" si="53"/>
        <v>1.4444444444444444</v>
      </c>
      <c r="JK41" s="121">
        <f t="shared" si="53"/>
        <v>1.3888888888888888</v>
      </c>
      <c r="JL41" s="121">
        <f t="shared" si="53"/>
        <v>1.3888888888888888</v>
      </c>
      <c r="JM41" s="121">
        <f t="shared" ref="JM41:LX41" si="54">JM39/JM38</f>
        <v>1.3888888888888888</v>
      </c>
      <c r="JN41" s="121">
        <f t="shared" si="54"/>
        <v>1.3888888888888888</v>
      </c>
      <c r="JO41" s="121">
        <f t="shared" si="54"/>
        <v>1.3888888888888888</v>
      </c>
      <c r="JP41" s="121">
        <f t="shared" si="54"/>
        <v>1.3888888888888888</v>
      </c>
      <c r="JQ41" s="121">
        <f t="shared" si="54"/>
        <v>1.3888888888888888</v>
      </c>
      <c r="JR41" s="121">
        <f t="shared" si="54"/>
        <v>1.3888888888888888</v>
      </c>
      <c r="JS41" s="121">
        <f t="shared" si="54"/>
        <v>1.3888888888888888</v>
      </c>
      <c r="JT41" s="121">
        <f t="shared" si="54"/>
        <v>1.3888888888888888</v>
      </c>
      <c r="JU41" s="121">
        <f t="shared" si="54"/>
        <v>1.3888888888888888</v>
      </c>
      <c r="JV41" s="121">
        <f t="shared" si="54"/>
        <v>1.3888888888888888</v>
      </c>
      <c r="JW41" s="121">
        <f t="shared" si="54"/>
        <v>1.3888888888888888</v>
      </c>
      <c r="JX41" s="121">
        <f t="shared" si="54"/>
        <v>1.3888888888888888</v>
      </c>
      <c r="JY41" s="121">
        <f t="shared" si="54"/>
        <v>1.3888888888888888</v>
      </c>
      <c r="JZ41" s="121">
        <f t="shared" si="54"/>
        <v>1.3888888888888888</v>
      </c>
      <c r="KA41" s="121">
        <f t="shared" si="54"/>
        <v>1.3888888888888888</v>
      </c>
      <c r="KB41" s="121">
        <f t="shared" si="54"/>
        <v>1.4444444444444444</v>
      </c>
      <c r="KC41" s="121">
        <f t="shared" si="54"/>
        <v>1.3888888888888888</v>
      </c>
      <c r="KD41" s="121">
        <f t="shared" si="54"/>
        <v>1.3888888888888888</v>
      </c>
      <c r="KE41" s="121">
        <f t="shared" si="54"/>
        <v>1.3888888888888888</v>
      </c>
      <c r="KF41" s="121">
        <f t="shared" si="54"/>
        <v>1.3888888888888888</v>
      </c>
      <c r="KG41" s="121">
        <f t="shared" si="54"/>
        <v>1.3888888888888888</v>
      </c>
      <c r="KH41" s="121">
        <f t="shared" si="54"/>
        <v>1.3888888888888888</v>
      </c>
      <c r="KI41" s="121">
        <f t="shared" si="54"/>
        <v>1.3888888888888888</v>
      </c>
      <c r="KJ41" s="121">
        <f t="shared" si="54"/>
        <v>1.3888888888888888</v>
      </c>
      <c r="KK41" s="121">
        <f t="shared" si="54"/>
        <v>1.4444444444444444</v>
      </c>
      <c r="KL41" s="121">
        <f t="shared" si="54"/>
        <v>1.4444444444444444</v>
      </c>
      <c r="KM41" s="121">
        <f t="shared" si="54"/>
        <v>1.4444444444444444</v>
      </c>
      <c r="KN41" s="121">
        <f t="shared" si="54"/>
        <v>1.4444444444444444</v>
      </c>
      <c r="KO41" s="121">
        <f t="shared" si="54"/>
        <v>1.3888888888888888</v>
      </c>
      <c r="KP41" s="121">
        <f t="shared" si="54"/>
        <v>1.3888888888888888</v>
      </c>
      <c r="KQ41" s="121">
        <f t="shared" si="54"/>
        <v>1.3888888888888888</v>
      </c>
      <c r="KR41" s="121">
        <f t="shared" si="54"/>
        <v>1.3888888888888888</v>
      </c>
      <c r="KS41" s="121">
        <f t="shared" si="54"/>
        <v>1.3888888888888888</v>
      </c>
      <c r="KT41" s="121">
        <f t="shared" si="54"/>
        <v>1.4444444444444444</v>
      </c>
      <c r="KU41" s="121">
        <f t="shared" si="54"/>
        <v>1.4444444444444444</v>
      </c>
      <c r="KV41" s="121">
        <f t="shared" si="54"/>
        <v>1.4444444444444444</v>
      </c>
      <c r="KW41" s="121">
        <f t="shared" si="54"/>
        <v>1.4444444444444444</v>
      </c>
      <c r="KX41" s="121">
        <f t="shared" si="54"/>
        <v>1.4444444444444444</v>
      </c>
      <c r="KY41" s="121">
        <f t="shared" si="54"/>
        <v>1.3888888888888888</v>
      </c>
      <c r="KZ41" s="121">
        <f t="shared" si="54"/>
        <v>1.3888888888888888</v>
      </c>
      <c r="LA41" s="121">
        <f t="shared" si="54"/>
        <v>1.3888888888888888</v>
      </c>
      <c r="LB41" s="121">
        <f t="shared" si="54"/>
        <v>1.3333333333333333</v>
      </c>
      <c r="LC41" s="121">
        <f t="shared" si="54"/>
        <v>1.3333333333333333</v>
      </c>
      <c r="LD41" s="121">
        <f t="shared" si="54"/>
        <v>1.3333333333333333</v>
      </c>
      <c r="LE41" s="121">
        <f t="shared" si="54"/>
        <v>1.3333333333333333</v>
      </c>
      <c r="LF41" s="121">
        <f t="shared" si="54"/>
        <v>1.3333333333333333</v>
      </c>
      <c r="LG41" s="121">
        <f t="shared" si="54"/>
        <v>1.3333333333333333</v>
      </c>
      <c r="LH41" s="121">
        <f t="shared" si="54"/>
        <v>1.3333333333333333</v>
      </c>
      <c r="LI41" s="121">
        <f t="shared" si="54"/>
        <v>1.3333333333333333</v>
      </c>
      <c r="LJ41" s="121">
        <f t="shared" si="54"/>
        <v>1.3333333333333333</v>
      </c>
      <c r="LK41" s="121">
        <f t="shared" si="54"/>
        <v>1.3333333333333333</v>
      </c>
      <c r="LL41" s="121">
        <f t="shared" si="54"/>
        <v>1.3333333333333333</v>
      </c>
      <c r="LM41" s="121">
        <f t="shared" si="54"/>
        <v>1.3333333333333333</v>
      </c>
      <c r="LN41" s="121">
        <f t="shared" si="54"/>
        <v>1.3333333333333333</v>
      </c>
      <c r="LO41" s="121">
        <f t="shared" si="54"/>
        <v>1.3333333333333333</v>
      </c>
      <c r="LP41" s="121">
        <f t="shared" si="54"/>
        <v>1.3888888888888888</v>
      </c>
      <c r="LQ41" s="121">
        <f t="shared" si="54"/>
        <v>1.3333333333333333</v>
      </c>
      <c r="LR41" s="121">
        <f t="shared" si="54"/>
        <v>1.3333333333333333</v>
      </c>
      <c r="LS41" s="121">
        <f t="shared" si="54"/>
        <v>1.3888888888888888</v>
      </c>
      <c r="LT41" s="121">
        <f t="shared" si="54"/>
        <v>1.3888888888888888</v>
      </c>
      <c r="LU41" s="121">
        <f t="shared" si="54"/>
        <v>1.3888888888888888</v>
      </c>
      <c r="LV41" s="121">
        <f t="shared" si="54"/>
        <v>1.3888888888888888</v>
      </c>
      <c r="LW41" s="121">
        <f t="shared" si="54"/>
        <v>1.4444444444444444</v>
      </c>
      <c r="LX41" s="121">
        <f t="shared" si="54"/>
        <v>1.4444444444444444</v>
      </c>
      <c r="LY41" s="121">
        <f t="shared" ref="LY41:OJ41" si="55">LY39/LY38</f>
        <v>1.4444444444444444</v>
      </c>
      <c r="LZ41" s="121">
        <f t="shared" si="55"/>
        <v>1.4444444444444444</v>
      </c>
      <c r="MA41" s="121">
        <f t="shared" si="55"/>
        <v>1.4444444444444444</v>
      </c>
      <c r="MB41" s="121">
        <f t="shared" si="55"/>
        <v>1.4444444444444444</v>
      </c>
      <c r="MC41" s="121">
        <f t="shared" si="55"/>
        <v>1.4444444444444444</v>
      </c>
      <c r="MD41" s="121">
        <f t="shared" si="55"/>
        <v>1.4444444444444444</v>
      </c>
      <c r="ME41" s="121">
        <f t="shared" si="55"/>
        <v>1.4444444444444444</v>
      </c>
      <c r="MF41" s="121">
        <f t="shared" si="55"/>
        <v>1.4444444444444444</v>
      </c>
      <c r="MG41" s="121">
        <f t="shared" si="55"/>
        <v>1.4444444444444444</v>
      </c>
      <c r="MH41" s="121">
        <f t="shared" si="55"/>
        <v>1.5</v>
      </c>
      <c r="MI41" s="121">
        <f t="shared" si="55"/>
        <v>1.3333333333333333</v>
      </c>
      <c r="MJ41" s="121">
        <f t="shared" si="55"/>
        <v>1.3333333333333333</v>
      </c>
      <c r="MK41" s="121">
        <f t="shared" si="55"/>
        <v>1.3333333333333333</v>
      </c>
      <c r="ML41" s="121">
        <f t="shared" si="55"/>
        <v>1.3333333333333333</v>
      </c>
      <c r="MM41" s="121">
        <f t="shared" si="55"/>
        <v>1.3333333333333333</v>
      </c>
      <c r="MN41" s="121">
        <f t="shared" si="55"/>
        <v>1.3333333333333333</v>
      </c>
      <c r="MO41" s="121">
        <f t="shared" si="55"/>
        <v>1.3333333333333333</v>
      </c>
      <c r="MP41" s="121">
        <f t="shared" si="55"/>
        <v>1.3333333333333333</v>
      </c>
      <c r="MQ41" s="121">
        <f t="shared" si="55"/>
        <v>1.3333333333333333</v>
      </c>
      <c r="MR41" s="121">
        <f t="shared" si="55"/>
        <v>1.3333333333333333</v>
      </c>
      <c r="MS41" s="121">
        <f t="shared" si="55"/>
        <v>1.3333333333333333</v>
      </c>
      <c r="MT41" s="121">
        <f t="shared" si="55"/>
        <v>1.3333333333333333</v>
      </c>
      <c r="MU41" s="121">
        <f t="shared" si="55"/>
        <v>1.3333333333333333</v>
      </c>
      <c r="MV41" s="121">
        <f t="shared" si="55"/>
        <v>1.2777777777777777</v>
      </c>
      <c r="MW41" s="121">
        <f t="shared" si="55"/>
        <v>1.2777777777777777</v>
      </c>
      <c r="MX41" s="121">
        <f t="shared" si="55"/>
        <v>1.2777777777777777</v>
      </c>
      <c r="MY41" s="121">
        <f t="shared" si="55"/>
        <v>1.2777777777777777</v>
      </c>
      <c r="MZ41" s="121">
        <f t="shared" si="55"/>
        <v>1.4444444444444444</v>
      </c>
      <c r="NA41" s="121">
        <f t="shared" si="55"/>
        <v>1.4444444444444444</v>
      </c>
      <c r="NB41" s="121">
        <f t="shared" si="55"/>
        <v>1.3888888888888888</v>
      </c>
      <c r="NC41" s="121">
        <f t="shared" si="55"/>
        <v>1.3888888888888888</v>
      </c>
      <c r="ND41" s="121">
        <f t="shared" si="55"/>
        <v>1.3888888888888888</v>
      </c>
      <c r="NE41" s="121">
        <f t="shared" si="55"/>
        <v>1.3888888888888888</v>
      </c>
      <c r="NF41" s="121">
        <f t="shared" si="55"/>
        <v>1.3888888888888888</v>
      </c>
      <c r="NG41" s="121">
        <f t="shared" si="55"/>
        <v>1.3888888888888888</v>
      </c>
      <c r="NH41" s="121">
        <f t="shared" si="55"/>
        <v>1.3888888888888888</v>
      </c>
      <c r="NI41" s="121">
        <f t="shared" si="55"/>
        <v>1.3888888888888888</v>
      </c>
      <c r="NJ41" s="121">
        <f t="shared" si="55"/>
        <v>1.3888888888888888</v>
      </c>
      <c r="NK41" s="121">
        <f t="shared" si="55"/>
        <v>1.3888888888888888</v>
      </c>
      <c r="NL41" s="121">
        <f t="shared" si="55"/>
        <v>1.3333333333333333</v>
      </c>
      <c r="NM41" s="121">
        <f t="shared" si="55"/>
        <v>1.3888888888888888</v>
      </c>
      <c r="NN41" s="121">
        <f t="shared" si="55"/>
        <v>1.3888888888888888</v>
      </c>
      <c r="NO41" s="121">
        <f t="shared" si="55"/>
        <v>1.3888888888888888</v>
      </c>
      <c r="NP41" s="121">
        <f t="shared" si="55"/>
        <v>1.3888888888888888</v>
      </c>
      <c r="NQ41" s="121">
        <f t="shared" si="55"/>
        <v>1.3888888888888888</v>
      </c>
      <c r="NR41" s="121">
        <f t="shared" si="55"/>
        <v>1.3888888888888888</v>
      </c>
      <c r="NS41" s="121">
        <f t="shared" si="55"/>
        <v>1.4444444444444444</v>
      </c>
      <c r="NT41" s="121">
        <f t="shared" si="55"/>
        <v>1.4444444444444444</v>
      </c>
      <c r="NU41" s="121">
        <f t="shared" si="55"/>
        <v>1.4444444444444444</v>
      </c>
      <c r="NV41" s="121">
        <f t="shared" si="55"/>
        <v>1.4444444444444444</v>
      </c>
      <c r="NW41" s="121">
        <f t="shared" si="55"/>
        <v>1.4444444444444444</v>
      </c>
      <c r="NX41" s="121">
        <f t="shared" si="55"/>
        <v>1.4444444444444444</v>
      </c>
      <c r="NY41" s="121">
        <f t="shared" si="55"/>
        <v>1.4444444444444444</v>
      </c>
      <c r="NZ41" s="121">
        <f t="shared" si="55"/>
        <v>1.4444444444444444</v>
      </c>
      <c r="OA41" s="121">
        <f t="shared" si="55"/>
        <v>1.4444444444444444</v>
      </c>
      <c r="OB41" s="121">
        <f t="shared" si="55"/>
        <v>1.4444444444444444</v>
      </c>
      <c r="OC41" s="121">
        <f t="shared" si="55"/>
        <v>1.5</v>
      </c>
      <c r="OD41" s="121">
        <f t="shared" si="55"/>
        <v>1.5</v>
      </c>
      <c r="OE41" s="121">
        <f t="shared" si="55"/>
        <v>1.5</v>
      </c>
      <c r="OF41" s="121">
        <f t="shared" si="55"/>
        <v>1.5</v>
      </c>
      <c r="OG41" s="121">
        <f t="shared" si="55"/>
        <v>1.5</v>
      </c>
      <c r="OH41" s="121">
        <f t="shared" si="55"/>
        <v>1.5</v>
      </c>
      <c r="OI41" s="121">
        <f t="shared" si="55"/>
        <v>1.5</v>
      </c>
      <c r="OJ41" s="121">
        <f t="shared" si="55"/>
        <v>1.5</v>
      </c>
      <c r="OK41" s="121">
        <f t="shared" ref="OK41:QV41" si="56">OK39/OK38</f>
        <v>1.5</v>
      </c>
      <c r="OL41" s="121">
        <f t="shared" si="56"/>
        <v>1.5</v>
      </c>
      <c r="OM41" s="121">
        <f t="shared" si="56"/>
        <v>1.5</v>
      </c>
      <c r="ON41" s="121">
        <f t="shared" si="56"/>
        <v>1.5</v>
      </c>
      <c r="OO41" s="121">
        <f t="shared" si="56"/>
        <v>1.5</v>
      </c>
      <c r="OP41" s="121">
        <f t="shared" si="56"/>
        <v>1.5</v>
      </c>
      <c r="OQ41" s="121">
        <f t="shared" si="56"/>
        <v>1.5</v>
      </c>
      <c r="OR41" s="121">
        <f t="shared" si="56"/>
        <v>1.5</v>
      </c>
      <c r="OS41" s="121">
        <f t="shared" si="56"/>
        <v>1.5</v>
      </c>
      <c r="OT41" s="121">
        <f t="shared" si="56"/>
        <v>1.5</v>
      </c>
      <c r="OU41" s="121">
        <f t="shared" si="56"/>
        <v>1.4444444444444444</v>
      </c>
      <c r="OV41" s="121">
        <f t="shared" si="56"/>
        <v>1.4444444444444444</v>
      </c>
      <c r="OW41" s="121">
        <f t="shared" si="56"/>
        <v>1.3888888888888888</v>
      </c>
      <c r="OX41" s="121">
        <f t="shared" si="56"/>
        <v>1.3888888888888888</v>
      </c>
      <c r="OY41" s="121">
        <f t="shared" si="56"/>
        <v>1.3888888888888888</v>
      </c>
      <c r="OZ41" s="121">
        <f t="shared" si="56"/>
        <v>1.3888888888888888</v>
      </c>
      <c r="PA41" s="121">
        <f t="shared" si="56"/>
        <v>1.3888888888888888</v>
      </c>
      <c r="PB41" s="121">
        <f t="shared" si="56"/>
        <v>1.3888888888888888</v>
      </c>
      <c r="PC41" s="121">
        <f t="shared" si="56"/>
        <v>1.3888888888888888</v>
      </c>
      <c r="PD41" s="121">
        <f t="shared" si="56"/>
        <v>1.3888888888888888</v>
      </c>
      <c r="PE41" s="121">
        <f t="shared" si="56"/>
        <v>1.3888888888888888</v>
      </c>
      <c r="PF41" s="121">
        <f t="shared" si="56"/>
        <v>1.3888888888888888</v>
      </c>
      <c r="PG41" s="121">
        <f t="shared" si="56"/>
        <v>1.3888888888888888</v>
      </c>
      <c r="PH41" s="121">
        <f t="shared" si="56"/>
        <v>1.3888888888888888</v>
      </c>
      <c r="PI41" s="121">
        <f t="shared" si="56"/>
        <v>1.3888888888888888</v>
      </c>
      <c r="PJ41" s="121">
        <f t="shared" si="56"/>
        <v>1.3888888888888888</v>
      </c>
      <c r="PK41" s="121">
        <f t="shared" si="56"/>
        <v>1.3888888888888888</v>
      </c>
      <c r="PL41" s="121">
        <f t="shared" si="56"/>
        <v>1.4444444444444444</v>
      </c>
      <c r="PM41" s="121">
        <f t="shared" si="56"/>
        <v>1.3888888888888888</v>
      </c>
      <c r="PN41" s="121">
        <f t="shared" si="56"/>
        <v>1.4444444444444444</v>
      </c>
      <c r="PO41" s="121">
        <f t="shared" si="56"/>
        <v>1.4444444444444444</v>
      </c>
      <c r="PP41" s="121">
        <f t="shared" si="56"/>
        <v>1.4444444444444444</v>
      </c>
      <c r="PQ41" s="121">
        <f t="shared" si="56"/>
        <v>1.4444444444444444</v>
      </c>
      <c r="PR41" s="121">
        <f t="shared" si="56"/>
        <v>1.4444444444444444</v>
      </c>
      <c r="PS41" s="121">
        <f t="shared" si="56"/>
        <v>1.4444444444444444</v>
      </c>
      <c r="PT41" s="121">
        <f t="shared" si="56"/>
        <v>1.4444444444444444</v>
      </c>
      <c r="PU41" s="121">
        <f t="shared" si="56"/>
        <v>1.4444444444444444</v>
      </c>
      <c r="PV41" s="121">
        <f t="shared" si="56"/>
        <v>1.4444444444444444</v>
      </c>
      <c r="PW41" s="121">
        <f t="shared" si="56"/>
        <v>1.4444444444444444</v>
      </c>
      <c r="PX41" s="121">
        <f t="shared" si="56"/>
        <v>1.4444444444444444</v>
      </c>
      <c r="PY41" s="121">
        <f t="shared" si="56"/>
        <v>1.4444444444444444</v>
      </c>
      <c r="PZ41" s="121">
        <f t="shared" si="56"/>
        <v>1.4444444444444444</v>
      </c>
      <c r="QA41" s="121">
        <f t="shared" si="56"/>
        <v>1.4444444444444444</v>
      </c>
      <c r="QB41" s="121">
        <f t="shared" si="56"/>
        <v>1.4444444444444444</v>
      </c>
      <c r="QC41" s="121">
        <f t="shared" si="56"/>
        <v>1.3888888888888888</v>
      </c>
      <c r="QD41" s="121">
        <f t="shared" si="56"/>
        <v>1.4444444444444444</v>
      </c>
      <c r="QE41" s="121">
        <f t="shared" si="56"/>
        <v>1.4444444444444444</v>
      </c>
      <c r="QF41" s="121">
        <f t="shared" si="56"/>
        <v>1.4444444444444444</v>
      </c>
      <c r="QG41" s="121">
        <f t="shared" si="56"/>
        <v>1.4444444444444444</v>
      </c>
      <c r="QH41" s="121">
        <f t="shared" si="56"/>
        <v>1.4444444444444444</v>
      </c>
      <c r="QI41" s="121">
        <f t="shared" si="56"/>
        <v>1.3888888888888888</v>
      </c>
      <c r="QJ41" s="121">
        <f t="shared" si="56"/>
        <v>1.3888888888888888</v>
      </c>
      <c r="QK41" s="121">
        <f t="shared" si="56"/>
        <v>1.3888888888888888</v>
      </c>
      <c r="QL41" s="121">
        <f t="shared" si="56"/>
        <v>1.3888888888888888</v>
      </c>
      <c r="QM41" s="121">
        <f t="shared" si="56"/>
        <v>1.3888888888888888</v>
      </c>
      <c r="QN41" s="121">
        <f t="shared" si="56"/>
        <v>1.3888888888888888</v>
      </c>
      <c r="QO41" s="121">
        <f t="shared" si="56"/>
        <v>1.3888888888888888</v>
      </c>
      <c r="QP41" s="121">
        <f t="shared" si="56"/>
        <v>1.3888888888888888</v>
      </c>
      <c r="QQ41" s="121">
        <f t="shared" si="56"/>
        <v>1.3888888888888888</v>
      </c>
      <c r="QR41" s="121">
        <f t="shared" si="56"/>
        <v>1.3888888888888888</v>
      </c>
      <c r="QS41" s="121">
        <f t="shared" si="56"/>
        <v>1.3888888888888888</v>
      </c>
      <c r="QT41" s="121">
        <f t="shared" si="56"/>
        <v>1.3888888888888888</v>
      </c>
      <c r="QU41" s="121">
        <f t="shared" si="56"/>
        <v>1.3888888888888888</v>
      </c>
      <c r="QV41" s="121">
        <f t="shared" si="56"/>
        <v>1.3888888888888888</v>
      </c>
      <c r="QW41" s="121">
        <f t="shared" ref="QW41:TH41" si="57">QW39/QW38</f>
        <v>1.3333333333333333</v>
      </c>
      <c r="QX41" s="121">
        <f t="shared" si="57"/>
        <v>1.3333333333333333</v>
      </c>
      <c r="QY41" s="121">
        <f t="shared" si="57"/>
        <v>1.3333333333333333</v>
      </c>
      <c r="QZ41" s="121">
        <f t="shared" si="57"/>
        <v>1.3888888888888888</v>
      </c>
      <c r="RA41" s="121">
        <f t="shared" si="57"/>
        <v>1.3888888888888888</v>
      </c>
      <c r="RB41" s="121">
        <f t="shared" si="57"/>
        <v>1.3888888888888888</v>
      </c>
      <c r="RC41" s="121">
        <f t="shared" si="57"/>
        <v>1.3888888888888888</v>
      </c>
      <c r="RD41" s="121">
        <f t="shared" si="57"/>
        <v>1.3888888888888888</v>
      </c>
      <c r="RE41" s="121">
        <f t="shared" si="57"/>
        <v>1.3888888888888888</v>
      </c>
      <c r="RF41" s="121">
        <f t="shared" si="57"/>
        <v>1.3888888888888888</v>
      </c>
      <c r="RG41" s="121">
        <f t="shared" si="57"/>
        <v>1.3888888888888888</v>
      </c>
      <c r="RH41" s="121">
        <f t="shared" si="57"/>
        <v>1.3888888888888888</v>
      </c>
      <c r="RI41" s="121">
        <f t="shared" si="57"/>
        <v>1.3888888888888888</v>
      </c>
      <c r="RJ41" s="121">
        <f t="shared" si="57"/>
        <v>1.3888888888888888</v>
      </c>
      <c r="RK41" s="121">
        <f t="shared" si="57"/>
        <v>1.4444444444444444</v>
      </c>
      <c r="RL41" s="121">
        <f t="shared" si="57"/>
        <v>1.4444444444444444</v>
      </c>
      <c r="RM41" s="121">
        <f t="shared" si="57"/>
        <v>1.4444444444444444</v>
      </c>
      <c r="RN41" s="121">
        <f t="shared" si="57"/>
        <v>1.5</v>
      </c>
      <c r="RO41" s="121">
        <f t="shared" si="57"/>
        <v>1.5</v>
      </c>
      <c r="RP41" s="121">
        <f t="shared" si="57"/>
        <v>1.5</v>
      </c>
      <c r="RQ41" s="121">
        <f t="shared" si="57"/>
        <v>1.5</v>
      </c>
      <c r="RR41" s="121">
        <f t="shared" si="57"/>
        <v>1.4444444444444444</v>
      </c>
      <c r="RS41" s="121">
        <f t="shared" si="57"/>
        <v>1.3888888888888888</v>
      </c>
      <c r="RT41" s="121">
        <f t="shared" si="57"/>
        <v>1.3888888888888888</v>
      </c>
      <c r="RU41" s="121">
        <f t="shared" si="57"/>
        <v>1.3888888888888888</v>
      </c>
      <c r="RV41" s="121">
        <f t="shared" si="57"/>
        <v>1.3888888888888888</v>
      </c>
      <c r="RW41" s="121">
        <f t="shared" si="57"/>
        <v>1.3888888888888888</v>
      </c>
      <c r="RX41" s="121">
        <f t="shared" si="57"/>
        <v>1.3888888888888888</v>
      </c>
      <c r="RY41" s="121">
        <f t="shared" si="57"/>
        <v>1.3888888888888888</v>
      </c>
      <c r="RZ41" s="121">
        <f t="shared" si="57"/>
        <v>1.3888888888888888</v>
      </c>
      <c r="SA41" s="121">
        <f t="shared" si="57"/>
        <v>1.3888888888888888</v>
      </c>
      <c r="SB41" s="121">
        <f t="shared" si="57"/>
        <v>1.3888888888888888</v>
      </c>
      <c r="SC41" s="121">
        <f t="shared" si="57"/>
        <v>1.3888888888888888</v>
      </c>
      <c r="SD41" s="121">
        <f t="shared" si="57"/>
        <v>1.3888888888888888</v>
      </c>
      <c r="SE41" s="121">
        <f t="shared" si="57"/>
        <v>1.3888888888888888</v>
      </c>
      <c r="SF41" s="121">
        <f t="shared" si="57"/>
        <v>1.3333333333333333</v>
      </c>
      <c r="SG41" s="121">
        <f t="shared" si="57"/>
        <v>1.3333333333333333</v>
      </c>
      <c r="SH41" s="121">
        <f t="shared" si="57"/>
        <v>1.3333333333333333</v>
      </c>
      <c r="SI41" s="121">
        <f t="shared" si="57"/>
        <v>1.3888888888888888</v>
      </c>
      <c r="SJ41" s="121">
        <f t="shared" si="57"/>
        <v>1.4444444444444444</v>
      </c>
      <c r="SK41" s="121">
        <f t="shared" si="57"/>
        <v>1.4444444444444444</v>
      </c>
      <c r="SL41" s="121">
        <f t="shared" si="57"/>
        <v>1.4444444444444444</v>
      </c>
      <c r="SM41" s="121">
        <f t="shared" si="57"/>
        <v>1.3888888888888888</v>
      </c>
      <c r="SN41" s="121">
        <f t="shared" si="57"/>
        <v>1.3333333333333333</v>
      </c>
      <c r="SO41" s="121">
        <f t="shared" si="57"/>
        <v>1.3333333333333333</v>
      </c>
      <c r="SP41" s="121">
        <f t="shared" si="57"/>
        <v>1.3333333333333333</v>
      </c>
      <c r="SQ41" s="121">
        <f t="shared" si="57"/>
        <v>1.3333333333333333</v>
      </c>
      <c r="SR41" s="121">
        <f t="shared" si="57"/>
        <v>1.3333333333333333</v>
      </c>
      <c r="SS41" s="121">
        <f t="shared" si="57"/>
        <v>1.3333333333333333</v>
      </c>
      <c r="ST41" s="121">
        <f t="shared" si="57"/>
        <v>1.3333333333333333</v>
      </c>
      <c r="SU41" s="121">
        <f t="shared" si="57"/>
        <v>1.3333333333333333</v>
      </c>
      <c r="SV41" s="121">
        <f t="shared" si="57"/>
        <v>1.3333333333333333</v>
      </c>
      <c r="SW41" s="121">
        <f t="shared" si="57"/>
        <v>1.3888888888888888</v>
      </c>
      <c r="SX41" s="121">
        <f t="shared" si="57"/>
        <v>1.3888888888888888</v>
      </c>
      <c r="SY41" s="121">
        <f t="shared" si="57"/>
        <v>1.3888888888888888</v>
      </c>
      <c r="SZ41" s="121">
        <f t="shared" si="57"/>
        <v>1.3888888888888888</v>
      </c>
      <c r="TA41" s="121">
        <f t="shared" si="57"/>
        <v>1.3333333333333333</v>
      </c>
      <c r="TB41" s="121">
        <f t="shared" si="57"/>
        <v>1.3333333333333333</v>
      </c>
      <c r="TC41" s="121">
        <f t="shared" si="57"/>
        <v>1.3333333333333333</v>
      </c>
      <c r="TD41" s="121">
        <f t="shared" si="57"/>
        <v>1.3888888888888888</v>
      </c>
      <c r="TE41" s="121">
        <f t="shared" si="57"/>
        <v>1.3888888888888888</v>
      </c>
      <c r="TF41" s="121">
        <f t="shared" si="57"/>
        <v>1.3333333333333333</v>
      </c>
      <c r="TG41" s="121">
        <f t="shared" si="57"/>
        <v>1.3333333333333333</v>
      </c>
      <c r="TH41" s="121">
        <f t="shared" si="57"/>
        <v>1.3333333333333333</v>
      </c>
      <c r="TI41" s="121">
        <f t="shared" ref="TI41:VT41" si="58">TI39/TI38</f>
        <v>1.3333333333333333</v>
      </c>
      <c r="TJ41" s="121">
        <f t="shared" si="58"/>
        <v>1.3333333333333333</v>
      </c>
      <c r="TK41" s="121">
        <f t="shared" si="58"/>
        <v>1.3333333333333333</v>
      </c>
      <c r="TL41" s="121">
        <f t="shared" si="58"/>
        <v>1.3333333333333333</v>
      </c>
      <c r="TM41" s="121">
        <f t="shared" si="58"/>
        <v>1.3333333333333333</v>
      </c>
      <c r="TN41" s="121">
        <f t="shared" si="58"/>
        <v>1.3333333333333333</v>
      </c>
      <c r="TO41" s="121">
        <f t="shared" si="58"/>
        <v>1.3333333333333333</v>
      </c>
      <c r="TP41" s="121">
        <f t="shared" si="58"/>
        <v>1.3333333333333333</v>
      </c>
      <c r="TQ41" s="121">
        <f t="shared" si="58"/>
        <v>1.3333333333333333</v>
      </c>
      <c r="TR41" s="121">
        <f t="shared" si="58"/>
        <v>1.3888888888888888</v>
      </c>
      <c r="TS41" s="121">
        <f t="shared" si="58"/>
        <v>1.3333333333333333</v>
      </c>
      <c r="TT41" s="121">
        <f t="shared" si="58"/>
        <v>1.3333333333333333</v>
      </c>
      <c r="TU41" s="121">
        <f t="shared" si="58"/>
        <v>1.3333333333333333</v>
      </c>
      <c r="TV41" s="121">
        <f t="shared" si="58"/>
        <v>1.3888888888888888</v>
      </c>
      <c r="TW41" s="121">
        <f t="shared" si="58"/>
        <v>1.4444444444444444</v>
      </c>
      <c r="TX41" s="121">
        <f t="shared" si="58"/>
        <v>1.4444444444444444</v>
      </c>
      <c r="TY41" s="121">
        <f t="shared" si="58"/>
        <v>1.4444444444444444</v>
      </c>
      <c r="TZ41" s="121">
        <f t="shared" si="58"/>
        <v>1.4444444444444444</v>
      </c>
      <c r="UA41" s="121">
        <f t="shared" si="58"/>
        <v>1.4444444444444444</v>
      </c>
      <c r="UB41" s="121">
        <f t="shared" si="58"/>
        <v>1.4444444444444444</v>
      </c>
      <c r="UC41" s="121">
        <f t="shared" si="58"/>
        <v>1.4444444444444444</v>
      </c>
      <c r="UD41" s="121">
        <f t="shared" si="58"/>
        <v>1.4444444444444444</v>
      </c>
      <c r="UE41" s="121">
        <f t="shared" si="58"/>
        <v>1.4444444444444444</v>
      </c>
      <c r="UF41" s="121">
        <f t="shared" si="58"/>
        <v>1.3888888888888888</v>
      </c>
      <c r="UG41" s="121">
        <f t="shared" si="58"/>
        <v>1.3333333333333333</v>
      </c>
      <c r="UH41" s="121">
        <f t="shared" si="58"/>
        <v>1.3333333333333333</v>
      </c>
      <c r="UI41" s="121">
        <f t="shared" si="58"/>
        <v>1.3333333333333333</v>
      </c>
      <c r="UJ41" s="121">
        <f t="shared" si="58"/>
        <v>1.3333333333333333</v>
      </c>
      <c r="UK41" s="121">
        <f t="shared" si="58"/>
        <v>1.3333333333333333</v>
      </c>
      <c r="UL41" s="121">
        <f t="shared" si="58"/>
        <v>1.3333333333333333</v>
      </c>
      <c r="UM41" s="121">
        <f t="shared" si="58"/>
        <v>1.3333333333333333</v>
      </c>
      <c r="UN41" s="121">
        <f t="shared" si="58"/>
        <v>1.3333333333333333</v>
      </c>
      <c r="UO41" s="121">
        <f t="shared" si="58"/>
        <v>1.3333333333333333</v>
      </c>
      <c r="UP41" s="121">
        <f t="shared" si="58"/>
        <v>1.3333333333333333</v>
      </c>
      <c r="UQ41" s="121">
        <f t="shared" si="58"/>
        <v>1.3333333333333333</v>
      </c>
      <c r="UR41" s="121">
        <f t="shared" si="58"/>
        <v>1.3333333333333333</v>
      </c>
      <c r="US41" s="121">
        <f t="shared" si="58"/>
        <v>1.3333333333333333</v>
      </c>
      <c r="UT41" s="121">
        <f t="shared" si="58"/>
        <v>1.3333333333333333</v>
      </c>
      <c r="UU41" s="121">
        <f t="shared" si="58"/>
        <v>1.3333333333333333</v>
      </c>
      <c r="UV41" s="121">
        <f t="shared" si="58"/>
        <v>1.3333333333333333</v>
      </c>
      <c r="UW41" s="121">
        <f t="shared" si="58"/>
        <v>1.3888888888888888</v>
      </c>
      <c r="UX41" s="121">
        <f t="shared" si="58"/>
        <v>1.4444444444444444</v>
      </c>
      <c r="UY41" s="121">
        <f t="shared" si="58"/>
        <v>1.3888888888888888</v>
      </c>
      <c r="UZ41" s="121">
        <f t="shared" si="58"/>
        <v>1.3888888888888888</v>
      </c>
      <c r="VA41" s="121">
        <f t="shared" si="58"/>
        <v>1.4444444444444444</v>
      </c>
      <c r="VB41" s="121">
        <f t="shared" si="58"/>
        <v>1.4444444444444444</v>
      </c>
      <c r="VC41" s="121">
        <f t="shared" si="58"/>
        <v>1.4444444444444444</v>
      </c>
      <c r="VD41" s="121">
        <f t="shared" si="58"/>
        <v>1.4444444444444444</v>
      </c>
      <c r="VE41" s="121">
        <f t="shared" si="58"/>
        <v>1.4444444444444444</v>
      </c>
      <c r="VF41" s="121">
        <f t="shared" si="58"/>
        <v>1.4444444444444444</v>
      </c>
      <c r="VG41" s="121">
        <f t="shared" si="58"/>
        <v>1.4444444444444444</v>
      </c>
      <c r="VH41" s="121">
        <f t="shared" si="58"/>
        <v>1.4444444444444444</v>
      </c>
      <c r="VI41" s="121">
        <f t="shared" si="58"/>
        <v>1.4444444444444444</v>
      </c>
      <c r="VJ41" s="121">
        <f t="shared" si="58"/>
        <v>1.4444444444444444</v>
      </c>
      <c r="VK41" s="121">
        <f t="shared" si="58"/>
        <v>1.4444444444444444</v>
      </c>
      <c r="VL41" s="121">
        <f t="shared" si="58"/>
        <v>1.4444444444444444</v>
      </c>
      <c r="VM41" s="121">
        <f t="shared" si="58"/>
        <v>1.4444444444444444</v>
      </c>
      <c r="VN41" s="121">
        <f t="shared" si="58"/>
        <v>1.4444444444444444</v>
      </c>
      <c r="VO41" s="121">
        <f t="shared" si="58"/>
        <v>1.4444444444444444</v>
      </c>
      <c r="VP41" s="121">
        <f t="shared" si="58"/>
        <v>1.5</v>
      </c>
      <c r="VQ41" s="121">
        <f t="shared" si="58"/>
        <v>1.5</v>
      </c>
      <c r="VR41" s="121">
        <f t="shared" si="58"/>
        <v>1.5</v>
      </c>
      <c r="VS41" s="121">
        <f t="shared" si="58"/>
        <v>1.4444444444444444</v>
      </c>
      <c r="VT41" s="121">
        <f t="shared" si="58"/>
        <v>1.4444444444444444</v>
      </c>
      <c r="VU41" s="121">
        <f t="shared" ref="VU41:YF41" si="59">VU39/VU38</f>
        <v>1.4444444444444444</v>
      </c>
      <c r="VV41" s="121">
        <f t="shared" si="59"/>
        <v>1.3888888888888888</v>
      </c>
      <c r="VW41" s="121">
        <f t="shared" si="59"/>
        <v>1.3888888888888888</v>
      </c>
      <c r="VX41" s="121">
        <f t="shared" si="59"/>
        <v>1.3888888888888888</v>
      </c>
      <c r="VY41" s="121">
        <f t="shared" si="59"/>
        <v>1.3888888888888888</v>
      </c>
      <c r="VZ41" s="121">
        <f t="shared" si="59"/>
        <v>1.3888888888888888</v>
      </c>
      <c r="WA41" s="121">
        <f t="shared" si="59"/>
        <v>1.3888888888888888</v>
      </c>
      <c r="WB41" s="121">
        <f t="shared" si="59"/>
        <v>1.3888888888888888</v>
      </c>
      <c r="WC41" s="121">
        <f t="shared" si="59"/>
        <v>1.3888888888888888</v>
      </c>
      <c r="WD41" s="121">
        <f t="shared" si="59"/>
        <v>1.3888888888888888</v>
      </c>
      <c r="WE41" s="121">
        <f t="shared" si="59"/>
        <v>1.3888888888888888</v>
      </c>
      <c r="WF41" s="121">
        <f t="shared" si="59"/>
        <v>1.3888888888888888</v>
      </c>
      <c r="WG41" s="121">
        <f t="shared" si="59"/>
        <v>1.3888888888888888</v>
      </c>
      <c r="WH41" s="121">
        <f t="shared" si="59"/>
        <v>1.3888888888888888</v>
      </c>
      <c r="WI41" s="121">
        <f t="shared" si="59"/>
        <v>1.3888888888888888</v>
      </c>
      <c r="WJ41" s="121">
        <f t="shared" si="59"/>
        <v>1.4444444444444444</v>
      </c>
      <c r="WK41" s="121">
        <f t="shared" si="59"/>
        <v>1.3888888888888888</v>
      </c>
      <c r="WL41" s="121">
        <f t="shared" si="59"/>
        <v>1.3888888888888888</v>
      </c>
      <c r="WM41" s="121">
        <f t="shared" si="59"/>
        <v>1.4444444444444444</v>
      </c>
      <c r="WN41" s="121">
        <f t="shared" si="59"/>
        <v>1.3888888888888888</v>
      </c>
      <c r="WO41" s="121">
        <f t="shared" si="59"/>
        <v>1.3888888888888888</v>
      </c>
      <c r="WP41" s="121">
        <f t="shared" si="59"/>
        <v>1.3888888888888888</v>
      </c>
      <c r="WQ41" s="121">
        <f t="shared" si="59"/>
        <v>1.3888888888888888</v>
      </c>
      <c r="WR41" s="121">
        <f t="shared" si="59"/>
        <v>1.3888888888888888</v>
      </c>
      <c r="WS41" s="121">
        <f t="shared" si="59"/>
        <v>1.3888888888888888</v>
      </c>
      <c r="WT41" s="121">
        <f t="shared" si="59"/>
        <v>1.3888888888888888</v>
      </c>
      <c r="WU41" s="121">
        <f t="shared" si="59"/>
        <v>1.3888888888888888</v>
      </c>
      <c r="WV41" s="121">
        <f t="shared" si="59"/>
        <v>1.3888888888888888</v>
      </c>
      <c r="WW41" s="121">
        <f t="shared" si="59"/>
        <v>1.3888888888888888</v>
      </c>
      <c r="WX41" s="121">
        <f t="shared" si="59"/>
        <v>1.3888888888888888</v>
      </c>
      <c r="WY41" s="121">
        <f t="shared" si="59"/>
        <v>1.3333333333333333</v>
      </c>
      <c r="WZ41" s="121">
        <f t="shared" si="59"/>
        <v>1.3333333333333333</v>
      </c>
      <c r="XA41" s="121">
        <f t="shared" si="59"/>
        <v>1.3333333333333333</v>
      </c>
      <c r="XB41" s="121">
        <f t="shared" si="59"/>
        <v>1.3888888888888888</v>
      </c>
      <c r="XC41" s="121">
        <f t="shared" si="59"/>
        <v>1.3888888888888888</v>
      </c>
      <c r="XD41" s="121">
        <f t="shared" si="59"/>
        <v>1.3888888888888888</v>
      </c>
      <c r="XE41" s="121">
        <f t="shared" si="59"/>
        <v>1.3888888888888888</v>
      </c>
      <c r="XF41" s="121">
        <f t="shared" si="59"/>
        <v>1.3888888888888888</v>
      </c>
      <c r="XG41" s="121">
        <f t="shared" si="59"/>
        <v>1.3888888888888888</v>
      </c>
      <c r="XH41" s="121">
        <f t="shared" si="59"/>
        <v>1.3888888888888888</v>
      </c>
      <c r="XI41" s="121">
        <f t="shared" si="59"/>
        <v>1.3888888888888888</v>
      </c>
      <c r="XJ41" s="121">
        <f t="shared" si="59"/>
        <v>1.3888888888888888</v>
      </c>
      <c r="XK41" s="121">
        <f t="shared" si="59"/>
        <v>1.3888888888888888</v>
      </c>
      <c r="XL41" s="121">
        <f t="shared" si="59"/>
        <v>1.3888888888888888</v>
      </c>
      <c r="XM41" s="121">
        <f t="shared" si="59"/>
        <v>1.3888888888888888</v>
      </c>
      <c r="XN41" s="121">
        <f t="shared" si="59"/>
        <v>1.3888888888888888</v>
      </c>
      <c r="XO41" s="121">
        <f t="shared" si="59"/>
        <v>1.3888888888888888</v>
      </c>
      <c r="XP41" s="121">
        <f t="shared" si="59"/>
        <v>1.4444444444444444</v>
      </c>
      <c r="XQ41" s="121">
        <f t="shared" si="59"/>
        <v>1.4444444444444444</v>
      </c>
      <c r="XR41" s="121">
        <f t="shared" si="59"/>
        <v>1.3888888888888888</v>
      </c>
      <c r="XS41" s="121">
        <f t="shared" si="59"/>
        <v>1.3888888888888888</v>
      </c>
      <c r="XT41" s="121">
        <f t="shared" si="59"/>
        <v>1.3888888888888888</v>
      </c>
      <c r="XU41" s="121">
        <f t="shared" si="59"/>
        <v>1.3333333333333333</v>
      </c>
      <c r="XV41" s="121">
        <f t="shared" si="59"/>
        <v>1.3888888888888888</v>
      </c>
      <c r="XW41" s="121">
        <f t="shared" si="59"/>
        <v>1.3888888888888888</v>
      </c>
      <c r="XX41" s="121">
        <f t="shared" si="59"/>
        <v>1.3888888888888888</v>
      </c>
      <c r="XY41" s="121">
        <f t="shared" si="59"/>
        <v>1.3333333333333333</v>
      </c>
      <c r="XZ41" s="121">
        <f t="shared" si="59"/>
        <v>1.3333333333333333</v>
      </c>
      <c r="YA41" s="121">
        <f t="shared" si="59"/>
        <v>1.3333333333333333</v>
      </c>
      <c r="YB41" s="121">
        <f t="shared" si="59"/>
        <v>1.3333333333333333</v>
      </c>
      <c r="YC41" s="121">
        <f t="shared" si="59"/>
        <v>1.3333333333333333</v>
      </c>
      <c r="YD41" s="121">
        <f t="shared" si="59"/>
        <v>1.3333333333333333</v>
      </c>
      <c r="YE41" s="121">
        <f t="shared" si="59"/>
        <v>1.3333333333333333</v>
      </c>
      <c r="YF41" s="121">
        <f t="shared" si="59"/>
        <v>1.3333333333333333</v>
      </c>
      <c r="YG41" s="121">
        <f t="shared" ref="YG41:AAR41" si="60">YG39/YG38</f>
        <v>1.3333333333333333</v>
      </c>
      <c r="YH41" s="121">
        <f t="shared" si="60"/>
        <v>1.3333333333333333</v>
      </c>
      <c r="YI41" s="121">
        <f t="shared" si="60"/>
        <v>1.3888888888888888</v>
      </c>
      <c r="YJ41" s="121">
        <f t="shared" si="60"/>
        <v>1.3888888888888888</v>
      </c>
      <c r="YK41" s="121">
        <f t="shared" si="60"/>
        <v>1.3888888888888888</v>
      </c>
      <c r="YL41" s="121">
        <f t="shared" si="60"/>
        <v>1.4444444444444444</v>
      </c>
      <c r="YM41" s="121">
        <f t="shared" si="60"/>
        <v>1.4444444444444444</v>
      </c>
      <c r="YN41" s="121">
        <f t="shared" si="60"/>
        <v>1.4444444444444444</v>
      </c>
      <c r="YO41" s="121">
        <f t="shared" si="60"/>
        <v>1.3888888888888888</v>
      </c>
      <c r="YP41" s="121">
        <f t="shared" si="60"/>
        <v>1.4444444444444444</v>
      </c>
      <c r="YQ41" s="121">
        <f t="shared" si="60"/>
        <v>1.4444444444444444</v>
      </c>
      <c r="YR41" s="121">
        <f t="shared" si="60"/>
        <v>1.3888888888888888</v>
      </c>
      <c r="YS41" s="121">
        <f t="shared" si="60"/>
        <v>1.3888888888888888</v>
      </c>
      <c r="YT41" s="121">
        <f t="shared" si="60"/>
        <v>1.3888888888888888</v>
      </c>
      <c r="YU41" s="121">
        <f t="shared" si="60"/>
        <v>1.3888888888888888</v>
      </c>
      <c r="YV41" s="121">
        <f t="shared" si="60"/>
        <v>1.3888888888888888</v>
      </c>
      <c r="YW41" s="121">
        <f t="shared" si="60"/>
        <v>1.3888888888888888</v>
      </c>
      <c r="YX41" s="121">
        <f t="shared" si="60"/>
        <v>1.3888888888888888</v>
      </c>
      <c r="YY41" s="121">
        <f t="shared" si="60"/>
        <v>1.3333333333333333</v>
      </c>
      <c r="YZ41" s="121">
        <f t="shared" si="60"/>
        <v>1.3333333333333333</v>
      </c>
      <c r="ZA41" s="121">
        <f t="shared" si="60"/>
        <v>1.3333333333333333</v>
      </c>
      <c r="ZB41" s="121">
        <f t="shared" si="60"/>
        <v>1.3333333333333333</v>
      </c>
      <c r="ZC41" s="121">
        <f t="shared" si="60"/>
        <v>1.3333333333333333</v>
      </c>
      <c r="ZD41" s="121">
        <f t="shared" si="60"/>
        <v>1.3333333333333333</v>
      </c>
      <c r="ZE41" s="121">
        <f t="shared" si="60"/>
        <v>1.3333333333333333</v>
      </c>
      <c r="ZF41" s="121">
        <f t="shared" si="60"/>
        <v>1.3888888888888888</v>
      </c>
      <c r="ZG41" s="121">
        <f t="shared" si="60"/>
        <v>1.3888888888888888</v>
      </c>
      <c r="ZH41" s="121">
        <f t="shared" si="60"/>
        <v>1.3888888888888888</v>
      </c>
      <c r="ZI41" s="121">
        <f t="shared" si="60"/>
        <v>1.4444444444444444</v>
      </c>
      <c r="ZJ41" s="121">
        <f t="shared" si="60"/>
        <v>1.4444444444444444</v>
      </c>
      <c r="ZK41" s="121">
        <f t="shared" si="60"/>
        <v>1.4444444444444444</v>
      </c>
      <c r="ZL41" s="121">
        <f t="shared" si="60"/>
        <v>1.4444444444444444</v>
      </c>
      <c r="ZM41" s="121">
        <f t="shared" si="60"/>
        <v>1.4444444444444444</v>
      </c>
      <c r="ZN41" s="121">
        <f t="shared" si="60"/>
        <v>1.4444444444444444</v>
      </c>
      <c r="ZO41" s="121">
        <f t="shared" si="60"/>
        <v>1.4444444444444444</v>
      </c>
      <c r="ZP41" s="121">
        <f t="shared" si="60"/>
        <v>1.5</v>
      </c>
      <c r="ZQ41" s="121">
        <f t="shared" si="60"/>
        <v>1.5</v>
      </c>
      <c r="ZR41" s="121">
        <f t="shared" si="60"/>
        <v>1.5</v>
      </c>
      <c r="ZS41" s="121">
        <f t="shared" si="60"/>
        <v>1.5</v>
      </c>
      <c r="ZT41" s="121">
        <f t="shared" si="60"/>
        <v>1.5</v>
      </c>
      <c r="ZU41" s="121">
        <f t="shared" si="60"/>
        <v>1.5</v>
      </c>
      <c r="ZV41" s="121">
        <f t="shared" si="60"/>
        <v>1.5</v>
      </c>
      <c r="ZW41" s="121">
        <f t="shared" si="60"/>
        <v>1.5</v>
      </c>
      <c r="ZX41" s="121">
        <f t="shared" si="60"/>
        <v>1.5</v>
      </c>
      <c r="ZY41" s="121">
        <f t="shared" si="60"/>
        <v>1.5</v>
      </c>
      <c r="ZZ41" s="121">
        <f t="shared" si="60"/>
        <v>1.5</v>
      </c>
      <c r="AAA41" s="121">
        <f t="shared" si="60"/>
        <v>1.5</v>
      </c>
      <c r="AAB41" s="121">
        <f t="shared" si="60"/>
        <v>1.4444444444444444</v>
      </c>
      <c r="AAC41" s="121">
        <f t="shared" si="60"/>
        <v>1.4444444444444444</v>
      </c>
      <c r="AAD41" s="121">
        <f t="shared" si="60"/>
        <v>1.4444444444444444</v>
      </c>
      <c r="AAE41" s="121">
        <f t="shared" si="60"/>
        <v>1.4444444444444444</v>
      </c>
      <c r="AAF41" s="121">
        <f t="shared" si="60"/>
        <v>1.4444444444444444</v>
      </c>
      <c r="AAG41" s="121">
        <f t="shared" si="60"/>
        <v>1.4444444444444444</v>
      </c>
      <c r="AAH41" s="121">
        <f t="shared" si="60"/>
        <v>1.4444444444444444</v>
      </c>
      <c r="AAI41" s="121">
        <f t="shared" si="60"/>
        <v>1.4444444444444444</v>
      </c>
      <c r="AAJ41" s="121">
        <f t="shared" si="60"/>
        <v>1.4444444444444444</v>
      </c>
      <c r="AAK41" s="121">
        <f t="shared" si="60"/>
        <v>1.4444444444444444</v>
      </c>
      <c r="AAL41" s="121">
        <f t="shared" si="60"/>
        <v>1.4444444444444444</v>
      </c>
      <c r="AAM41" s="121">
        <f t="shared" si="60"/>
        <v>1.4444444444444444</v>
      </c>
      <c r="AAN41" s="121">
        <f t="shared" si="60"/>
        <v>1.4444444444444444</v>
      </c>
      <c r="AAO41" s="121">
        <f t="shared" si="60"/>
        <v>1.4444444444444444</v>
      </c>
      <c r="AAP41" s="121">
        <f t="shared" si="60"/>
        <v>1.4444444444444444</v>
      </c>
      <c r="AAQ41" s="121">
        <f t="shared" si="60"/>
        <v>1.4444444444444444</v>
      </c>
      <c r="AAR41" s="121">
        <f t="shared" si="60"/>
        <v>1.4444444444444444</v>
      </c>
      <c r="AAS41" s="121">
        <f t="shared" ref="AAS41:ABR41" si="61">AAS39/AAS38</f>
        <v>1.5</v>
      </c>
      <c r="AAT41" s="121">
        <f t="shared" si="61"/>
        <v>1.5</v>
      </c>
      <c r="AAU41" s="121">
        <f t="shared" si="61"/>
        <v>1.5</v>
      </c>
      <c r="AAV41" s="121">
        <f t="shared" si="61"/>
        <v>1.5</v>
      </c>
      <c r="AAW41" s="121">
        <f t="shared" si="61"/>
        <v>1.5</v>
      </c>
      <c r="AAX41" s="121">
        <f t="shared" si="61"/>
        <v>1.5</v>
      </c>
      <c r="AAY41" s="121">
        <f t="shared" si="61"/>
        <v>1.5</v>
      </c>
      <c r="AAZ41" s="121">
        <f t="shared" si="61"/>
        <v>1.5</v>
      </c>
      <c r="ABA41" s="121">
        <f t="shared" si="61"/>
        <v>1.5</v>
      </c>
      <c r="ABB41" s="121">
        <f t="shared" si="61"/>
        <v>1.5</v>
      </c>
      <c r="ABC41" s="121">
        <f t="shared" si="61"/>
        <v>1.5</v>
      </c>
      <c r="ABD41" s="121">
        <f t="shared" si="61"/>
        <v>1.5</v>
      </c>
      <c r="ABE41" s="121">
        <f t="shared" si="61"/>
        <v>1.5</v>
      </c>
      <c r="ABF41" s="121">
        <f t="shared" si="61"/>
        <v>1.5</v>
      </c>
      <c r="ABG41" s="121">
        <f t="shared" si="61"/>
        <v>1.5</v>
      </c>
      <c r="ABH41" s="121">
        <f t="shared" si="61"/>
        <v>1.5</v>
      </c>
      <c r="ABI41" s="121">
        <f t="shared" si="61"/>
        <v>1.5</v>
      </c>
      <c r="ABJ41" s="121">
        <f t="shared" si="61"/>
        <v>1.5</v>
      </c>
      <c r="ABK41" s="121">
        <f t="shared" si="61"/>
        <v>1.5</v>
      </c>
      <c r="ABL41" s="121">
        <f t="shared" si="61"/>
        <v>1.5</v>
      </c>
      <c r="ABM41" s="121">
        <f t="shared" si="61"/>
        <v>1.5</v>
      </c>
      <c r="ABN41" s="121">
        <f t="shared" si="61"/>
        <v>1.5</v>
      </c>
      <c r="ABO41" s="121">
        <f t="shared" si="61"/>
        <v>1.5</v>
      </c>
      <c r="ABP41" s="121">
        <f t="shared" si="61"/>
        <v>1.5</v>
      </c>
      <c r="ABQ41" s="121">
        <f t="shared" si="61"/>
        <v>1.5</v>
      </c>
      <c r="ABR41" s="121">
        <f t="shared" si="61"/>
        <v>1.5</v>
      </c>
    </row>
    <row r="42" spans="1:1822" customFormat="1" x14ac:dyDescent="0.3">
      <c r="A42" s="2"/>
      <c r="B42" s="2"/>
      <c r="C42" s="37"/>
      <c r="D42" s="122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23"/>
      <c r="Q42" s="23">
        <f>COUNTIF(A4:A38,"*")</f>
        <v>0</v>
      </c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  <c r="KO42" s="37"/>
      <c r="KP42" s="37"/>
      <c r="KQ42" s="37"/>
      <c r="KR42" s="37"/>
      <c r="KS42" s="37"/>
      <c r="KT42" s="37"/>
      <c r="KU42" s="37"/>
      <c r="KV42" s="37"/>
      <c r="KW42" s="37"/>
      <c r="KX42" s="37"/>
      <c r="KY42" s="37"/>
      <c r="KZ42" s="37"/>
      <c r="LA42" s="37"/>
      <c r="LB42" s="37"/>
      <c r="LC42" s="37"/>
      <c r="LD42" s="37"/>
      <c r="LE42" s="37"/>
      <c r="LF42" s="37"/>
      <c r="LG42" s="37"/>
      <c r="LH42" s="37"/>
      <c r="LI42" s="37"/>
      <c r="LJ42" s="37"/>
      <c r="LK42" s="37"/>
      <c r="LL42" s="37"/>
      <c r="LM42" s="37"/>
      <c r="LN42" s="37"/>
      <c r="LO42" s="37"/>
      <c r="LP42" s="37"/>
      <c r="LQ42" s="37"/>
      <c r="LR42" s="37"/>
      <c r="LS42" s="37"/>
      <c r="LT42" s="37"/>
      <c r="LU42" s="37"/>
      <c r="LV42" s="37"/>
      <c r="LW42" s="37"/>
      <c r="LX42" s="37"/>
      <c r="LY42" s="37"/>
      <c r="LZ42" s="37"/>
      <c r="MA42" s="37"/>
      <c r="MB42" s="37"/>
      <c r="MC42" s="37"/>
      <c r="MD42" s="37"/>
      <c r="ME42" s="37"/>
      <c r="MF42" s="37"/>
      <c r="MG42" s="37"/>
      <c r="MH42" s="37"/>
      <c r="MI42" s="37"/>
      <c r="MJ42" s="37"/>
      <c r="MK42" s="37"/>
      <c r="ML42" s="37"/>
      <c r="MM42" s="37"/>
      <c r="MN42" s="37"/>
      <c r="MO42" s="37"/>
      <c r="MP42" s="37"/>
      <c r="MQ42" s="37"/>
      <c r="MR42" s="37"/>
      <c r="MS42" s="37"/>
      <c r="MT42" s="37"/>
      <c r="MU42" s="37"/>
      <c r="MV42" s="37"/>
      <c r="MW42" s="37"/>
      <c r="MX42" s="37"/>
      <c r="MY42" s="37"/>
      <c r="MZ42" s="37"/>
      <c r="NA42" s="37"/>
      <c r="NB42" s="37"/>
      <c r="NC42" s="37"/>
      <c r="ND42" s="37"/>
      <c r="NE42" s="37"/>
      <c r="NF42" s="37"/>
      <c r="NG42" s="37"/>
      <c r="NH42" s="37"/>
      <c r="NI42" s="37"/>
      <c r="NJ42" s="37"/>
      <c r="NK42" s="37"/>
      <c r="NL42" s="37"/>
      <c r="NM42" s="37"/>
      <c r="NN42" s="37"/>
      <c r="NO42" s="37"/>
      <c r="NP42" s="37"/>
      <c r="NQ42" s="37"/>
      <c r="NR42" s="37"/>
      <c r="NS42" s="37"/>
      <c r="NT42" s="37"/>
      <c r="NU42" s="37"/>
      <c r="NV42" s="37"/>
      <c r="NW42" s="37"/>
      <c r="NX42" s="37"/>
      <c r="NY42" s="37"/>
      <c r="NZ42" s="37"/>
      <c r="OA42" s="37"/>
      <c r="OB42" s="37"/>
      <c r="OC42" s="37"/>
      <c r="OD42" s="37"/>
      <c r="OE42" s="37"/>
      <c r="OF42" s="37"/>
      <c r="OG42" s="37"/>
      <c r="OH42" s="37"/>
      <c r="OI42" s="37"/>
      <c r="OJ42" s="37"/>
      <c r="OK42" s="37"/>
      <c r="OL42" s="37"/>
      <c r="OM42" s="37"/>
      <c r="ON42" s="37"/>
      <c r="OO42" s="37"/>
      <c r="OP42" s="37"/>
      <c r="OQ42" s="37"/>
      <c r="OR42" s="37"/>
      <c r="OS42" s="37"/>
      <c r="OT42" s="37"/>
      <c r="OU42" s="37"/>
      <c r="OV42" s="37"/>
      <c r="OW42" s="37"/>
      <c r="OX42" s="37"/>
      <c r="OY42" s="37"/>
      <c r="OZ42" s="37"/>
      <c r="PA42" s="37"/>
      <c r="PB42" s="37"/>
      <c r="PC42" s="37"/>
      <c r="PD42" s="37"/>
      <c r="PE42" s="37"/>
      <c r="PF42" s="37"/>
      <c r="PG42" s="37"/>
      <c r="PH42" s="37"/>
      <c r="PI42" s="37"/>
      <c r="PJ42" s="37"/>
      <c r="PK42" s="37"/>
      <c r="PL42" s="37"/>
      <c r="PM42" s="37"/>
      <c r="PN42" s="37"/>
      <c r="PO42" s="37"/>
      <c r="PP42" s="37"/>
      <c r="PQ42" s="37"/>
      <c r="PR42" s="37"/>
      <c r="PS42" s="37"/>
      <c r="PT42" s="37"/>
      <c r="PU42" s="37"/>
      <c r="PV42" s="37"/>
      <c r="PW42" s="37"/>
      <c r="PX42" s="37"/>
      <c r="PY42" s="37"/>
      <c r="PZ42" s="37"/>
      <c r="QA42" s="37"/>
      <c r="QB42" s="37"/>
      <c r="QC42" s="37"/>
      <c r="QD42" s="37"/>
      <c r="QE42" s="37"/>
      <c r="QF42" s="37"/>
      <c r="QG42" s="37"/>
      <c r="QH42" s="37"/>
      <c r="QI42" s="37"/>
      <c r="QJ42" s="37"/>
      <c r="QK42" s="37"/>
      <c r="QL42" s="37"/>
      <c r="QM42" s="37"/>
      <c r="QN42" s="37"/>
      <c r="QO42" s="37"/>
      <c r="QP42" s="37"/>
      <c r="QQ42" s="37"/>
      <c r="QR42" s="37"/>
      <c r="QS42" s="37"/>
      <c r="QT42" s="37"/>
      <c r="QU42" s="37"/>
      <c r="QV42" s="37"/>
      <c r="QW42" s="37"/>
      <c r="QX42" s="37"/>
      <c r="QY42" s="37"/>
      <c r="QZ42" s="37"/>
      <c r="RA42" s="37"/>
      <c r="RB42" s="37"/>
      <c r="RC42" s="37"/>
      <c r="RD42" s="37"/>
      <c r="RE42" s="37"/>
      <c r="RF42" s="37"/>
      <c r="RG42" s="37"/>
      <c r="RH42" s="37"/>
      <c r="RI42" s="37"/>
      <c r="RJ42" s="37"/>
      <c r="RK42" s="37"/>
      <c r="RL42" s="37"/>
      <c r="RM42" s="37"/>
      <c r="RN42" s="37"/>
      <c r="RO42" s="37"/>
      <c r="RP42" s="37"/>
      <c r="RQ42" s="37"/>
      <c r="RR42" s="37"/>
      <c r="RS42" s="37"/>
      <c r="RT42" s="37"/>
      <c r="RU42" s="37"/>
      <c r="RV42" s="37"/>
      <c r="RW42" s="37"/>
      <c r="RX42" s="37"/>
      <c r="RY42" s="37"/>
      <c r="RZ42" s="37"/>
      <c r="SA42" s="37"/>
      <c r="SB42" s="37"/>
      <c r="SC42" s="37"/>
      <c r="SD42" s="37"/>
      <c r="SE42" s="37"/>
      <c r="SF42" s="37"/>
      <c r="SG42" s="37"/>
      <c r="SH42" s="37"/>
      <c r="SI42" s="37"/>
      <c r="SJ42" s="37"/>
      <c r="SK42" s="37"/>
      <c r="SL42" s="37"/>
      <c r="SM42" s="37"/>
      <c r="SN42" s="37"/>
      <c r="SO42" s="37"/>
      <c r="SP42" s="37"/>
      <c r="SQ42" s="37"/>
      <c r="SR42" s="37"/>
      <c r="SS42" s="37"/>
      <c r="ST42" s="37"/>
      <c r="SU42" s="37"/>
      <c r="SV42" s="37"/>
      <c r="SW42" s="37"/>
      <c r="SX42" s="37"/>
      <c r="SY42" s="37"/>
      <c r="SZ42" s="37"/>
      <c r="TA42" s="37"/>
      <c r="TB42" s="37"/>
      <c r="TC42" s="37"/>
      <c r="TD42" s="37"/>
      <c r="TE42" s="37"/>
      <c r="TF42" s="37"/>
      <c r="TG42" s="37"/>
      <c r="TH42" s="37"/>
      <c r="TI42" s="37"/>
      <c r="TJ42" s="37"/>
      <c r="TK42" s="37"/>
      <c r="TL42" s="37"/>
      <c r="TM42" s="37"/>
      <c r="TN42" s="37"/>
      <c r="TO42" s="37"/>
      <c r="TP42" s="37"/>
      <c r="TQ42" s="37"/>
      <c r="TR42" s="37"/>
      <c r="TS42" s="37"/>
      <c r="TT42" s="37"/>
      <c r="TU42" s="37"/>
      <c r="TV42" s="37"/>
      <c r="TW42" s="37"/>
      <c r="TX42" s="37"/>
      <c r="TY42" s="37"/>
      <c r="TZ42" s="37"/>
      <c r="UA42" s="37"/>
      <c r="UB42" s="37"/>
      <c r="UC42" s="37"/>
      <c r="UD42" s="37"/>
      <c r="UE42" s="37"/>
      <c r="UF42" s="37"/>
      <c r="UG42" s="37"/>
      <c r="UH42" s="37"/>
      <c r="UI42" s="37"/>
      <c r="UJ42" s="37"/>
      <c r="UK42" s="37"/>
      <c r="UL42" s="37"/>
      <c r="UM42" s="37"/>
      <c r="UN42" s="37"/>
      <c r="UO42" s="37"/>
      <c r="UP42" s="37"/>
      <c r="UQ42" s="37"/>
      <c r="UR42" s="37"/>
      <c r="US42" s="37"/>
      <c r="UT42" s="37"/>
      <c r="UU42" s="37"/>
      <c r="UV42" s="37"/>
      <c r="UW42" s="37"/>
      <c r="UX42" s="37"/>
      <c r="UY42" s="37"/>
      <c r="UZ42" s="37"/>
      <c r="VA42" s="37"/>
      <c r="VB42" s="37"/>
      <c r="VC42" s="37"/>
      <c r="VD42" s="37"/>
      <c r="VE42" s="37"/>
      <c r="VF42" s="37"/>
      <c r="VG42" s="37"/>
      <c r="VH42" s="37"/>
      <c r="VI42" s="37"/>
      <c r="VJ42" s="37"/>
      <c r="VK42" s="37"/>
      <c r="VL42" s="37"/>
      <c r="VM42" s="37"/>
      <c r="VN42" s="37"/>
      <c r="VO42" s="37"/>
      <c r="VP42" s="37"/>
      <c r="VQ42" s="37"/>
      <c r="VR42" s="37"/>
      <c r="VS42" s="37"/>
      <c r="VT42" s="37"/>
      <c r="VU42" s="37"/>
      <c r="VV42" s="37"/>
      <c r="VW42" s="37"/>
      <c r="VX42" s="37"/>
      <c r="VY42" s="37"/>
      <c r="VZ42" s="37"/>
      <c r="WA42" s="37"/>
      <c r="WB42" s="37"/>
      <c r="WC42" s="37"/>
      <c r="WD42" s="37"/>
      <c r="WE42" s="37"/>
      <c r="WF42" s="37"/>
      <c r="WG42" s="37"/>
      <c r="WH42" s="37"/>
      <c r="WI42" s="37"/>
      <c r="WJ42" s="37"/>
      <c r="WK42" s="37"/>
      <c r="WL42" s="37"/>
      <c r="WM42" s="37"/>
      <c r="WN42" s="37"/>
      <c r="WO42" s="37"/>
      <c r="WP42" s="37"/>
      <c r="WQ42" s="37"/>
      <c r="WR42" s="37"/>
      <c r="WS42" s="37"/>
      <c r="WT42" s="37"/>
      <c r="WU42" s="37"/>
      <c r="WV42" s="37"/>
      <c r="WW42" s="37"/>
      <c r="WX42" s="37"/>
      <c r="WY42" s="37"/>
      <c r="WZ42" s="37"/>
      <c r="XA42" s="37"/>
      <c r="XB42" s="37"/>
      <c r="XC42" s="37"/>
      <c r="XD42" s="37"/>
      <c r="XE42" s="37"/>
      <c r="XF42" s="37"/>
      <c r="XG42" s="37"/>
      <c r="XH42" s="37"/>
      <c r="XI42" s="37"/>
      <c r="XJ42" s="37"/>
      <c r="XK42" s="37"/>
      <c r="XL42" s="37"/>
      <c r="XM42" s="37"/>
      <c r="XN42" s="37"/>
      <c r="XO42" s="37"/>
      <c r="XP42" s="37"/>
      <c r="XQ42" s="37"/>
      <c r="XR42" s="37"/>
      <c r="XS42" s="37"/>
      <c r="XT42" s="37"/>
      <c r="XU42" s="37"/>
      <c r="XV42" s="37"/>
      <c r="XW42" s="37"/>
      <c r="XX42" s="37"/>
      <c r="XY42" s="37"/>
      <c r="XZ42" s="37"/>
      <c r="YA42" s="37"/>
      <c r="YB42" s="37"/>
      <c r="YC42" s="37"/>
      <c r="YD42" s="37"/>
      <c r="YE42" s="37"/>
      <c r="YF42" s="37"/>
      <c r="YG42" s="37"/>
      <c r="YH42" s="37"/>
      <c r="YI42" s="37"/>
      <c r="YJ42" s="37"/>
      <c r="YK42" s="37"/>
      <c r="YL42" s="37"/>
      <c r="YM42" s="37"/>
      <c r="YN42" s="37"/>
      <c r="YO42" s="37"/>
      <c r="YP42" s="37"/>
      <c r="YQ42" s="37"/>
      <c r="YR42" s="37"/>
      <c r="YS42" s="37"/>
      <c r="YT42" s="37"/>
      <c r="YU42" s="37"/>
      <c r="YV42" s="37"/>
      <c r="YW42" s="37"/>
      <c r="YX42" s="37"/>
      <c r="YY42" s="37"/>
      <c r="YZ42" s="37"/>
      <c r="ZA42" s="37"/>
      <c r="ZB42" s="37"/>
      <c r="ZC42" s="37"/>
      <c r="ZD42" s="37"/>
      <c r="ZE42" s="37"/>
      <c r="ZF42" s="37"/>
      <c r="ZG42" s="37"/>
      <c r="ZH42" s="37"/>
      <c r="ZI42" s="37"/>
      <c r="ZJ42" s="37"/>
      <c r="ZK42" s="37"/>
      <c r="ZL42" s="37"/>
      <c r="ZM42" s="37"/>
      <c r="ZN42" s="37"/>
      <c r="ZO42" s="37"/>
      <c r="ZP42" s="37"/>
      <c r="ZQ42" s="37"/>
      <c r="ZR42" s="37"/>
      <c r="ZS42" s="37"/>
      <c r="ZT42" s="37"/>
      <c r="ZU42" s="37"/>
      <c r="ZV42" s="37"/>
      <c r="ZW42" s="37"/>
      <c r="ZX42" s="37"/>
      <c r="ZY42" s="37"/>
      <c r="ZZ42" s="37"/>
      <c r="AAA42" s="37"/>
      <c r="AAB42" s="37"/>
      <c r="AAC42" s="37"/>
      <c r="AAD42" s="37"/>
      <c r="AAE42" s="37"/>
      <c r="AAF42" s="37"/>
      <c r="AAG42" s="37"/>
      <c r="AAH42" s="37"/>
      <c r="AAI42" s="37"/>
      <c r="AAJ42" s="37"/>
      <c r="AAK42" s="37"/>
      <c r="AAL42" s="37"/>
      <c r="AAM42" s="37"/>
      <c r="AAN42" s="37"/>
      <c r="AAO42" s="37"/>
      <c r="AAP42" s="37"/>
      <c r="AAQ42" s="37"/>
      <c r="AAR42" s="37"/>
      <c r="AAS42" s="37"/>
      <c r="AAT42" s="37"/>
      <c r="AAU42" s="37"/>
      <c r="AAV42" s="37"/>
      <c r="AAW42" s="37"/>
      <c r="AAX42" s="37"/>
      <c r="AAY42" s="37"/>
      <c r="AAZ42" s="37"/>
      <c r="ABA42" s="37"/>
      <c r="ABB42" s="37"/>
      <c r="ABC42" s="37"/>
      <c r="ABD42" s="37"/>
      <c r="ABE42" s="37"/>
      <c r="ABF42" s="37"/>
      <c r="ABG42" s="37"/>
      <c r="ABH42" s="37"/>
      <c r="ABI42" s="37"/>
      <c r="ABJ42" s="37"/>
      <c r="ABK42" s="37"/>
      <c r="ABL42" s="37"/>
      <c r="ABM42" s="37"/>
      <c r="ABN42" s="37"/>
      <c r="ABO42" s="37"/>
      <c r="ABP42" s="37"/>
      <c r="ABQ42" s="37"/>
      <c r="ABR42" s="37"/>
    </row>
    <row r="43" spans="1:1822" customFormat="1" x14ac:dyDescent="0.3">
      <c r="A43" s="123"/>
      <c r="B43" s="234" t="s">
        <v>68</v>
      </c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</row>
    <row r="44" spans="1:1822" customFormat="1" x14ac:dyDescent="0.3">
      <c r="A44" s="2"/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</row>
    <row r="45" spans="1:1822" customFormat="1" x14ac:dyDescent="0.3">
      <c r="A45" s="2"/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</row>
    <row r="46" spans="1:1822" customFormat="1" x14ac:dyDescent="0.3">
      <c r="A46" s="124"/>
      <c r="B46" s="235" t="s">
        <v>69</v>
      </c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</row>
    <row r="47" spans="1:1822" customFormat="1" ht="30" customHeight="1" x14ac:dyDescent="0.3">
      <c r="A47" s="125"/>
      <c r="B47" s="126"/>
      <c r="C47" s="127" t="s">
        <v>3</v>
      </c>
      <c r="D47" s="128" t="s">
        <v>4</v>
      </c>
      <c r="E47" s="128" t="s">
        <v>70</v>
      </c>
      <c r="F47" s="128" t="s">
        <v>71</v>
      </c>
      <c r="G47" s="128" t="s">
        <v>72</v>
      </c>
      <c r="H47" s="129" t="s">
        <v>11</v>
      </c>
      <c r="I47" s="128" t="s">
        <v>73</v>
      </c>
      <c r="J47" s="128" t="s">
        <v>74</v>
      </c>
      <c r="K47" s="236" t="s">
        <v>75</v>
      </c>
      <c r="L47" s="236"/>
      <c r="M47" s="236"/>
      <c r="N47" s="236"/>
      <c r="O47" s="236"/>
      <c r="P47" s="236"/>
    </row>
    <row r="48" spans="1:1822" customFormat="1" x14ac:dyDescent="0.3">
      <c r="A48" s="130"/>
      <c r="B48" s="19"/>
      <c r="C48" s="20"/>
      <c r="D48" s="20"/>
      <c r="E48" s="21"/>
      <c r="F48" s="21"/>
      <c r="G48" s="21"/>
      <c r="H48" s="22"/>
      <c r="I48" s="192"/>
      <c r="J48" s="192"/>
      <c r="K48" s="23"/>
      <c r="L48" s="185"/>
      <c r="M48" s="185"/>
      <c r="N48" s="190"/>
      <c r="O48" s="190"/>
      <c r="P48" s="24"/>
    </row>
    <row r="49" spans="1:1822" customFormat="1" x14ac:dyDescent="0.3">
      <c r="A49" s="130"/>
      <c r="B49" s="130"/>
      <c r="C49" s="131"/>
      <c r="D49" s="131"/>
      <c r="E49" s="131"/>
      <c r="F49" s="131"/>
      <c r="G49" s="131"/>
      <c r="H49" s="131"/>
      <c r="I49" s="131"/>
      <c r="J49" s="131"/>
      <c r="K49" s="132"/>
      <c r="L49" s="132"/>
      <c r="M49" s="132"/>
      <c r="N49" s="132"/>
      <c r="O49" s="132"/>
      <c r="P49" s="133"/>
    </row>
    <row r="50" spans="1:1822" customFormat="1" ht="16.5" customHeight="1" x14ac:dyDescent="0.3">
      <c r="A50" s="123"/>
      <c r="B50" s="123"/>
      <c r="C50" s="82"/>
      <c r="D50" s="82"/>
      <c r="E50" s="21"/>
      <c r="F50" s="57"/>
      <c r="G50" s="123"/>
      <c r="H50" s="123"/>
      <c r="I50" s="134"/>
      <c r="J50" s="134"/>
      <c r="K50" s="232"/>
      <c r="L50" s="232"/>
      <c r="M50" s="232"/>
      <c r="N50" s="232"/>
      <c r="O50" s="232"/>
      <c r="P50" s="232"/>
    </row>
    <row r="51" spans="1:1822" customFormat="1" ht="15" customHeight="1" x14ac:dyDescent="0.3">
      <c r="A51" s="2"/>
      <c r="B51" s="2"/>
      <c r="C51" s="38"/>
      <c r="D51" s="38"/>
      <c r="E51" s="135"/>
      <c r="F51" s="135"/>
      <c r="G51" s="135"/>
      <c r="H51" s="2"/>
      <c r="I51" s="136"/>
      <c r="J51" s="136"/>
      <c r="K51" s="232"/>
      <c r="L51" s="232"/>
      <c r="M51" s="232"/>
      <c r="N51" s="232"/>
      <c r="O51" s="232"/>
      <c r="P51" s="232"/>
    </row>
    <row r="52" spans="1:1822" customFormat="1" ht="15" customHeight="1" x14ac:dyDescent="0.3">
      <c r="A52" s="2"/>
      <c r="B52" s="2"/>
      <c r="C52" s="38"/>
      <c r="D52" s="38"/>
      <c r="E52" s="21"/>
      <c r="F52" s="21"/>
      <c r="G52" s="21"/>
      <c r="H52" s="22"/>
      <c r="I52" s="136"/>
      <c r="J52" s="136"/>
      <c r="K52" s="232"/>
      <c r="L52" s="232"/>
      <c r="M52" s="232"/>
      <c r="N52" s="232"/>
      <c r="O52" s="232"/>
      <c r="P52" s="232"/>
    </row>
    <row r="53" spans="1:1822" customFormat="1" x14ac:dyDescent="0.3">
      <c r="A53" s="2"/>
      <c r="B53" s="2"/>
      <c r="C53" s="38"/>
      <c r="D53" s="38"/>
      <c r="E53" s="137"/>
      <c r="F53" s="22"/>
      <c r="G53" s="22"/>
      <c r="H53" s="2"/>
      <c r="I53" s="136"/>
      <c r="J53" s="136"/>
      <c r="K53" s="232"/>
      <c r="L53" s="232"/>
      <c r="M53" s="232"/>
      <c r="N53" s="232"/>
      <c r="O53" s="232"/>
      <c r="P53" s="232"/>
    </row>
    <row r="54" spans="1:1822" customFormat="1" x14ac:dyDescent="0.3">
      <c r="A54" s="2"/>
      <c r="B54" s="2"/>
      <c r="C54" s="38"/>
      <c r="D54" s="38"/>
      <c r="E54" s="137"/>
      <c r="F54" s="137"/>
      <c r="G54" s="137"/>
      <c r="H54" s="2"/>
      <c r="I54" s="136"/>
      <c r="J54" s="136"/>
      <c r="K54" s="232"/>
      <c r="L54" s="232"/>
      <c r="M54" s="232"/>
      <c r="N54" s="232"/>
      <c r="O54" s="232"/>
      <c r="P54" s="232"/>
    </row>
    <row r="55" spans="1:1822" customFormat="1" ht="15" customHeight="1" x14ac:dyDescent="0.3">
      <c r="A55" s="2"/>
      <c r="B55" s="2"/>
      <c r="C55" s="38"/>
      <c r="D55" s="38"/>
      <c r="E55" s="137"/>
      <c r="F55" s="137"/>
      <c r="G55" s="137"/>
      <c r="H55" s="2"/>
      <c r="I55" s="136"/>
      <c r="J55" s="138"/>
      <c r="K55" s="232"/>
      <c r="L55" s="232"/>
      <c r="M55" s="232"/>
      <c r="N55" s="232"/>
      <c r="O55" s="232"/>
      <c r="P55" s="232"/>
    </row>
    <row r="56" spans="1:1822" customFormat="1" x14ac:dyDescent="0.3">
      <c r="A56" s="2"/>
      <c r="B56" s="2"/>
      <c r="C56" s="53"/>
      <c r="D56" s="53"/>
      <c r="E56" s="137"/>
      <c r="F56" s="137"/>
      <c r="G56" s="137"/>
      <c r="H56" s="2"/>
      <c r="I56" s="136"/>
      <c r="J56" s="136"/>
      <c r="K56" s="232"/>
      <c r="L56" s="232"/>
      <c r="M56" s="232"/>
      <c r="N56" s="232"/>
      <c r="O56" s="232"/>
      <c r="P56" s="232"/>
    </row>
    <row r="57" spans="1:1822" s="139" customFormat="1" ht="15" customHeight="1" x14ac:dyDescent="0.3">
      <c r="A57" s="2"/>
      <c r="B57" s="2"/>
      <c r="C57" s="53"/>
      <c r="D57" s="53"/>
      <c r="E57" s="137"/>
      <c r="F57" s="137"/>
      <c r="G57" s="137"/>
      <c r="H57" s="2"/>
      <c r="I57" s="136"/>
      <c r="J57" s="136"/>
      <c r="K57" s="232"/>
      <c r="L57" s="232"/>
      <c r="M57" s="232"/>
      <c r="N57" s="232"/>
      <c r="O57" s="232"/>
      <c r="P57" s="232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</row>
    <row r="58" spans="1:1822" s="139" customFormat="1" ht="15" customHeight="1" x14ac:dyDescent="0.3">
      <c r="A58" s="2"/>
      <c r="B58" s="2"/>
      <c r="C58" s="53"/>
      <c r="D58" s="53"/>
      <c r="E58" s="137"/>
      <c r="F58" s="137"/>
      <c r="G58" s="137"/>
      <c r="H58" s="2"/>
      <c r="I58" s="136"/>
      <c r="J58" s="136"/>
      <c r="K58" s="232"/>
      <c r="L58" s="232"/>
      <c r="M58" s="232"/>
      <c r="N58" s="232"/>
      <c r="O58" s="232"/>
      <c r="P58" s="232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</row>
    <row r="59" spans="1:1822" s="139" customFormat="1" ht="15" customHeight="1" x14ac:dyDescent="0.3">
      <c r="A59" s="2"/>
      <c r="B59" s="2"/>
      <c r="C59" s="53"/>
      <c r="D59" s="53"/>
      <c r="E59" s="137"/>
      <c r="F59" s="137"/>
      <c r="G59" s="137"/>
      <c r="H59" s="2"/>
      <c r="I59" s="136"/>
      <c r="J59" s="136"/>
      <c r="K59" s="232"/>
      <c r="L59" s="232"/>
      <c r="M59" s="232"/>
      <c r="N59" s="232"/>
      <c r="O59" s="232"/>
      <c r="P59" s="232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</row>
    <row r="60" spans="1:1822" customFormat="1" x14ac:dyDescent="0.3">
      <c r="A60" s="2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</row>
    <row r="61" spans="1:1822" customFormat="1" ht="21" x14ac:dyDescent="0.3">
      <c r="A61" s="123"/>
      <c r="B61" s="3"/>
      <c r="H61" s="140"/>
      <c r="I61" s="141" t="s">
        <v>76</v>
      </c>
      <c r="J61" s="142"/>
      <c r="P61" s="4"/>
    </row>
    <row r="62" spans="1:1822" customFormat="1" ht="47.25" customHeight="1" x14ac:dyDescent="0.65">
      <c r="A62" s="124"/>
      <c r="B62" s="3"/>
      <c r="H62" s="140"/>
      <c r="I62" s="143"/>
      <c r="J62" s="142"/>
      <c r="P62" s="4"/>
      <c r="Q62" s="231">
        <v>45505</v>
      </c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231"/>
      <c r="AL62" s="231"/>
      <c r="AM62" s="231"/>
      <c r="AN62" s="231"/>
      <c r="AO62" s="231"/>
      <c r="AP62" s="231"/>
      <c r="AQ62" s="231"/>
      <c r="AR62" s="231"/>
      <c r="AS62" s="231"/>
      <c r="AT62" s="231"/>
      <c r="AU62" s="231"/>
      <c r="AV62" s="227">
        <v>45536</v>
      </c>
      <c r="AW62" s="227"/>
      <c r="AX62" s="227"/>
      <c r="AY62" s="227"/>
      <c r="AZ62" s="227"/>
      <c r="BA62" s="227"/>
      <c r="BB62" s="227"/>
      <c r="BC62" s="227"/>
      <c r="BD62" s="227"/>
      <c r="BE62" s="227"/>
      <c r="BF62" s="227"/>
      <c r="BG62" s="227"/>
      <c r="BH62" s="227"/>
      <c r="BI62" s="227"/>
      <c r="BJ62" s="227"/>
      <c r="BK62" s="227"/>
      <c r="BL62" s="227"/>
      <c r="BM62" s="227"/>
      <c r="BN62" s="227"/>
      <c r="BO62" s="227"/>
      <c r="BP62" s="227"/>
      <c r="BQ62" s="227"/>
      <c r="BR62" s="227"/>
      <c r="BS62" s="227"/>
      <c r="BT62" s="227"/>
      <c r="BU62" s="227"/>
      <c r="BV62" s="227"/>
      <c r="BW62" s="227"/>
      <c r="BX62" s="227"/>
      <c r="BY62" s="227"/>
      <c r="BZ62" s="231">
        <v>45566</v>
      </c>
      <c r="CA62" s="231"/>
      <c r="CB62" s="231"/>
      <c r="CC62" s="231"/>
      <c r="CD62" s="231"/>
      <c r="CE62" s="231"/>
      <c r="CF62" s="231"/>
      <c r="CG62" s="231"/>
      <c r="CH62" s="231"/>
      <c r="CI62" s="231"/>
      <c r="CJ62" s="231"/>
      <c r="CK62" s="231"/>
      <c r="CL62" s="231"/>
      <c r="CM62" s="231"/>
      <c r="CN62" s="231"/>
      <c r="CO62" s="231"/>
      <c r="CP62" s="231"/>
      <c r="CQ62" s="231"/>
      <c r="CR62" s="231"/>
      <c r="CS62" s="231"/>
      <c r="CT62" s="231"/>
      <c r="CU62" s="231"/>
      <c r="CV62" s="231"/>
      <c r="CW62" s="231"/>
      <c r="CX62" s="231"/>
      <c r="CY62" s="231"/>
      <c r="CZ62" s="231"/>
      <c r="DA62" s="231"/>
      <c r="DB62" s="231"/>
      <c r="DC62" s="231"/>
      <c r="DD62" s="231"/>
      <c r="DE62" s="230">
        <v>45597</v>
      </c>
      <c r="DF62" s="230"/>
      <c r="DG62" s="230"/>
      <c r="DH62" s="230"/>
      <c r="DI62" s="230"/>
      <c r="DJ62" s="230"/>
      <c r="DK62" s="230"/>
      <c r="DL62" s="230"/>
      <c r="DM62" s="230"/>
      <c r="DN62" s="230"/>
      <c r="DO62" s="230"/>
      <c r="DP62" s="230"/>
      <c r="DQ62" s="230"/>
      <c r="DR62" s="230"/>
      <c r="DS62" s="230"/>
      <c r="DT62" s="230"/>
      <c r="DU62" s="230"/>
      <c r="DV62" s="230"/>
      <c r="DW62" s="230"/>
      <c r="DX62" s="230"/>
      <c r="DY62" s="230"/>
      <c r="DZ62" s="230"/>
      <c r="EA62" s="230"/>
      <c r="EB62" s="230"/>
      <c r="EC62" s="230"/>
      <c r="ED62" s="230"/>
      <c r="EE62" s="230"/>
      <c r="EF62" s="230"/>
      <c r="EG62" s="230"/>
      <c r="EH62" s="230"/>
      <c r="EI62" s="231">
        <v>45627</v>
      </c>
      <c r="EJ62" s="231"/>
      <c r="EK62" s="231"/>
      <c r="EL62" s="231"/>
      <c r="EM62" s="231"/>
      <c r="EN62" s="231"/>
      <c r="EO62" s="231"/>
      <c r="EP62" s="231"/>
      <c r="EQ62" s="231"/>
      <c r="ER62" s="231"/>
      <c r="ES62" s="231"/>
      <c r="ET62" s="231"/>
      <c r="EU62" s="231"/>
      <c r="EV62" s="231"/>
      <c r="EW62" s="231"/>
      <c r="EX62" s="231"/>
      <c r="EY62" s="231"/>
      <c r="EZ62" s="231"/>
      <c r="FA62" s="231"/>
      <c r="FB62" s="231"/>
      <c r="FC62" s="231"/>
      <c r="FD62" s="231"/>
      <c r="FE62" s="231"/>
      <c r="FF62" s="231"/>
      <c r="FG62" s="231"/>
      <c r="FH62" s="231"/>
      <c r="FI62" s="231"/>
      <c r="FJ62" s="231"/>
      <c r="FK62" s="231"/>
      <c r="FL62" s="231"/>
      <c r="FM62" s="231"/>
      <c r="FN62" s="230">
        <v>45658</v>
      </c>
      <c r="FO62" s="230"/>
      <c r="FP62" s="230"/>
      <c r="FQ62" s="230"/>
      <c r="FR62" s="230"/>
      <c r="FS62" s="230"/>
      <c r="FT62" s="230"/>
      <c r="FU62" s="230"/>
      <c r="FV62" s="230"/>
      <c r="FW62" s="230"/>
      <c r="FX62" s="230"/>
      <c r="FY62" s="230"/>
      <c r="FZ62" s="230"/>
      <c r="GA62" s="230"/>
      <c r="GB62" s="230"/>
      <c r="GC62" s="230"/>
      <c r="GD62" s="230"/>
      <c r="GE62" s="230"/>
      <c r="GF62" s="230"/>
      <c r="GG62" s="230"/>
      <c r="GH62" s="230"/>
      <c r="GI62" s="230"/>
      <c r="GJ62" s="230"/>
      <c r="GK62" s="230"/>
      <c r="GL62" s="230"/>
      <c r="GM62" s="230"/>
      <c r="GN62" s="230"/>
      <c r="GO62" s="230"/>
      <c r="GP62" s="230"/>
      <c r="GQ62" s="230"/>
      <c r="GR62" s="230"/>
      <c r="GS62" s="226">
        <v>45689</v>
      </c>
      <c r="GT62" s="226"/>
      <c r="GU62" s="226"/>
      <c r="GV62" s="226"/>
      <c r="GW62" s="226"/>
      <c r="GX62" s="226"/>
      <c r="GY62" s="226"/>
      <c r="GZ62" s="226"/>
      <c r="HA62" s="226"/>
      <c r="HB62" s="226"/>
      <c r="HC62" s="226"/>
      <c r="HD62" s="226"/>
      <c r="HE62" s="226"/>
      <c r="HF62" s="226"/>
      <c r="HG62" s="226"/>
      <c r="HH62" s="226"/>
      <c r="HI62" s="226"/>
      <c r="HJ62" s="226"/>
      <c r="HK62" s="226"/>
      <c r="HL62" s="226"/>
      <c r="HM62" s="226"/>
      <c r="HN62" s="226"/>
      <c r="HO62" s="226"/>
      <c r="HP62" s="226"/>
      <c r="HQ62" s="226"/>
      <c r="HR62" s="226"/>
      <c r="HS62" s="226"/>
      <c r="HT62" s="226"/>
      <c r="HU62" s="230">
        <v>45717</v>
      </c>
      <c r="HV62" s="230"/>
      <c r="HW62" s="230"/>
      <c r="HX62" s="230"/>
      <c r="HY62" s="230"/>
      <c r="HZ62" s="230"/>
      <c r="IA62" s="230"/>
      <c r="IB62" s="230"/>
      <c r="IC62" s="230"/>
      <c r="ID62" s="230"/>
      <c r="IE62" s="230"/>
      <c r="IF62" s="230"/>
      <c r="IG62" s="230"/>
      <c r="IH62" s="230"/>
      <c r="II62" s="230"/>
      <c r="IJ62" s="230"/>
      <c r="IK62" s="230"/>
      <c r="IL62" s="230"/>
      <c r="IM62" s="230"/>
      <c r="IN62" s="230"/>
      <c r="IO62" s="230"/>
      <c r="IP62" s="230"/>
      <c r="IQ62" s="230"/>
      <c r="IR62" s="230"/>
      <c r="IS62" s="230"/>
      <c r="IT62" s="230"/>
      <c r="IU62" s="230"/>
      <c r="IV62" s="230"/>
      <c r="IW62" s="230"/>
      <c r="IX62" s="230"/>
      <c r="IY62" s="230"/>
      <c r="IZ62" s="226">
        <v>45748</v>
      </c>
      <c r="JA62" s="226"/>
      <c r="JB62" s="226"/>
      <c r="JC62" s="226"/>
      <c r="JD62" s="226"/>
      <c r="JE62" s="226"/>
      <c r="JF62" s="226"/>
      <c r="JG62" s="226"/>
      <c r="JH62" s="226"/>
      <c r="JI62" s="226"/>
      <c r="JJ62" s="226"/>
      <c r="JK62" s="226"/>
      <c r="JL62" s="226"/>
      <c r="JM62" s="226"/>
      <c r="JN62" s="226"/>
      <c r="JO62" s="226"/>
      <c r="JP62" s="226"/>
      <c r="JQ62" s="226"/>
      <c r="JR62" s="226"/>
      <c r="JS62" s="226"/>
      <c r="JT62" s="226"/>
      <c r="JU62" s="226"/>
      <c r="JV62" s="226"/>
      <c r="JW62" s="226"/>
      <c r="JX62" s="226"/>
      <c r="JY62" s="226"/>
      <c r="JZ62" s="226"/>
      <c r="KA62" s="226"/>
      <c r="KB62" s="226"/>
      <c r="KC62" s="226"/>
      <c r="KD62" s="227">
        <v>45778</v>
      </c>
      <c r="KE62" s="227"/>
      <c r="KF62" s="227"/>
      <c r="KG62" s="227"/>
      <c r="KH62" s="227"/>
      <c r="KI62" s="227"/>
      <c r="KJ62" s="227"/>
      <c r="KK62" s="227"/>
      <c r="KL62" s="227"/>
      <c r="KM62" s="227"/>
      <c r="KN62" s="227"/>
      <c r="KO62" s="227"/>
      <c r="KP62" s="227"/>
      <c r="KQ62" s="227"/>
      <c r="KR62" s="227"/>
      <c r="KS62" s="227"/>
      <c r="KT62" s="227"/>
      <c r="KU62" s="227"/>
      <c r="KV62" s="227"/>
      <c r="KW62" s="227"/>
      <c r="KX62" s="227"/>
      <c r="KY62" s="227"/>
      <c r="KZ62" s="227"/>
      <c r="LA62" s="227"/>
      <c r="LB62" s="227"/>
      <c r="LC62" s="227"/>
      <c r="LD62" s="227"/>
      <c r="LE62" s="227"/>
      <c r="LF62" s="227"/>
      <c r="LG62" s="227"/>
      <c r="LH62" s="227"/>
      <c r="LI62" s="226">
        <v>45809</v>
      </c>
      <c r="LJ62" s="226"/>
      <c r="LK62" s="226"/>
      <c r="LL62" s="226"/>
      <c r="LM62" s="226"/>
      <c r="LN62" s="226"/>
      <c r="LO62" s="226"/>
      <c r="LP62" s="226"/>
      <c r="LQ62" s="226"/>
      <c r="LR62" s="226"/>
      <c r="LS62" s="226"/>
      <c r="LT62" s="226"/>
      <c r="LU62" s="226"/>
      <c r="LV62" s="226"/>
      <c r="LW62" s="226"/>
      <c r="LX62" s="226"/>
      <c r="LY62" s="226"/>
      <c r="LZ62" s="226"/>
      <c r="MA62" s="226"/>
      <c r="MB62" s="226"/>
      <c r="MC62" s="226"/>
      <c r="MD62" s="226"/>
      <c r="ME62" s="226"/>
      <c r="MF62" s="226"/>
      <c r="MG62" s="226"/>
      <c r="MH62" s="226"/>
      <c r="MI62" s="226"/>
      <c r="MJ62" s="226"/>
      <c r="MK62" s="226"/>
      <c r="ML62" s="226"/>
      <c r="MM62" s="227">
        <v>45839</v>
      </c>
      <c r="MN62" s="227"/>
      <c r="MO62" s="227"/>
      <c r="MP62" s="227"/>
      <c r="MQ62" s="227"/>
      <c r="MR62" s="227"/>
      <c r="MS62" s="227"/>
      <c r="MT62" s="227"/>
      <c r="MU62" s="227"/>
      <c r="MV62" s="227"/>
      <c r="MW62" s="227"/>
      <c r="MX62" s="227"/>
      <c r="MY62" s="227"/>
      <c r="MZ62" s="227"/>
      <c r="NA62" s="227"/>
      <c r="NB62" s="227"/>
      <c r="NC62" s="227"/>
      <c r="ND62" s="227"/>
      <c r="NE62" s="227"/>
      <c r="NF62" s="227"/>
      <c r="NG62" s="227"/>
      <c r="NH62" s="227"/>
      <c r="NI62" s="227"/>
      <c r="NJ62" s="227"/>
      <c r="NK62" s="227"/>
      <c r="NL62" s="227"/>
      <c r="NM62" s="227"/>
      <c r="NN62" s="227"/>
      <c r="NO62" s="227"/>
      <c r="NP62" s="227"/>
      <c r="NQ62" s="227"/>
      <c r="NR62" s="231">
        <v>45870</v>
      </c>
      <c r="NS62" s="231"/>
      <c r="NT62" s="231"/>
      <c r="NU62" s="231"/>
      <c r="NV62" s="231"/>
      <c r="NW62" s="231"/>
      <c r="NX62" s="231"/>
      <c r="NY62" s="231"/>
      <c r="NZ62" s="231"/>
      <c r="OA62" s="231"/>
      <c r="OB62" s="231"/>
      <c r="OC62" s="231"/>
      <c r="OD62" s="231"/>
      <c r="OE62" s="231"/>
      <c r="OF62" s="231"/>
      <c r="OG62" s="231"/>
      <c r="OH62" s="231"/>
      <c r="OI62" s="231"/>
      <c r="OJ62" s="231"/>
      <c r="OK62" s="231"/>
      <c r="OL62" s="231"/>
      <c r="OM62" s="231"/>
      <c r="ON62" s="231"/>
      <c r="OO62" s="231"/>
      <c r="OP62" s="231"/>
      <c r="OQ62" s="231"/>
      <c r="OR62" s="231"/>
      <c r="OS62" s="231"/>
      <c r="OT62" s="231"/>
      <c r="OU62" s="231"/>
      <c r="OV62" s="231"/>
      <c r="OW62" s="227">
        <v>45901</v>
      </c>
      <c r="OX62" s="227"/>
      <c r="OY62" s="227"/>
      <c r="OZ62" s="227"/>
      <c r="PA62" s="227"/>
      <c r="PB62" s="227"/>
      <c r="PC62" s="227"/>
      <c r="PD62" s="227"/>
      <c r="PE62" s="227"/>
      <c r="PF62" s="227"/>
      <c r="PG62" s="227"/>
      <c r="PH62" s="227"/>
      <c r="PI62" s="227"/>
      <c r="PJ62" s="227"/>
      <c r="PK62" s="227"/>
      <c r="PL62" s="227"/>
      <c r="PM62" s="227"/>
      <c r="PN62" s="227"/>
      <c r="PO62" s="227"/>
      <c r="PP62" s="227"/>
      <c r="PQ62" s="227"/>
      <c r="PR62" s="227"/>
      <c r="PS62" s="227"/>
      <c r="PT62" s="227"/>
      <c r="PU62" s="227"/>
      <c r="PV62" s="227"/>
      <c r="PW62" s="227"/>
      <c r="PX62" s="227"/>
      <c r="PY62" s="227"/>
      <c r="PZ62" s="227"/>
      <c r="QA62" s="231">
        <v>45931</v>
      </c>
      <c r="QB62" s="231"/>
      <c r="QC62" s="231"/>
      <c r="QD62" s="231"/>
      <c r="QE62" s="231"/>
      <c r="QF62" s="231"/>
      <c r="QG62" s="231"/>
      <c r="QH62" s="231"/>
      <c r="QI62" s="231"/>
      <c r="QJ62" s="231"/>
      <c r="QK62" s="231"/>
      <c r="QL62" s="231"/>
      <c r="QM62" s="231"/>
      <c r="QN62" s="231"/>
      <c r="QO62" s="231"/>
      <c r="QP62" s="231"/>
      <c r="QQ62" s="231"/>
      <c r="QR62" s="231"/>
      <c r="QS62" s="231"/>
      <c r="QT62" s="231"/>
      <c r="QU62" s="231"/>
      <c r="QV62" s="231"/>
      <c r="QW62" s="231"/>
      <c r="QX62" s="231"/>
      <c r="QY62" s="231"/>
      <c r="QZ62" s="231"/>
      <c r="RA62" s="231"/>
      <c r="RB62" s="231"/>
      <c r="RC62" s="231"/>
      <c r="RD62" s="231"/>
      <c r="RE62" s="231"/>
      <c r="RF62" s="230">
        <v>45962</v>
      </c>
      <c r="RG62" s="230"/>
      <c r="RH62" s="230"/>
      <c r="RI62" s="230"/>
      <c r="RJ62" s="230"/>
      <c r="RK62" s="230"/>
      <c r="RL62" s="230"/>
      <c r="RM62" s="230"/>
      <c r="RN62" s="230"/>
      <c r="RO62" s="230"/>
      <c r="RP62" s="230"/>
      <c r="RQ62" s="230"/>
      <c r="RR62" s="230"/>
      <c r="RS62" s="230"/>
      <c r="RT62" s="230"/>
      <c r="RU62" s="230"/>
      <c r="RV62" s="230"/>
      <c r="RW62" s="230"/>
      <c r="RX62" s="230"/>
      <c r="RY62" s="230"/>
      <c r="RZ62" s="230"/>
      <c r="SA62" s="230"/>
      <c r="SB62" s="230"/>
      <c r="SC62" s="230"/>
      <c r="SD62" s="230"/>
      <c r="SE62" s="230"/>
      <c r="SF62" s="230"/>
      <c r="SG62" s="230"/>
      <c r="SH62" s="230"/>
      <c r="SI62" s="230"/>
      <c r="SJ62" s="231">
        <v>45992</v>
      </c>
      <c r="SK62" s="231"/>
      <c r="SL62" s="231"/>
      <c r="SM62" s="231"/>
      <c r="SN62" s="231"/>
      <c r="SO62" s="231"/>
      <c r="SP62" s="231"/>
      <c r="SQ62" s="231"/>
      <c r="SR62" s="231"/>
      <c r="SS62" s="231"/>
      <c r="ST62" s="231"/>
      <c r="SU62" s="231"/>
      <c r="SV62" s="231"/>
      <c r="SW62" s="231"/>
      <c r="SX62" s="231"/>
      <c r="SY62" s="231"/>
      <c r="SZ62" s="231"/>
      <c r="TA62" s="231"/>
      <c r="TB62" s="231"/>
      <c r="TC62" s="231"/>
      <c r="TD62" s="231"/>
      <c r="TE62" s="231"/>
      <c r="TF62" s="231"/>
      <c r="TG62" s="231"/>
      <c r="TH62" s="231"/>
      <c r="TI62" s="231"/>
      <c r="TJ62" s="231"/>
      <c r="TK62" s="231"/>
      <c r="TL62" s="231"/>
      <c r="TM62" s="231"/>
      <c r="TN62" s="231"/>
      <c r="TO62" s="230">
        <v>46023</v>
      </c>
      <c r="TP62" s="230"/>
      <c r="TQ62" s="230"/>
      <c r="TR62" s="230"/>
      <c r="TS62" s="230"/>
      <c r="TT62" s="230"/>
      <c r="TU62" s="230"/>
      <c r="TV62" s="230"/>
      <c r="TW62" s="230"/>
      <c r="TX62" s="230"/>
      <c r="TY62" s="230"/>
      <c r="TZ62" s="230"/>
      <c r="UA62" s="230"/>
      <c r="UB62" s="230"/>
      <c r="UC62" s="230"/>
      <c r="UD62" s="230"/>
      <c r="UE62" s="230"/>
      <c r="UF62" s="230"/>
      <c r="UG62" s="230"/>
      <c r="UH62" s="230"/>
      <c r="UI62" s="230"/>
      <c r="UJ62" s="230"/>
      <c r="UK62" s="230"/>
      <c r="UL62" s="230"/>
      <c r="UM62" s="230"/>
      <c r="UN62" s="230"/>
      <c r="UO62" s="230"/>
      <c r="UP62" s="230"/>
      <c r="UQ62" s="230"/>
      <c r="UR62" s="230"/>
      <c r="US62" s="230"/>
      <c r="UT62" s="226">
        <v>46054</v>
      </c>
      <c r="UU62" s="226"/>
      <c r="UV62" s="226"/>
      <c r="UW62" s="226"/>
      <c r="UX62" s="226"/>
      <c r="UY62" s="226"/>
      <c r="UZ62" s="226"/>
      <c r="VA62" s="226"/>
      <c r="VB62" s="226"/>
      <c r="VC62" s="226"/>
      <c r="VD62" s="226"/>
      <c r="VE62" s="226"/>
      <c r="VF62" s="226"/>
      <c r="VG62" s="226"/>
      <c r="VH62" s="226"/>
      <c r="VI62" s="226"/>
      <c r="VJ62" s="226"/>
      <c r="VK62" s="226"/>
      <c r="VL62" s="226"/>
      <c r="VM62" s="226"/>
      <c r="VN62" s="226"/>
      <c r="VO62" s="226"/>
      <c r="VP62" s="226"/>
      <c r="VQ62" s="226"/>
      <c r="VR62" s="226"/>
      <c r="VS62" s="226"/>
      <c r="VT62" s="226"/>
      <c r="VU62" s="226"/>
      <c r="VV62" s="230">
        <v>46082</v>
      </c>
      <c r="VW62" s="230"/>
      <c r="VX62" s="230"/>
      <c r="VY62" s="230"/>
      <c r="VZ62" s="230"/>
      <c r="WA62" s="230"/>
      <c r="WB62" s="230"/>
      <c r="WC62" s="230"/>
      <c r="WD62" s="230"/>
      <c r="WE62" s="230"/>
      <c r="WF62" s="230"/>
      <c r="WG62" s="230"/>
      <c r="WH62" s="230"/>
      <c r="WI62" s="230"/>
      <c r="WJ62" s="230"/>
      <c r="WK62" s="230"/>
      <c r="WL62" s="230"/>
      <c r="WM62" s="230"/>
      <c r="WN62" s="230"/>
      <c r="WO62" s="230"/>
      <c r="WP62" s="230"/>
      <c r="WQ62" s="230"/>
      <c r="WR62" s="230"/>
      <c r="WS62" s="230"/>
      <c r="WT62" s="230"/>
      <c r="WU62" s="230"/>
      <c r="WV62" s="230"/>
      <c r="WW62" s="230"/>
      <c r="WX62" s="230"/>
      <c r="WY62" s="230"/>
      <c r="WZ62" s="230"/>
      <c r="XA62" s="226">
        <v>46113</v>
      </c>
      <c r="XB62" s="226"/>
      <c r="XC62" s="226"/>
      <c r="XD62" s="226"/>
      <c r="XE62" s="226"/>
      <c r="XF62" s="226"/>
      <c r="XG62" s="226"/>
      <c r="XH62" s="226"/>
      <c r="XI62" s="226"/>
      <c r="XJ62" s="226"/>
      <c r="XK62" s="226"/>
      <c r="XL62" s="226"/>
      <c r="XM62" s="226"/>
      <c r="XN62" s="226"/>
      <c r="XO62" s="226"/>
      <c r="XP62" s="226"/>
      <c r="XQ62" s="226"/>
      <c r="XR62" s="226"/>
      <c r="XS62" s="226"/>
      <c r="XT62" s="226"/>
      <c r="XU62" s="226"/>
      <c r="XV62" s="226"/>
      <c r="XW62" s="226"/>
      <c r="XX62" s="226"/>
      <c r="XY62" s="226"/>
      <c r="XZ62" s="226"/>
      <c r="YA62" s="226"/>
      <c r="YB62" s="226"/>
      <c r="YC62" s="226"/>
      <c r="YD62" s="226"/>
      <c r="YE62" s="227">
        <v>46143</v>
      </c>
      <c r="YF62" s="227"/>
      <c r="YG62" s="227"/>
      <c r="YH62" s="227"/>
      <c r="YI62" s="227"/>
      <c r="YJ62" s="227"/>
      <c r="YK62" s="227"/>
      <c r="YL62" s="227"/>
      <c r="YM62" s="227"/>
      <c r="YN62" s="227"/>
      <c r="YO62" s="227"/>
      <c r="YP62" s="227"/>
      <c r="YQ62" s="227"/>
      <c r="YR62" s="227"/>
      <c r="YS62" s="227"/>
      <c r="YT62" s="227"/>
      <c r="YU62" s="227"/>
      <c r="YV62" s="227"/>
      <c r="YW62" s="227"/>
      <c r="YX62" s="227"/>
      <c r="YY62" s="227"/>
      <c r="YZ62" s="227"/>
      <c r="ZA62" s="227"/>
      <c r="ZB62" s="227"/>
      <c r="ZC62" s="227"/>
      <c r="ZD62" s="227"/>
      <c r="ZE62" s="227"/>
      <c r="ZF62" s="227"/>
      <c r="ZG62" s="227"/>
      <c r="ZH62" s="227"/>
      <c r="ZI62" s="227"/>
      <c r="ZJ62" s="226">
        <v>46174</v>
      </c>
      <c r="ZK62" s="226"/>
      <c r="ZL62" s="226"/>
      <c r="ZM62" s="226"/>
      <c r="ZN62" s="226"/>
      <c r="ZO62" s="226"/>
      <c r="ZP62" s="226"/>
      <c r="ZQ62" s="226"/>
      <c r="ZR62" s="226"/>
      <c r="ZS62" s="226"/>
      <c r="ZT62" s="226"/>
      <c r="ZU62" s="226"/>
      <c r="ZV62" s="226"/>
      <c r="ZW62" s="226"/>
      <c r="ZX62" s="226"/>
      <c r="ZY62" s="226"/>
      <c r="ZZ62" s="226"/>
      <c r="AAA62" s="226"/>
      <c r="AAB62" s="226"/>
      <c r="AAC62" s="226"/>
      <c r="AAD62" s="226"/>
      <c r="AAE62" s="226"/>
      <c r="AAF62" s="226"/>
      <c r="AAG62" s="226"/>
      <c r="AAH62" s="226"/>
      <c r="AAI62" s="226"/>
      <c r="AAJ62" s="226"/>
      <c r="AAK62" s="226"/>
      <c r="AAL62" s="226"/>
      <c r="AAM62" s="226"/>
      <c r="AAN62" s="228">
        <v>46204</v>
      </c>
      <c r="AAO62" s="228"/>
      <c r="AAP62" s="228"/>
      <c r="AAQ62" s="228"/>
      <c r="AAR62" s="228"/>
      <c r="AAS62" s="228"/>
      <c r="AAT62" s="228"/>
      <c r="AAU62" s="228"/>
      <c r="AAV62" s="228"/>
      <c r="AAW62" s="228"/>
      <c r="AAX62" s="228"/>
      <c r="AAY62" s="228"/>
      <c r="AAZ62" s="228"/>
      <c r="ABA62" s="228"/>
      <c r="ABB62" s="228"/>
      <c r="ABC62" s="228"/>
      <c r="ABD62" s="228"/>
      <c r="ABE62" s="228"/>
      <c r="ABF62" s="228"/>
      <c r="ABG62" s="228"/>
      <c r="ABH62" s="228"/>
      <c r="ABI62" s="228"/>
      <c r="ABJ62" s="228"/>
      <c r="ABK62" s="228"/>
      <c r="ABL62" s="228"/>
      <c r="ABM62" s="228"/>
      <c r="ABN62" s="228"/>
      <c r="ABO62" s="228"/>
      <c r="ABP62" s="228"/>
      <c r="ABQ62" s="228"/>
      <c r="ABR62" s="228"/>
    </row>
    <row r="63" spans="1:1822" customFormat="1" ht="61.5" customHeight="1" x14ac:dyDescent="0.3">
      <c r="A63" s="144" t="s">
        <v>1</v>
      </c>
      <c r="B63" s="145"/>
      <c r="C63" s="146" t="s">
        <v>3</v>
      </c>
      <c r="D63" s="146" t="s">
        <v>4</v>
      </c>
      <c r="E63" s="147" t="s">
        <v>5</v>
      </c>
      <c r="F63" s="146" t="s">
        <v>6</v>
      </c>
      <c r="G63" s="146" t="s">
        <v>7</v>
      </c>
      <c r="H63" s="146" t="s">
        <v>8</v>
      </c>
      <c r="I63" s="146" t="s">
        <v>9</v>
      </c>
      <c r="J63" s="146" t="s">
        <v>10</v>
      </c>
      <c r="K63" s="147" t="s">
        <v>11</v>
      </c>
      <c r="L63" s="147" t="s">
        <v>12</v>
      </c>
      <c r="M63" s="147" t="s">
        <v>13</v>
      </c>
      <c r="N63" s="147" t="s">
        <v>14</v>
      </c>
      <c r="O63" s="147" t="s">
        <v>15</v>
      </c>
      <c r="P63" s="148" t="s">
        <v>16</v>
      </c>
      <c r="Q63" s="149">
        <v>1</v>
      </c>
      <c r="R63" s="17">
        <v>2</v>
      </c>
      <c r="S63" s="17">
        <v>3</v>
      </c>
      <c r="T63" s="17">
        <v>4</v>
      </c>
      <c r="U63" s="150">
        <v>5</v>
      </c>
      <c r="V63" s="17">
        <v>6</v>
      </c>
      <c r="W63" s="17">
        <v>7</v>
      </c>
      <c r="X63" s="17">
        <v>8</v>
      </c>
      <c r="Y63" s="17">
        <v>9</v>
      </c>
      <c r="Z63" s="17">
        <v>10</v>
      </c>
      <c r="AA63" s="17">
        <v>11</v>
      </c>
      <c r="AB63" s="150">
        <v>12</v>
      </c>
      <c r="AC63" s="17">
        <v>13</v>
      </c>
      <c r="AD63" s="17">
        <v>14</v>
      </c>
      <c r="AE63" s="17">
        <v>15</v>
      </c>
      <c r="AF63" s="17">
        <v>16</v>
      </c>
      <c r="AG63" s="17">
        <v>17</v>
      </c>
      <c r="AH63" s="17">
        <v>18</v>
      </c>
      <c r="AI63" s="150">
        <v>19</v>
      </c>
      <c r="AJ63" s="17">
        <v>20</v>
      </c>
      <c r="AK63" s="17">
        <v>21</v>
      </c>
      <c r="AL63" s="17">
        <v>22</v>
      </c>
      <c r="AM63" s="17">
        <v>23</v>
      </c>
      <c r="AN63" s="17">
        <v>24</v>
      </c>
      <c r="AO63" s="17">
        <v>25</v>
      </c>
      <c r="AP63" s="150">
        <v>26</v>
      </c>
      <c r="AQ63" s="17">
        <v>27</v>
      </c>
      <c r="AR63" s="17">
        <v>28</v>
      </c>
      <c r="AS63" s="17">
        <v>29</v>
      </c>
      <c r="AT63" s="17">
        <v>30</v>
      </c>
      <c r="AU63" s="17">
        <v>31</v>
      </c>
      <c r="AV63" s="151">
        <v>1</v>
      </c>
      <c r="AW63" s="17">
        <v>2</v>
      </c>
      <c r="AX63" s="151">
        <v>3</v>
      </c>
      <c r="AY63" s="150">
        <v>4</v>
      </c>
      <c r="AZ63" s="150">
        <v>5</v>
      </c>
      <c r="BA63" s="150">
        <v>6</v>
      </c>
      <c r="BB63" s="150">
        <v>7</v>
      </c>
      <c r="BC63" s="150">
        <v>8</v>
      </c>
      <c r="BD63" s="17">
        <v>9</v>
      </c>
      <c r="BE63" s="150">
        <v>10</v>
      </c>
      <c r="BF63" s="150">
        <v>11</v>
      </c>
      <c r="BG63" s="150">
        <v>12</v>
      </c>
      <c r="BH63" s="150">
        <v>13</v>
      </c>
      <c r="BI63" s="150">
        <v>14</v>
      </c>
      <c r="BJ63" s="150">
        <v>15</v>
      </c>
      <c r="BK63" s="17">
        <v>16</v>
      </c>
      <c r="BL63" s="150">
        <v>17</v>
      </c>
      <c r="BM63" s="150">
        <v>18</v>
      </c>
      <c r="BN63" s="150">
        <v>19</v>
      </c>
      <c r="BO63" s="150">
        <v>20</v>
      </c>
      <c r="BP63" s="150">
        <v>21</v>
      </c>
      <c r="BQ63" s="150">
        <v>22</v>
      </c>
      <c r="BR63" s="17">
        <v>23</v>
      </c>
      <c r="BS63" s="150">
        <v>24</v>
      </c>
      <c r="BT63" s="150">
        <v>25</v>
      </c>
      <c r="BU63" s="150">
        <v>26</v>
      </c>
      <c r="BV63" s="150">
        <v>27</v>
      </c>
      <c r="BW63" s="150">
        <v>28</v>
      </c>
      <c r="BX63" s="150">
        <v>29</v>
      </c>
      <c r="BY63" s="17">
        <v>30</v>
      </c>
      <c r="BZ63" s="17">
        <v>1</v>
      </c>
      <c r="CA63" s="17">
        <v>2</v>
      </c>
      <c r="CB63" s="17">
        <v>3</v>
      </c>
      <c r="CC63" s="17">
        <v>4</v>
      </c>
      <c r="CD63" s="17">
        <v>5</v>
      </c>
      <c r="CE63" s="17">
        <v>6</v>
      </c>
      <c r="CF63" s="150">
        <v>7</v>
      </c>
      <c r="CG63" s="17">
        <v>8</v>
      </c>
      <c r="CH63" s="17">
        <v>9</v>
      </c>
      <c r="CI63" s="17">
        <v>10</v>
      </c>
      <c r="CJ63" s="17">
        <v>11</v>
      </c>
      <c r="CK63" s="17">
        <v>12</v>
      </c>
      <c r="CL63" s="17">
        <v>13</v>
      </c>
      <c r="CM63" s="150">
        <v>14</v>
      </c>
      <c r="CN63" s="17">
        <v>15</v>
      </c>
      <c r="CO63" s="17">
        <v>16</v>
      </c>
      <c r="CP63" s="17">
        <v>17</v>
      </c>
      <c r="CQ63" s="17">
        <v>18</v>
      </c>
      <c r="CR63" s="17">
        <v>19</v>
      </c>
      <c r="CS63" s="17">
        <v>20</v>
      </c>
      <c r="CT63" s="150">
        <v>21</v>
      </c>
      <c r="CU63" s="17">
        <v>22</v>
      </c>
      <c r="CV63" s="17">
        <v>23</v>
      </c>
      <c r="CW63" s="17">
        <v>24</v>
      </c>
      <c r="CX63" s="17">
        <v>25</v>
      </c>
      <c r="CY63" s="17">
        <v>26</v>
      </c>
      <c r="CZ63" s="17">
        <v>27</v>
      </c>
      <c r="DA63" s="150">
        <v>28</v>
      </c>
      <c r="DB63" s="17">
        <v>29</v>
      </c>
      <c r="DC63" s="17">
        <v>30</v>
      </c>
      <c r="DD63" s="17">
        <v>31</v>
      </c>
      <c r="DE63" s="150">
        <v>1</v>
      </c>
      <c r="DF63" s="150">
        <v>2</v>
      </c>
      <c r="DG63" s="150">
        <v>3</v>
      </c>
      <c r="DH63" s="17">
        <v>4</v>
      </c>
      <c r="DI63" s="150">
        <v>5</v>
      </c>
      <c r="DJ63" s="150">
        <v>6</v>
      </c>
      <c r="DK63" s="150">
        <v>7</v>
      </c>
      <c r="DL63" s="150">
        <v>8</v>
      </c>
      <c r="DM63" s="150">
        <v>9</v>
      </c>
      <c r="DN63" s="150">
        <v>10</v>
      </c>
      <c r="DO63" s="17">
        <v>11</v>
      </c>
      <c r="DP63" s="150">
        <v>12</v>
      </c>
      <c r="DQ63" s="150">
        <v>13</v>
      </c>
      <c r="DR63" s="150">
        <v>14</v>
      </c>
      <c r="DS63" s="150">
        <v>15</v>
      </c>
      <c r="DT63" s="150">
        <v>16</v>
      </c>
      <c r="DU63" s="150">
        <v>17</v>
      </c>
      <c r="DV63" s="17">
        <v>18</v>
      </c>
      <c r="DW63" s="150">
        <v>19</v>
      </c>
      <c r="DX63" s="150">
        <v>20</v>
      </c>
      <c r="DY63" s="150">
        <v>21</v>
      </c>
      <c r="DZ63" s="150">
        <v>22</v>
      </c>
      <c r="EA63" s="150">
        <v>23</v>
      </c>
      <c r="EB63" s="150">
        <v>24</v>
      </c>
      <c r="EC63" s="17">
        <v>25</v>
      </c>
      <c r="ED63" s="150">
        <v>26</v>
      </c>
      <c r="EE63" s="150">
        <v>27</v>
      </c>
      <c r="EF63" s="150">
        <v>28</v>
      </c>
      <c r="EG63" s="150">
        <v>29</v>
      </c>
      <c r="EH63" s="150">
        <v>30</v>
      </c>
      <c r="EI63" s="17">
        <v>1</v>
      </c>
      <c r="EJ63" s="150">
        <v>2</v>
      </c>
      <c r="EK63" s="17">
        <v>3</v>
      </c>
      <c r="EL63" s="17">
        <v>4</v>
      </c>
      <c r="EM63" s="17">
        <v>5</v>
      </c>
      <c r="EN63" s="17">
        <v>6</v>
      </c>
      <c r="EO63" s="17">
        <v>7</v>
      </c>
      <c r="EP63" s="17">
        <v>8</v>
      </c>
      <c r="EQ63" s="150">
        <v>9</v>
      </c>
      <c r="ER63" s="17">
        <v>10</v>
      </c>
      <c r="ES63" s="17">
        <v>11</v>
      </c>
      <c r="ET63" s="17">
        <v>12</v>
      </c>
      <c r="EU63" s="17">
        <v>13</v>
      </c>
      <c r="EV63" s="17">
        <v>14</v>
      </c>
      <c r="EW63" s="17">
        <v>15</v>
      </c>
      <c r="EX63" s="150">
        <v>16</v>
      </c>
      <c r="EY63" s="17">
        <v>17</v>
      </c>
      <c r="EZ63" s="17">
        <v>18</v>
      </c>
      <c r="FA63" s="17">
        <v>19</v>
      </c>
      <c r="FB63" s="17">
        <v>20</v>
      </c>
      <c r="FC63" s="17">
        <v>21</v>
      </c>
      <c r="FD63" s="17">
        <v>22</v>
      </c>
      <c r="FE63" s="150">
        <v>23</v>
      </c>
      <c r="FF63" s="17">
        <v>24</v>
      </c>
      <c r="FG63" s="17">
        <v>25</v>
      </c>
      <c r="FH63" s="17">
        <v>26</v>
      </c>
      <c r="FI63" s="17">
        <v>27</v>
      </c>
      <c r="FJ63" s="17">
        <v>28</v>
      </c>
      <c r="FK63" s="17">
        <v>29</v>
      </c>
      <c r="FL63" s="150">
        <v>30</v>
      </c>
      <c r="FM63" s="17">
        <v>31</v>
      </c>
      <c r="FN63" s="150">
        <v>1</v>
      </c>
      <c r="FO63" s="150">
        <v>2</v>
      </c>
      <c r="FP63" s="150">
        <v>3</v>
      </c>
      <c r="FQ63" s="150">
        <v>4</v>
      </c>
      <c r="FR63" s="150">
        <v>5</v>
      </c>
      <c r="FS63" s="17">
        <v>6</v>
      </c>
      <c r="FT63" s="150">
        <v>7</v>
      </c>
      <c r="FU63" s="150">
        <v>8</v>
      </c>
      <c r="FV63" s="150">
        <v>9</v>
      </c>
      <c r="FW63" s="150">
        <v>10</v>
      </c>
      <c r="FX63" s="150">
        <v>11</v>
      </c>
      <c r="FY63" s="150">
        <v>12</v>
      </c>
      <c r="FZ63" s="17">
        <v>13</v>
      </c>
      <c r="GA63" s="150">
        <v>14</v>
      </c>
      <c r="GB63" s="150">
        <v>15</v>
      </c>
      <c r="GC63" s="150">
        <v>16</v>
      </c>
      <c r="GD63" s="150">
        <v>17</v>
      </c>
      <c r="GE63" s="150">
        <v>18</v>
      </c>
      <c r="GF63" s="150">
        <v>19</v>
      </c>
      <c r="GG63" s="17">
        <v>20</v>
      </c>
      <c r="GH63" s="150">
        <v>21</v>
      </c>
      <c r="GI63" s="150">
        <v>22</v>
      </c>
      <c r="GJ63" s="150">
        <v>23</v>
      </c>
      <c r="GK63" s="150">
        <v>24</v>
      </c>
      <c r="GL63" s="150">
        <v>25</v>
      </c>
      <c r="GM63" s="150">
        <v>26</v>
      </c>
      <c r="GN63" s="17">
        <v>27</v>
      </c>
      <c r="GO63" s="150">
        <v>28</v>
      </c>
      <c r="GP63" s="150">
        <v>29</v>
      </c>
      <c r="GQ63" s="150">
        <v>30</v>
      </c>
      <c r="GR63" s="150">
        <v>31</v>
      </c>
      <c r="GS63" s="17">
        <v>1</v>
      </c>
      <c r="GT63" s="17">
        <v>2</v>
      </c>
      <c r="GU63" s="150">
        <v>3</v>
      </c>
      <c r="GV63" s="17">
        <v>4</v>
      </c>
      <c r="GW63" s="17">
        <v>5</v>
      </c>
      <c r="GX63" s="17">
        <v>6</v>
      </c>
      <c r="GY63" s="17">
        <v>7</v>
      </c>
      <c r="GZ63" s="17">
        <v>8</v>
      </c>
      <c r="HA63" s="17">
        <v>9</v>
      </c>
      <c r="HB63" s="150">
        <v>10</v>
      </c>
      <c r="HC63" s="17">
        <v>11</v>
      </c>
      <c r="HD63" s="17">
        <v>12</v>
      </c>
      <c r="HE63" s="17">
        <v>13</v>
      </c>
      <c r="HF63" s="17">
        <v>14</v>
      </c>
      <c r="HG63" s="17">
        <v>15</v>
      </c>
      <c r="HH63" s="17">
        <v>16</v>
      </c>
      <c r="HI63" s="150">
        <v>17</v>
      </c>
      <c r="HJ63" s="17">
        <v>18</v>
      </c>
      <c r="HK63" s="17">
        <v>19</v>
      </c>
      <c r="HL63" s="17">
        <v>20</v>
      </c>
      <c r="HM63" s="17">
        <v>21</v>
      </c>
      <c r="HN63" s="17">
        <v>22</v>
      </c>
      <c r="HO63" s="17">
        <v>23</v>
      </c>
      <c r="HP63" s="150">
        <v>24</v>
      </c>
      <c r="HQ63" s="17">
        <v>25</v>
      </c>
      <c r="HR63" s="17">
        <v>26</v>
      </c>
      <c r="HS63" s="17">
        <v>27</v>
      </c>
      <c r="HT63" s="17">
        <v>28</v>
      </c>
      <c r="HU63" s="150">
        <v>1</v>
      </c>
      <c r="HV63" s="150">
        <v>2</v>
      </c>
      <c r="HW63" s="17">
        <v>3</v>
      </c>
      <c r="HX63" s="150">
        <v>4</v>
      </c>
      <c r="HY63" s="150">
        <v>5</v>
      </c>
      <c r="HZ63" s="150">
        <v>6</v>
      </c>
      <c r="IA63" s="150">
        <v>7</v>
      </c>
      <c r="IB63" s="150">
        <v>8</v>
      </c>
      <c r="IC63" s="150">
        <v>9</v>
      </c>
      <c r="ID63" s="17">
        <v>10</v>
      </c>
      <c r="IE63" s="150">
        <v>11</v>
      </c>
      <c r="IF63" s="150">
        <v>12</v>
      </c>
      <c r="IG63" s="150">
        <v>13</v>
      </c>
      <c r="IH63" s="150">
        <v>14</v>
      </c>
      <c r="II63" s="150">
        <v>15</v>
      </c>
      <c r="IJ63" s="150">
        <v>16</v>
      </c>
      <c r="IK63" s="17">
        <v>17</v>
      </c>
      <c r="IL63" s="150">
        <v>18</v>
      </c>
      <c r="IM63" s="150">
        <v>19</v>
      </c>
      <c r="IN63" s="150">
        <v>20</v>
      </c>
      <c r="IO63" s="150">
        <v>21</v>
      </c>
      <c r="IP63" s="150">
        <v>22</v>
      </c>
      <c r="IQ63" s="150">
        <v>23</v>
      </c>
      <c r="IR63" s="17">
        <v>24</v>
      </c>
      <c r="IS63" s="150">
        <v>25</v>
      </c>
      <c r="IT63" s="150">
        <v>26</v>
      </c>
      <c r="IU63" s="150">
        <v>27</v>
      </c>
      <c r="IV63" s="150">
        <v>28</v>
      </c>
      <c r="IW63" s="150">
        <v>29</v>
      </c>
      <c r="IX63" s="150">
        <v>30</v>
      </c>
      <c r="IY63" s="17">
        <v>31</v>
      </c>
      <c r="IZ63" s="17">
        <v>1</v>
      </c>
      <c r="JA63" s="17">
        <v>2</v>
      </c>
      <c r="JB63" s="17">
        <v>3</v>
      </c>
      <c r="JC63" s="17">
        <v>4</v>
      </c>
      <c r="JD63" s="17">
        <v>5</v>
      </c>
      <c r="JE63" s="17">
        <v>6</v>
      </c>
      <c r="JF63" s="150">
        <v>7</v>
      </c>
      <c r="JG63" s="17">
        <v>8</v>
      </c>
      <c r="JH63" s="17">
        <v>9</v>
      </c>
      <c r="JI63" s="17">
        <v>10</v>
      </c>
      <c r="JJ63" s="17">
        <v>11</v>
      </c>
      <c r="JK63" s="17">
        <v>12</v>
      </c>
      <c r="JL63" s="17">
        <v>13</v>
      </c>
      <c r="JM63" s="150">
        <v>14</v>
      </c>
      <c r="JN63" s="17">
        <v>15</v>
      </c>
      <c r="JO63" s="17">
        <v>16</v>
      </c>
      <c r="JP63" s="17">
        <v>17</v>
      </c>
      <c r="JQ63" s="17">
        <v>18</v>
      </c>
      <c r="JR63" s="17">
        <v>19</v>
      </c>
      <c r="JS63" s="17">
        <v>20</v>
      </c>
      <c r="JT63" s="150">
        <v>21</v>
      </c>
      <c r="JU63" s="17">
        <v>22</v>
      </c>
      <c r="JV63" s="17">
        <v>23</v>
      </c>
      <c r="JW63" s="17">
        <v>24</v>
      </c>
      <c r="JX63" s="17">
        <v>25</v>
      </c>
      <c r="JY63" s="17">
        <v>26</v>
      </c>
      <c r="JZ63" s="17">
        <v>27</v>
      </c>
      <c r="KA63" s="150">
        <v>28</v>
      </c>
      <c r="KB63" s="17">
        <v>29</v>
      </c>
      <c r="KC63" s="17">
        <v>30</v>
      </c>
      <c r="KD63" s="150">
        <v>1</v>
      </c>
      <c r="KE63" s="150">
        <v>2</v>
      </c>
      <c r="KF63" s="150">
        <v>3</v>
      </c>
      <c r="KG63" s="150">
        <v>4</v>
      </c>
      <c r="KH63" s="17">
        <v>5</v>
      </c>
      <c r="KI63" s="150">
        <v>6</v>
      </c>
      <c r="KJ63" s="150">
        <v>7</v>
      </c>
      <c r="KK63" s="150">
        <v>8</v>
      </c>
      <c r="KL63" s="150">
        <v>9</v>
      </c>
      <c r="KM63" s="150">
        <v>10</v>
      </c>
      <c r="KN63" s="150">
        <v>11</v>
      </c>
      <c r="KO63" s="17">
        <v>12</v>
      </c>
      <c r="KP63" s="150">
        <v>13</v>
      </c>
      <c r="KQ63" s="150">
        <v>14</v>
      </c>
      <c r="KR63" s="150">
        <v>15</v>
      </c>
      <c r="KS63" s="150">
        <v>16</v>
      </c>
      <c r="KT63" s="150">
        <v>17</v>
      </c>
      <c r="KU63" s="150">
        <v>18</v>
      </c>
      <c r="KV63" s="17">
        <v>19</v>
      </c>
      <c r="KW63" s="150">
        <v>20</v>
      </c>
      <c r="KX63" s="150">
        <v>21</v>
      </c>
      <c r="KY63" s="150">
        <v>22</v>
      </c>
      <c r="KZ63" s="150">
        <v>23</v>
      </c>
      <c r="LA63" s="150">
        <v>24</v>
      </c>
      <c r="LB63" s="150">
        <v>25</v>
      </c>
      <c r="LC63" s="17">
        <v>26</v>
      </c>
      <c r="LD63" s="150">
        <v>27</v>
      </c>
      <c r="LE63" s="150">
        <v>28</v>
      </c>
      <c r="LF63" s="150">
        <v>29</v>
      </c>
      <c r="LG63" s="150">
        <v>30</v>
      </c>
      <c r="LH63" s="150">
        <v>31</v>
      </c>
      <c r="LI63" s="17">
        <v>1</v>
      </c>
      <c r="LJ63" s="150">
        <v>2</v>
      </c>
      <c r="LK63" s="17">
        <v>3</v>
      </c>
      <c r="LL63" s="17">
        <v>4</v>
      </c>
      <c r="LM63" s="17">
        <v>5</v>
      </c>
      <c r="LN63" s="17">
        <v>6</v>
      </c>
      <c r="LO63" s="17">
        <v>7</v>
      </c>
      <c r="LP63" s="17">
        <v>8</v>
      </c>
      <c r="LQ63" s="150">
        <v>9</v>
      </c>
      <c r="LR63" s="17">
        <v>10</v>
      </c>
      <c r="LS63" s="17">
        <v>11</v>
      </c>
      <c r="LT63" s="17">
        <v>12</v>
      </c>
      <c r="LU63" s="17">
        <v>13</v>
      </c>
      <c r="LV63" s="17">
        <v>14</v>
      </c>
      <c r="LW63" s="17">
        <v>15</v>
      </c>
      <c r="LX63" s="150">
        <v>16</v>
      </c>
      <c r="LY63" s="17">
        <v>17</v>
      </c>
      <c r="LZ63" s="17">
        <v>18</v>
      </c>
      <c r="MA63" s="17">
        <v>19</v>
      </c>
      <c r="MB63" s="17">
        <v>20</v>
      </c>
      <c r="MC63" s="17">
        <v>21</v>
      </c>
      <c r="MD63" s="17">
        <v>22</v>
      </c>
      <c r="ME63" s="150">
        <v>23</v>
      </c>
      <c r="MF63" s="17">
        <v>24</v>
      </c>
      <c r="MG63" s="17">
        <v>25</v>
      </c>
      <c r="MH63" s="17">
        <v>26</v>
      </c>
      <c r="MI63" s="17">
        <v>27</v>
      </c>
      <c r="MJ63" s="17">
        <v>28</v>
      </c>
      <c r="MK63" s="17">
        <v>29</v>
      </c>
      <c r="ML63" s="150">
        <v>30</v>
      </c>
      <c r="MM63" s="150">
        <v>1</v>
      </c>
      <c r="MN63" s="150">
        <v>2</v>
      </c>
      <c r="MO63" s="150">
        <v>3</v>
      </c>
      <c r="MP63" s="150">
        <v>4</v>
      </c>
      <c r="MQ63" s="150">
        <v>5</v>
      </c>
      <c r="MR63" s="150">
        <v>6</v>
      </c>
      <c r="MS63" s="17">
        <v>7</v>
      </c>
      <c r="MT63" s="150">
        <v>8</v>
      </c>
      <c r="MU63" s="150">
        <v>9</v>
      </c>
      <c r="MV63" s="150">
        <v>10</v>
      </c>
      <c r="MW63" s="150">
        <v>11</v>
      </c>
      <c r="MX63" s="150">
        <v>12</v>
      </c>
      <c r="MY63" s="150">
        <v>13</v>
      </c>
      <c r="MZ63" s="17">
        <v>14</v>
      </c>
      <c r="NA63" s="150">
        <v>15</v>
      </c>
      <c r="NB63" s="150">
        <v>16</v>
      </c>
      <c r="NC63" s="150">
        <v>17</v>
      </c>
      <c r="ND63" s="150">
        <v>18</v>
      </c>
      <c r="NE63" s="150">
        <v>19</v>
      </c>
      <c r="NF63" s="150">
        <v>20</v>
      </c>
      <c r="NG63" s="17">
        <v>21</v>
      </c>
      <c r="NH63" s="150">
        <v>22</v>
      </c>
      <c r="NI63" s="150">
        <v>23</v>
      </c>
      <c r="NJ63" s="150">
        <v>24</v>
      </c>
      <c r="NK63" s="150">
        <v>25</v>
      </c>
      <c r="NL63" s="150">
        <v>26</v>
      </c>
      <c r="NM63" s="150">
        <v>27</v>
      </c>
      <c r="NN63" s="17">
        <v>28</v>
      </c>
      <c r="NO63" s="150">
        <v>29</v>
      </c>
      <c r="NP63" s="150">
        <v>30</v>
      </c>
      <c r="NQ63" s="150">
        <v>31</v>
      </c>
      <c r="NR63" s="17">
        <v>1</v>
      </c>
      <c r="NS63" s="17">
        <v>2</v>
      </c>
      <c r="NT63" s="17">
        <v>3</v>
      </c>
      <c r="NU63" s="150">
        <v>4</v>
      </c>
      <c r="NV63" s="17">
        <v>5</v>
      </c>
      <c r="NW63" s="17">
        <v>6</v>
      </c>
      <c r="NX63" s="17">
        <v>7</v>
      </c>
      <c r="NY63" s="17">
        <v>8</v>
      </c>
      <c r="NZ63" s="17">
        <v>9</v>
      </c>
      <c r="OA63" s="17">
        <v>10</v>
      </c>
      <c r="OB63" s="150">
        <v>11</v>
      </c>
      <c r="OC63" s="17">
        <v>12</v>
      </c>
      <c r="OD63" s="17">
        <v>13</v>
      </c>
      <c r="OE63" s="17">
        <v>14</v>
      </c>
      <c r="OF63" s="17">
        <v>15</v>
      </c>
      <c r="OG63" s="17">
        <v>16</v>
      </c>
      <c r="OH63" s="17">
        <v>17</v>
      </c>
      <c r="OI63" s="150">
        <v>18</v>
      </c>
      <c r="OJ63" s="17">
        <v>19</v>
      </c>
      <c r="OK63" s="17">
        <v>20</v>
      </c>
      <c r="OL63" s="17">
        <v>21</v>
      </c>
      <c r="OM63" s="17">
        <v>22</v>
      </c>
      <c r="ON63" s="17">
        <v>23</v>
      </c>
      <c r="OO63" s="17">
        <v>24</v>
      </c>
      <c r="OP63" s="150">
        <v>25</v>
      </c>
      <c r="OQ63" s="17">
        <v>26</v>
      </c>
      <c r="OR63" s="17">
        <v>27</v>
      </c>
      <c r="OS63" s="17">
        <v>28</v>
      </c>
      <c r="OT63" s="17">
        <v>29</v>
      </c>
      <c r="OU63" s="17">
        <v>30</v>
      </c>
      <c r="OV63" s="17">
        <v>31</v>
      </c>
      <c r="OW63" s="17">
        <v>1</v>
      </c>
      <c r="OX63" s="150">
        <v>2</v>
      </c>
      <c r="OY63" s="150">
        <v>3</v>
      </c>
      <c r="OZ63" s="150">
        <v>4</v>
      </c>
      <c r="PA63" s="150">
        <v>5</v>
      </c>
      <c r="PB63" s="150">
        <v>6</v>
      </c>
      <c r="PC63" s="150">
        <v>7</v>
      </c>
      <c r="PD63" s="17">
        <v>8</v>
      </c>
      <c r="PE63" s="150">
        <v>9</v>
      </c>
      <c r="PF63" s="150">
        <v>10</v>
      </c>
      <c r="PG63" s="150">
        <v>11</v>
      </c>
      <c r="PH63" s="150">
        <v>12</v>
      </c>
      <c r="PI63" s="150">
        <v>13</v>
      </c>
      <c r="PJ63" s="150">
        <v>14</v>
      </c>
      <c r="PK63" s="17">
        <v>15</v>
      </c>
      <c r="PL63" s="150">
        <v>16</v>
      </c>
      <c r="PM63" s="150">
        <v>17</v>
      </c>
      <c r="PN63" s="150">
        <v>18</v>
      </c>
      <c r="PO63" s="150">
        <v>19</v>
      </c>
      <c r="PP63" s="150">
        <v>20</v>
      </c>
      <c r="PQ63" s="150">
        <v>21</v>
      </c>
      <c r="PR63" s="17">
        <v>22</v>
      </c>
      <c r="PS63" s="150">
        <v>23</v>
      </c>
      <c r="PT63" s="150">
        <v>24</v>
      </c>
      <c r="PU63" s="150">
        <v>25</v>
      </c>
      <c r="PV63" s="150">
        <v>26</v>
      </c>
      <c r="PW63" s="150">
        <v>27</v>
      </c>
      <c r="PX63" s="150">
        <v>28</v>
      </c>
      <c r="PY63" s="17">
        <v>29</v>
      </c>
      <c r="PZ63" s="150">
        <v>30</v>
      </c>
      <c r="QA63" s="17">
        <v>1</v>
      </c>
      <c r="QB63" s="17">
        <v>2</v>
      </c>
      <c r="QC63" s="17">
        <v>3</v>
      </c>
      <c r="QD63" s="17">
        <v>4</v>
      </c>
      <c r="QE63" s="17">
        <v>5</v>
      </c>
      <c r="QF63" s="150">
        <v>6</v>
      </c>
      <c r="QG63" s="17">
        <v>7</v>
      </c>
      <c r="QH63" s="17">
        <v>8</v>
      </c>
      <c r="QI63" s="17">
        <v>9</v>
      </c>
      <c r="QJ63" s="17">
        <v>10</v>
      </c>
      <c r="QK63" s="17">
        <v>11</v>
      </c>
      <c r="QL63" s="17">
        <v>12</v>
      </c>
      <c r="QM63" s="150">
        <v>13</v>
      </c>
      <c r="QN63" s="17">
        <v>14</v>
      </c>
      <c r="QO63" s="17">
        <v>15</v>
      </c>
      <c r="QP63" s="17">
        <v>16</v>
      </c>
      <c r="QQ63" s="17">
        <v>17</v>
      </c>
      <c r="QR63" s="17">
        <v>18</v>
      </c>
      <c r="QS63" s="17">
        <v>19</v>
      </c>
      <c r="QT63" s="150">
        <v>20</v>
      </c>
      <c r="QU63" s="17">
        <v>21</v>
      </c>
      <c r="QV63" s="17">
        <v>22</v>
      </c>
      <c r="QW63" s="17">
        <v>23</v>
      </c>
      <c r="QX63" s="17">
        <v>24</v>
      </c>
      <c r="QY63" s="17">
        <v>25</v>
      </c>
      <c r="QZ63" s="17">
        <v>26</v>
      </c>
      <c r="RA63" s="150">
        <v>27</v>
      </c>
      <c r="RB63" s="17">
        <v>28</v>
      </c>
      <c r="RC63" s="17">
        <v>29</v>
      </c>
      <c r="RD63" s="17">
        <v>30</v>
      </c>
      <c r="RE63" s="17">
        <v>31</v>
      </c>
      <c r="RF63" s="150">
        <v>1</v>
      </c>
      <c r="RG63" s="150">
        <v>2</v>
      </c>
      <c r="RH63" s="17">
        <v>3</v>
      </c>
      <c r="RI63" s="150">
        <v>4</v>
      </c>
      <c r="RJ63" s="150">
        <v>5</v>
      </c>
      <c r="RK63" s="150">
        <v>6</v>
      </c>
      <c r="RL63" s="150">
        <v>7</v>
      </c>
      <c r="RM63" s="150">
        <v>8</v>
      </c>
      <c r="RN63" s="150">
        <v>9</v>
      </c>
      <c r="RO63" s="17">
        <v>10</v>
      </c>
      <c r="RP63" s="150">
        <v>11</v>
      </c>
      <c r="RQ63" s="150">
        <v>12</v>
      </c>
      <c r="RR63" s="150">
        <v>13</v>
      </c>
      <c r="RS63" s="150">
        <v>14</v>
      </c>
      <c r="RT63" s="150">
        <v>15</v>
      </c>
      <c r="RU63" s="150">
        <v>16</v>
      </c>
      <c r="RV63" s="17">
        <v>17</v>
      </c>
      <c r="RW63" s="150">
        <v>18</v>
      </c>
      <c r="RX63" s="150">
        <v>19</v>
      </c>
      <c r="RY63" s="150">
        <v>20</v>
      </c>
      <c r="RZ63" s="150">
        <v>21</v>
      </c>
      <c r="SA63" s="150">
        <v>22</v>
      </c>
      <c r="SB63" s="150">
        <v>23</v>
      </c>
      <c r="SC63" s="17">
        <v>24</v>
      </c>
      <c r="SD63" s="150">
        <v>25</v>
      </c>
      <c r="SE63" s="150">
        <v>26</v>
      </c>
      <c r="SF63" s="150">
        <v>27</v>
      </c>
      <c r="SG63" s="150">
        <v>28</v>
      </c>
      <c r="SH63" s="150">
        <v>29</v>
      </c>
      <c r="SI63" s="150">
        <v>30</v>
      </c>
      <c r="SJ63" s="150">
        <v>1</v>
      </c>
      <c r="SK63" s="17">
        <v>2</v>
      </c>
      <c r="SL63" s="17">
        <v>3</v>
      </c>
      <c r="SM63" s="17">
        <v>4</v>
      </c>
      <c r="SN63" s="17">
        <v>5</v>
      </c>
      <c r="SO63" s="17">
        <v>6</v>
      </c>
      <c r="SP63" s="17">
        <v>7</v>
      </c>
      <c r="SQ63" s="150">
        <v>8</v>
      </c>
      <c r="SR63" s="17">
        <v>9</v>
      </c>
      <c r="SS63" s="17">
        <v>10</v>
      </c>
      <c r="ST63" s="17">
        <v>11</v>
      </c>
      <c r="SU63" s="17">
        <v>12</v>
      </c>
      <c r="SV63" s="17">
        <v>13</v>
      </c>
      <c r="SW63" s="17">
        <v>14</v>
      </c>
      <c r="SX63" s="150">
        <v>15</v>
      </c>
      <c r="SY63" s="17">
        <v>16</v>
      </c>
      <c r="SZ63" s="17">
        <v>17</v>
      </c>
      <c r="TA63" s="17">
        <v>18</v>
      </c>
      <c r="TB63" s="17">
        <v>19</v>
      </c>
      <c r="TC63" s="17">
        <v>20</v>
      </c>
      <c r="TD63" s="17">
        <v>21</v>
      </c>
      <c r="TE63" s="150">
        <v>22</v>
      </c>
      <c r="TF63" s="17">
        <v>23</v>
      </c>
      <c r="TG63" s="17">
        <v>24</v>
      </c>
      <c r="TH63" s="17">
        <v>25</v>
      </c>
      <c r="TI63" s="17">
        <v>26</v>
      </c>
      <c r="TJ63" s="17">
        <v>27</v>
      </c>
      <c r="TK63" s="17">
        <v>28</v>
      </c>
      <c r="TL63" s="150">
        <v>29</v>
      </c>
      <c r="TM63" s="17">
        <v>30</v>
      </c>
      <c r="TN63" s="17">
        <v>31</v>
      </c>
      <c r="TO63" s="150">
        <v>1</v>
      </c>
      <c r="TP63" s="150">
        <v>2</v>
      </c>
      <c r="TQ63" s="150">
        <v>3</v>
      </c>
      <c r="TR63" s="150">
        <v>4</v>
      </c>
      <c r="TS63" s="17">
        <v>5</v>
      </c>
      <c r="TT63" s="150">
        <v>6</v>
      </c>
      <c r="TU63" s="150">
        <v>7</v>
      </c>
      <c r="TV63" s="150">
        <v>8</v>
      </c>
      <c r="TW63" s="150">
        <v>9</v>
      </c>
      <c r="TX63" s="150">
        <v>10</v>
      </c>
      <c r="TY63" s="150">
        <v>11</v>
      </c>
      <c r="TZ63" s="17">
        <v>12</v>
      </c>
      <c r="UA63" s="150">
        <v>13</v>
      </c>
      <c r="UB63" s="150">
        <v>14</v>
      </c>
      <c r="UC63" s="150">
        <v>15</v>
      </c>
      <c r="UD63" s="150">
        <v>16</v>
      </c>
      <c r="UE63" s="150">
        <v>17</v>
      </c>
      <c r="UF63" s="150">
        <v>18</v>
      </c>
      <c r="UG63" s="17">
        <v>19</v>
      </c>
      <c r="UH63" s="150">
        <v>20</v>
      </c>
      <c r="UI63" s="150">
        <v>21</v>
      </c>
      <c r="UJ63" s="150">
        <v>22</v>
      </c>
      <c r="UK63" s="150">
        <v>23</v>
      </c>
      <c r="UL63" s="150">
        <v>24</v>
      </c>
      <c r="UM63" s="150">
        <v>25</v>
      </c>
      <c r="UN63" s="17">
        <v>26</v>
      </c>
      <c r="UO63" s="150">
        <v>27</v>
      </c>
      <c r="UP63" s="150">
        <v>28</v>
      </c>
      <c r="UQ63" s="150">
        <v>29</v>
      </c>
      <c r="UR63" s="150">
        <v>30</v>
      </c>
      <c r="US63" s="150">
        <v>31</v>
      </c>
      <c r="UT63" s="17">
        <v>1</v>
      </c>
      <c r="UU63" s="150">
        <v>2</v>
      </c>
      <c r="UV63" s="17">
        <v>3</v>
      </c>
      <c r="UW63" s="17">
        <v>4</v>
      </c>
      <c r="UX63" s="17">
        <v>5</v>
      </c>
      <c r="UY63" s="17">
        <v>6</v>
      </c>
      <c r="UZ63" s="17">
        <v>7</v>
      </c>
      <c r="VA63" s="17">
        <v>8</v>
      </c>
      <c r="VB63" s="150">
        <v>9</v>
      </c>
      <c r="VC63" s="17">
        <v>10</v>
      </c>
      <c r="VD63" s="17">
        <v>11</v>
      </c>
      <c r="VE63" s="17">
        <v>12</v>
      </c>
      <c r="VF63" s="17">
        <v>13</v>
      </c>
      <c r="VG63" s="17">
        <v>14</v>
      </c>
      <c r="VH63" s="17">
        <v>15</v>
      </c>
      <c r="VI63" s="150">
        <v>16</v>
      </c>
      <c r="VJ63" s="17">
        <v>17</v>
      </c>
      <c r="VK63" s="17">
        <v>18</v>
      </c>
      <c r="VL63" s="17">
        <v>19</v>
      </c>
      <c r="VM63" s="17">
        <v>20</v>
      </c>
      <c r="VN63" s="17">
        <v>21</v>
      </c>
      <c r="VO63" s="17">
        <v>22</v>
      </c>
      <c r="VP63" s="150">
        <v>23</v>
      </c>
      <c r="VQ63" s="17">
        <v>24</v>
      </c>
      <c r="VR63" s="17">
        <v>25</v>
      </c>
      <c r="VS63" s="17">
        <v>26</v>
      </c>
      <c r="VT63" s="17">
        <v>27</v>
      </c>
      <c r="VU63" s="17">
        <v>28</v>
      </c>
      <c r="VV63" s="150">
        <v>1</v>
      </c>
      <c r="VW63" s="17">
        <v>2</v>
      </c>
      <c r="VX63" s="150">
        <v>3</v>
      </c>
      <c r="VY63" s="150">
        <v>4</v>
      </c>
      <c r="VZ63" s="150">
        <v>5</v>
      </c>
      <c r="WA63" s="150">
        <v>6</v>
      </c>
      <c r="WB63" s="150">
        <v>7</v>
      </c>
      <c r="WC63" s="150">
        <v>8</v>
      </c>
      <c r="WD63" s="17">
        <v>9</v>
      </c>
      <c r="WE63" s="150">
        <v>10</v>
      </c>
      <c r="WF63" s="150">
        <v>11</v>
      </c>
      <c r="WG63" s="150">
        <v>12</v>
      </c>
      <c r="WH63" s="150">
        <v>13</v>
      </c>
      <c r="WI63" s="150">
        <v>14</v>
      </c>
      <c r="WJ63" s="150">
        <v>15</v>
      </c>
      <c r="WK63" s="17">
        <v>16</v>
      </c>
      <c r="WL63" s="150">
        <v>17</v>
      </c>
      <c r="WM63" s="150">
        <v>18</v>
      </c>
      <c r="WN63" s="150">
        <v>19</v>
      </c>
      <c r="WO63" s="150">
        <v>20</v>
      </c>
      <c r="WP63" s="150">
        <v>21</v>
      </c>
      <c r="WQ63" s="150">
        <v>22</v>
      </c>
      <c r="WR63" s="17">
        <v>23</v>
      </c>
      <c r="WS63" s="150">
        <v>24</v>
      </c>
      <c r="WT63" s="150">
        <v>25</v>
      </c>
      <c r="WU63" s="150">
        <v>26</v>
      </c>
      <c r="WV63" s="150">
        <v>27</v>
      </c>
      <c r="WW63" s="150">
        <v>28</v>
      </c>
      <c r="WX63" s="150">
        <v>29</v>
      </c>
      <c r="WY63" s="17">
        <v>30</v>
      </c>
      <c r="WZ63" s="150">
        <v>31</v>
      </c>
      <c r="XA63" s="17">
        <v>1</v>
      </c>
      <c r="XB63" s="17">
        <v>2</v>
      </c>
      <c r="XC63" s="17">
        <v>3</v>
      </c>
      <c r="XD63" s="17">
        <v>4</v>
      </c>
      <c r="XE63" s="17">
        <v>5</v>
      </c>
      <c r="XF63" s="150">
        <v>6</v>
      </c>
      <c r="XG63" s="17">
        <v>7</v>
      </c>
      <c r="XH63" s="17">
        <v>8</v>
      </c>
      <c r="XI63" s="17">
        <v>9</v>
      </c>
      <c r="XJ63" s="17">
        <v>10</v>
      </c>
      <c r="XK63" s="17">
        <v>11</v>
      </c>
      <c r="XL63" s="17">
        <v>12</v>
      </c>
      <c r="XM63" s="150">
        <v>13</v>
      </c>
      <c r="XN63" s="17">
        <v>14</v>
      </c>
      <c r="XO63" s="17">
        <v>15</v>
      </c>
      <c r="XP63" s="17">
        <v>16</v>
      </c>
      <c r="XQ63" s="17">
        <v>17</v>
      </c>
      <c r="XR63" s="17">
        <v>18</v>
      </c>
      <c r="XS63" s="17">
        <v>19</v>
      </c>
      <c r="XT63" s="150">
        <v>20</v>
      </c>
      <c r="XU63" s="17">
        <v>21</v>
      </c>
      <c r="XV63" s="17">
        <v>22</v>
      </c>
      <c r="XW63" s="17">
        <v>23</v>
      </c>
      <c r="XX63" s="17">
        <v>24</v>
      </c>
      <c r="XY63" s="17">
        <v>25</v>
      </c>
      <c r="XZ63" s="17">
        <v>26</v>
      </c>
      <c r="YA63" s="150">
        <v>27</v>
      </c>
      <c r="YB63" s="17">
        <v>28</v>
      </c>
      <c r="YC63" s="17">
        <v>29</v>
      </c>
      <c r="YD63" s="17">
        <v>30</v>
      </c>
      <c r="YE63" s="150">
        <v>1</v>
      </c>
      <c r="YF63" s="150">
        <v>2</v>
      </c>
      <c r="YG63" s="150">
        <v>3</v>
      </c>
      <c r="YH63" s="17">
        <v>4</v>
      </c>
      <c r="YI63" s="150">
        <v>5</v>
      </c>
      <c r="YJ63" s="150">
        <v>6</v>
      </c>
      <c r="YK63" s="150">
        <v>7</v>
      </c>
      <c r="YL63" s="150">
        <v>8</v>
      </c>
      <c r="YM63" s="150">
        <v>9</v>
      </c>
      <c r="YN63" s="150">
        <v>10</v>
      </c>
      <c r="YO63" s="17">
        <v>11</v>
      </c>
      <c r="YP63" s="150">
        <v>12</v>
      </c>
      <c r="YQ63" s="150">
        <v>13</v>
      </c>
      <c r="YR63" s="150">
        <v>14</v>
      </c>
      <c r="YS63" s="150">
        <v>15</v>
      </c>
      <c r="YT63" s="150">
        <v>16</v>
      </c>
      <c r="YU63" s="150">
        <v>17</v>
      </c>
      <c r="YV63" s="17">
        <v>18</v>
      </c>
      <c r="YW63" s="150">
        <v>19</v>
      </c>
      <c r="YX63" s="150">
        <v>20</v>
      </c>
      <c r="YY63" s="150">
        <v>21</v>
      </c>
      <c r="YZ63" s="150">
        <v>22</v>
      </c>
      <c r="ZA63" s="150">
        <v>23</v>
      </c>
      <c r="ZB63" s="150">
        <v>24</v>
      </c>
      <c r="ZC63" s="17">
        <v>25</v>
      </c>
      <c r="ZD63" s="150">
        <v>26</v>
      </c>
      <c r="ZE63" s="150">
        <v>27</v>
      </c>
      <c r="ZF63" s="150">
        <v>28</v>
      </c>
      <c r="ZG63" s="150">
        <v>29</v>
      </c>
      <c r="ZH63" s="150">
        <v>30</v>
      </c>
      <c r="ZI63" s="150">
        <v>31</v>
      </c>
      <c r="ZJ63" s="150">
        <v>1</v>
      </c>
      <c r="ZK63" s="17">
        <v>2</v>
      </c>
      <c r="ZL63" s="17">
        <v>3</v>
      </c>
      <c r="ZM63" s="17">
        <v>4</v>
      </c>
      <c r="ZN63" s="17">
        <v>5</v>
      </c>
      <c r="ZO63" s="17">
        <v>6</v>
      </c>
      <c r="ZP63" s="17">
        <v>7</v>
      </c>
      <c r="ZQ63" s="150">
        <v>8</v>
      </c>
      <c r="ZR63" s="17">
        <v>9</v>
      </c>
      <c r="ZS63" s="17">
        <v>10</v>
      </c>
      <c r="ZT63" s="17">
        <v>11</v>
      </c>
      <c r="ZU63" s="17">
        <v>12</v>
      </c>
      <c r="ZV63" s="17">
        <v>13</v>
      </c>
      <c r="ZW63" s="17">
        <v>14</v>
      </c>
      <c r="ZX63" s="150">
        <v>15</v>
      </c>
      <c r="ZY63" s="17">
        <v>16</v>
      </c>
      <c r="ZZ63" s="17">
        <v>17</v>
      </c>
      <c r="AAA63" s="17">
        <v>18</v>
      </c>
      <c r="AAB63" s="17">
        <v>19</v>
      </c>
      <c r="AAC63" s="17">
        <v>20</v>
      </c>
      <c r="AAD63" s="17">
        <v>21</v>
      </c>
      <c r="AAE63" s="150">
        <v>22</v>
      </c>
      <c r="AAF63" s="17">
        <v>23</v>
      </c>
      <c r="AAG63" s="17">
        <v>24</v>
      </c>
      <c r="AAH63" s="17">
        <v>25</v>
      </c>
      <c r="AAI63" s="17">
        <v>26</v>
      </c>
      <c r="AAJ63" s="17">
        <v>27</v>
      </c>
      <c r="AAK63" s="17">
        <v>28</v>
      </c>
      <c r="AAL63" s="150">
        <v>29</v>
      </c>
      <c r="AAM63" s="17">
        <v>30</v>
      </c>
      <c r="AAN63" s="150">
        <v>1</v>
      </c>
      <c r="AAO63" s="150">
        <v>2</v>
      </c>
      <c r="AAP63" s="150">
        <v>3</v>
      </c>
      <c r="AAQ63" s="150">
        <v>4</v>
      </c>
      <c r="AAR63" s="150">
        <v>5</v>
      </c>
      <c r="AAS63" s="17">
        <v>6</v>
      </c>
      <c r="AAT63" s="150">
        <v>7</v>
      </c>
      <c r="AAU63" s="150">
        <v>8</v>
      </c>
      <c r="AAV63" s="150">
        <v>9</v>
      </c>
      <c r="AAW63" s="150">
        <v>10</v>
      </c>
      <c r="AAX63" s="150">
        <v>11</v>
      </c>
      <c r="AAY63" s="150">
        <v>12</v>
      </c>
      <c r="AAZ63" s="17">
        <v>13</v>
      </c>
      <c r="ABA63" s="150">
        <v>14</v>
      </c>
      <c r="ABB63" s="150">
        <v>15</v>
      </c>
      <c r="ABC63" s="150">
        <v>16</v>
      </c>
      <c r="ABD63" s="150">
        <v>17</v>
      </c>
      <c r="ABE63" s="150">
        <v>18</v>
      </c>
      <c r="ABF63" s="150">
        <v>19</v>
      </c>
      <c r="ABG63" s="17">
        <v>20</v>
      </c>
      <c r="ABH63" s="150">
        <v>21</v>
      </c>
      <c r="ABI63" s="150">
        <v>22</v>
      </c>
      <c r="ABJ63" s="150">
        <v>23</v>
      </c>
      <c r="ABK63" s="150">
        <v>24</v>
      </c>
      <c r="ABL63" s="150">
        <v>25</v>
      </c>
      <c r="ABM63" s="150">
        <v>26</v>
      </c>
      <c r="ABN63" s="17">
        <v>27</v>
      </c>
      <c r="ABO63" s="150">
        <v>28</v>
      </c>
      <c r="ABP63" s="150">
        <v>29</v>
      </c>
      <c r="ABQ63" s="150">
        <v>30</v>
      </c>
      <c r="ABR63" s="150">
        <v>31</v>
      </c>
    </row>
    <row r="64" spans="1:1822" customFormat="1" x14ac:dyDescent="0.3">
      <c r="A64" s="2">
        <v>1</v>
      </c>
      <c r="B64" s="2" t="s">
        <v>17</v>
      </c>
      <c r="C64" s="38" t="s">
        <v>77</v>
      </c>
      <c r="D64" s="38" t="s">
        <v>78</v>
      </c>
      <c r="E64" s="22">
        <v>45125</v>
      </c>
      <c r="F64" s="22">
        <v>45492</v>
      </c>
      <c r="G64" s="81">
        <f t="shared" ref="G64:G75" si="62">F64+120</f>
        <v>45612</v>
      </c>
      <c r="H64" s="22"/>
      <c r="I64" s="22"/>
      <c r="J64" s="22"/>
      <c r="K64" s="23" t="s">
        <v>36</v>
      </c>
      <c r="L64" s="23">
        <f t="shared" ref="L64:L70" ca="1" si="63">IF(F64=0,"NA",ROUND(($L$1-F64+1)/365*30,1))</f>
        <v>42.7</v>
      </c>
      <c r="M64" s="23">
        <f t="shared" ref="M64:M70" ca="1" si="64">IF(L64="NA",0,L64-P64)</f>
        <v>41.7</v>
      </c>
      <c r="N64" s="135"/>
      <c r="O64" s="135"/>
      <c r="P64" s="24">
        <f t="shared" ref="P64:P70" si="65">SUM(O64-N64+1)</f>
        <v>1</v>
      </c>
      <c r="Q64" s="77"/>
      <c r="R64" s="77"/>
      <c r="S64" s="77"/>
      <c r="T64" s="77"/>
      <c r="U64" s="77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  <c r="HI64" s="34"/>
      <c r="HJ64" s="34"/>
      <c r="HK64" s="34"/>
      <c r="HL64" s="34"/>
      <c r="HM64" s="34"/>
      <c r="HN64" s="34"/>
      <c r="HO64" s="34"/>
      <c r="HP64" s="34"/>
      <c r="HQ64" s="34"/>
      <c r="HR64" s="34"/>
      <c r="HS64" s="34"/>
      <c r="HT64" s="34"/>
      <c r="HU64" s="74"/>
      <c r="HV64" s="74"/>
      <c r="HW64" s="74"/>
      <c r="HX64" s="74"/>
      <c r="HY64" s="74"/>
      <c r="HZ64" s="74"/>
      <c r="IA64" s="74"/>
      <c r="IB64" s="74"/>
      <c r="IC64" s="74"/>
      <c r="ID64" s="74"/>
      <c r="IE64" s="74"/>
      <c r="IF64" s="74"/>
      <c r="IG64" s="74"/>
      <c r="IH64" s="74"/>
      <c r="II64" s="74"/>
      <c r="IJ64" s="74"/>
      <c r="IK64" s="34"/>
      <c r="IL64" s="34"/>
      <c r="IM64" s="34"/>
      <c r="IN64" s="34"/>
      <c r="IO64" s="34"/>
      <c r="IP64" s="34"/>
      <c r="IQ64" s="34"/>
      <c r="IR64" s="34"/>
      <c r="IS64" s="34"/>
      <c r="IT64" s="34"/>
      <c r="IU64" s="34"/>
      <c r="IV64" s="34"/>
      <c r="IW64" s="34"/>
      <c r="IX64" s="34"/>
      <c r="IY64" s="34"/>
      <c r="IZ64" s="34"/>
      <c r="JA64" s="34"/>
      <c r="JB64" s="34"/>
      <c r="JC64" s="34"/>
      <c r="JD64" s="66"/>
      <c r="JE64" s="66"/>
      <c r="JF64" s="66"/>
      <c r="JG64" s="66"/>
      <c r="JH64" s="66"/>
      <c r="JI64" s="66"/>
      <c r="JJ64" s="66"/>
      <c r="JK64" s="66"/>
      <c r="JL64" s="66"/>
      <c r="JM64" s="66"/>
      <c r="JN64" s="66"/>
      <c r="JO64" s="74"/>
      <c r="JP64" s="34"/>
      <c r="JQ64" s="34"/>
      <c r="JR64" s="34"/>
      <c r="JS64" s="34"/>
      <c r="JT64" s="34"/>
      <c r="JU64" s="34"/>
      <c r="JV64" s="34"/>
      <c r="JW64" s="34"/>
      <c r="JX64" s="34"/>
      <c r="JY64" s="34"/>
      <c r="JZ64" s="34"/>
      <c r="KA64" s="34"/>
      <c r="KB64" s="34"/>
      <c r="KC64" s="34"/>
      <c r="KD64" s="66"/>
      <c r="KE64" s="66"/>
      <c r="KF64" s="66"/>
      <c r="KG64" s="66"/>
      <c r="KH64" s="74"/>
      <c r="KI64" s="74"/>
      <c r="KJ64" s="74"/>
      <c r="KK64" s="74"/>
      <c r="KL64" s="74"/>
      <c r="KM64" s="74"/>
      <c r="KN64" s="74"/>
      <c r="KO64" s="74"/>
      <c r="KP64" s="74"/>
      <c r="KQ64" s="74"/>
      <c r="KR64" s="74"/>
      <c r="KS64" s="74"/>
      <c r="KT64" s="34"/>
      <c r="KU64" s="34"/>
      <c r="KV64" s="34"/>
      <c r="KW64" s="34"/>
      <c r="KX64" s="34"/>
      <c r="KY64" s="34"/>
      <c r="KZ64" s="34"/>
      <c r="LA64" s="34"/>
      <c r="LB64" s="34"/>
      <c r="LC64" s="34"/>
      <c r="LD64" s="34"/>
      <c r="LE64" s="34"/>
      <c r="LF64" s="34"/>
      <c r="LG64" s="34"/>
      <c r="LH64" s="34"/>
      <c r="LI64" s="74"/>
      <c r="LJ64" s="74"/>
      <c r="LK64" s="74"/>
      <c r="LL64" s="74"/>
      <c r="LM64" s="74"/>
      <c r="LN64" s="74"/>
      <c r="LO64" s="74"/>
      <c r="LP64" s="74"/>
      <c r="LQ64" s="74"/>
      <c r="LR64" s="74"/>
      <c r="LS64" s="74"/>
      <c r="LT64" s="74"/>
      <c r="LU64" s="74"/>
      <c r="LV64" s="74"/>
      <c r="LW64" s="74"/>
      <c r="LX64" s="74"/>
      <c r="LY64" s="34"/>
      <c r="LZ64" s="34"/>
      <c r="MA64" s="34"/>
      <c r="MB64" s="34"/>
      <c r="MC64" s="34"/>
      <c r="MD64" s="34"/>
      <c r="ME64" s="34"/>
      <c r="MF64" s="34"/>
      <c r="MG64" s="34"/>
      <c r="MH64" s="34"/>
      <c r="MI64" s="34"/>
      <c r="MJ64" s="34"/>
      <c r="MK64" s="34"/>
      <c r="ML64" s="34"/>
      <c r="MM64" s="74"/>
      <c r="MN64" s="74"/>
      <c r="MO64" s="74"/>
      <c r="MP64" s="74"/>
      <c r="MQ64" s="74"/>
      <c r="MR64" s="74"/>
      <c r="MS64" s="74"/>
      <c r="MT64" s="74"/>
      <c r="MU64" s="74"/>
      <c r="MV64" s="74"/>
      <c r="MW64" s="74"/>
      <c r="MX64" s="74"/>
      <c r="MY64" s="74"/>
      <c r="MZ64" s="74"/>
      <c r="NA64" s="74"/>
      <c r="NB64" s="74"/>
      <c r="NC64" s="34"/>
      <c r="ND64" s="34"/>
      <c r="NE64" s="34"/>
      <c r="NF64" s="34"/>
      <c r="NG64" s="34"/>
      <c r="NH64" s="34"/>
      <c r="NI64" s="34"/>
      <c r="NJ64" s="34"/>
      <c r="NK64" s="34"/>
      <c r="NL64" s="34"/>
      <c r="NM64" s="34"/>
      <c r="NN64" s="34"/>
      <c r="NO64" s="34"/>
      <c r="NP64" s="34"/>
      <c r="NQ64" s="34"/>
      <c r="NR64" s="74"/>
      <c r="NS64" s="74"/>
      <c r="NT64" s="74"/>
      <c r="NU64" s="74"/>
      <c r="NV64" s="74"/>
      <c r="NW64" s="74"/>
      <c r="NX64" s="74"/>
      <c r="NY64" s="74"/>
      <c r="NZ64" s="74"/>
      <c r="OA64" s="74"/>
      <c r="OB64" s="74"/>
      <c r="OC64" s="74"/>
      <c r="OD64" s="74"/>
      <c r="OE64" s="74"/>
      <c r="OF64" s="74"/>
      <c r="OG64" s="74"/>
      <c r="OH64" s="34"/>
      <c r="OI64" s="34"/>
      <c r="OJ64" s="34"/>
      <c r="OK64" s="34"/>
      <c r="OL64" s="34"/>
      <c r="OM64" s="34"/>
      <c r="ON64" s="34"/>
      <c r="OO64" s="34"/>
      <c r="OP64" s="34"/>
      <c r="OQ64" s="34"/>
      <c r="OR64" s="34"/>
      <c r="OS64" s="34"/>
      <c r="OT64" s="34"/>
      <c r="OU64" s="34"/>
      <c r="OV64" s="34"/>
      <c r="OW64" s="74"/>
      <c r="OX64" s="74"/>
      <c r="OY64" s="74"/>
      <c r="OZ64" s="74"/>
      <c r="PA64" s="74"/>
      <c r="PB64" s="74"/>
      <c r="PC64" s="74"/>
      <c r="PD64" s="74"/>
      <c r="PE64" s="74"/>
      <c r="PF64" s="74"/>
      <c r="PG64" s="74"/>
      <c r="PH64" s="66"/>
      <c r="PI64" s="66"/>
      <c r="PJ64" s="66"/>
      <c r="PK64" s="66"/>
      <c r="PL64" s="66"/>
      <c r="PM64" s="66"/>
      <c r="PN64" s="66"/>
      <c r="PO64" s="66"/>
      <c r="PP64" s="66"/>
      <c r="PQ64" s="66"/>
      <c r="PR64" s="66"/>
      <c r="PS64" s="66"/>
      <c r="PT64" s="66"/>
      <c r="PU64" s="66"/>
      <c r="PV64" s="66"/>
      <c r="PW64" s="66"/>
      <c r="PX64" s="66"/>
      <c r="PY64" s="66"/>
      <c r="PZ64" s="34"/>
      <c r="QA64" s="34"/>
      <c r="QB64" s="34"/>
      <c r="QC64" s="34"/>
      <c r="QD64" s="34"/>
      <c r="QE64" s="34"/>
      <c r="QF64" s="34"/>
      <c r="QG64" s="34"/>
      <c r="QH64" s="34"/>
      <c r="QI64" s="34"/>
      <c r="QJ64" s="34"/>
      <c r="QK64" s="34"/>
      <c r="QL64" s="34"/>
      <c r="QM64" s="34"/>
      <c r="QN64" s="34"/>
      <c r="QO64" s="34"/>
      <c r="QP64" s="34"/>
      <c r="QQ64" s="34"/>
      <c r="QR64" s="34"/>
      <c r="QS64" s="34"/>
      <c r="QT64" s="34"/>
      <c r="QU64" s="34"/>
      <c r="QV64" s="34"/>
      <c r="QW64" s="34"/>
      <c r="QX64" s="34"/>
      <c r="QY64" s="34"/>
      <c r="QZ64" s="34"/>
      <c r="RA64" s="34"/>
      <c r="RB64" s="34"/>
      <c r="RC64" s="34"/>
      <c r="RD64" s="34"/>
      <c r="RE64" s="34"/>
      <c r="RF64" s="34"/>
      <c r="RG64" s="34"/>
      <c r="RH64" s="34"/>
      <c r="RI64" s="34"/>
      <c r="RJ64" s="34"/>
      <c r="RK64" s="34"/>
      <c r="RL64" s="34"/>
      <c r="RM64" s="34"/>
      <c r="RN64" s="34"/>
      <c r="RO64" s="34"/>
      <c r="RP64" s="34"/>
      <c r="RQ64" s="34"/>
      <c r="RR64" s="34"/>
      <c r="RS64" s="34"/>
      <c r="RT64" s="34"/>
      <c r="RU64" s="34"/>
      <c r="RV64" s="34"/>
      <c r="RW64" s="34"/>
      <c r="RX64" s="34"/>
      <c r="RY64" s="34"/>
      <c r="RZ64" s="34"/>
      <c r="SA64" s="34"/>
      <c r="SB64" s="34"/>
      <c r="SC64" s="34"/>
      <c r="SD64" s="34"/>
      <c r="SE64" s="34"/>
      <c r="SF64" s="34"/>
      <c r="SG64" s="34"/>
      <c r="SH64" s="34"/>
      <c r="SI64" s="34"/>
      <c r="SJ64" s="34"/>
      <c r="SK64" s="34"/>
      <c r="SL64" s="34"/>
      <c r="SM64" s="34"/>
      <c r="SN64" s="34"/>
      <c r="SO64" s="34"/>
      <c r="SP64" s="34"/>
      <c r="SQ64" s="34"/>
      <c r="SR64" s="34"/>
      <c r="SS64" s="34"/>
      <c r="ST64" s="34"/>
      <c r="SU64" s="34"/>
      <c r="SV64" s="34"/>
      <c r="SW64" s="34"/>
      <c r="SX64" s="34"/>
      <c r="SY64" s="34"/>
      <c r="SZ64" s="34"/>
      <c r="TA64" s="34"/>
      <c r="TB64" s="34"/>
      <c r="TC64" s="34"/>
      <c r="TD64" s="34"/>
      <c r="TE64" s="34"/>
      <c r="TF64" s="34"/>
      <c r="TG64" s="34"/>
      <c r="TH64" s="34"/>
      <c r="TI64" s="34"/>
      <c r="TJ64" s="34"/>
      <c r="TK64" s="34"/>
      <c r="TL64" s="34"/>
      <c r="TM64" s="72"/>
      <c r="TN64" s="34"/>
      <c r="TO64" s="34"/>
      <c r="TP64" s="34"/>
      <c r="TQ64" s="34"/>
      <c r="TR64" s="34"/>
      <c r="TS64" s="34"/>
      <c r="TT64" s="34"/>
      <c r="TU64" s="34"/>
      <c r="TV64" s="34"/>
      <c r="TW64" s="34"/>
      <c r="TX64" s="34"/>
      <c r="TY64" s="34"/>
      <c r="TZ64" s="34"/>
      <c r="UA64" s="34"/>
      <c r="UB64" s="34"/>
      <c r="UC64" s="34"/>
      <c r="UD64" s="34"/>
      <c r="UE64" s="34"/>
      <c r="UF64" s="34"/>
      <c r="UG64" s="34"/>
      <c r="UH64" s="34"/>
      <c r="UI64" s="34"/>
      <c r="UJ64" s="34"/>
      <c r="UK64" s="34"/>
      <c r="UL64" s="34"/>
      <c r="UM64" s="34"/>
      <c r="UN64" s="34"/>
      <c r="UO64" s="34"/>
      <c r="UP64" s="34"/>
      <c r="UQ64" s="34"/>
      <c r="UR64" s="34"/>
      <c r="US64" s="34"/>
      <c r="UT64" s="34"/>
      <c r="UU64" s="34"/>
      <c r="UV64" s="34"/>
      <c r="UW64" s="34"/>
      <c r="UX64" s="34"/>
      <c r="UY64" s="34"/>
      <c r="UZ64" s="34"/>
      <c r="VA64" s="34"/>
      <c r="VB64" s="34"/>
      <c r="VC64" s="34"/>
      <c r="VD64" s="34"/>
      <c r="VE64" s="34"/>
      <c r="VF64" s="34"/>
      <c r="VG64" s="34"/>
      <c r="VH64" s="34"/>
      <c r="VI64" s="34"/>
      <c r="VJ64" s="34"/>
      <c r="VK64" s="34"/>
      <c r="VL64" s="34"/>
      <c r="VM64" s="34"/>
      <c r="VN64" s="34"/>
      <c r="VO64" s="34"/>
      <c r="VP64" s="34"/>
      <c r="VQ64" s="34"/>
      <c r="VR64" s="34"/>
      <c r="VS64" s="34"/>
      <c r="VT64" s="34"/>
      <c r="VU64" s="34"/>
      <c r="VV64" s="72"/>
      <c r="VW64" s="72"/>
      <c r="VX64" s="72"/>
      <c r="VY64" s="72"/>
      <c r="VZ64" s="72"/>
      <c r="WA64" s="72"/>
      <c r="WB64" s="72"/>
      <c r="WC64" s="72"/>
      <c r="WD64" s="72"/>
      <c r="WE64" s="72"/>
      <c r="WF64" s="72"/>
      <c r="WG64" s="72"/>
      <c r="WH64" s="72"/>
      <c r="WI64" s="72"/>
      <c r="WJ64" s="72"/>
      <c r="WK64" s="72"/>
      <c r="WL64" s="72"/>
      <c r="WM64" s="72"/>
      <c r="WN64" s="72"/>
      <c r="WO64" s="72"/>
      <c r="WP64" s="72"/>
      <c r="WQ64" s="72"/>
      <c r="WR64" s="72"/>
      <c r="WS64" s="72"/>
      <c r="WT64" s="72"/>
      <c r="WU64" s="72"/>
      <c r="WV64" s="72"/>
      <c r="WW64" s="72"/>
      <c r="WX64" s="72"/>
      <c r="WY64" s="72"/>
      <c r="WZ64" s="72"/>
      <c r="XA64" s="72"/>
      <c r="XB64" s="72"/>
      <c r="XC64" s="72"/>
      <c r="XD64" s="72"/>
      <c r="XE64" s="72"/>
      <c r="XF64" s="72"/>
      <c r="XG64" s="72"/>
      <c r="XH64" s="72"/>
      <c r="XI64" s="72"/>
      <c r="XJ64" s="72"/>
      <c r="XK64" s="72"/>
      <c r="XL64" s="72"/>
      <c r="XM64" s="72"/>
      <c r="XN64" s="72"/>
      <c r="XO64" s="72"/>
      <c r="XP64" s="72"/>
      <c r="XQ64" s="72"/>
      <c r="XR64" s="72"/>
      <c r="XS64" s="72"/>
      <c r="XT64" s="72"/>
      <c r="XU64" s="72"/>
      <c r="XV64" s="72"/>
      <c r="XW64" s="72"/>
      <c r="XX64" s="72"/>
      <c r="XY64" s="72"/>
      <c r="XZ64" s="72"/>
      <c r="YA64" s="72"/>
      <c r="YB64" s="72"/>
      <c r="YC64" s="72"/>
      <c r="YD64" s="72"/>
      <c r="YE64" s="72"/>
      <c r="YF64" s="72"/>
      <c r="YG64" s="72"/>
      <c r="YH64" s="72"/>
      <c r="YI64" s="72"/>
      <c r="YJ64" s="72"/>
      <c r="YK64" s="72"/>
      <c r="YL64" s="72"/>
      <c r="YM64" s="72"/>
      <c r="YN64" s="72"/>
      <c r="YO64" s="72"/>
      <c r="YP64" s="72"/>
      <c r="YQ64" s="72"/>
      <c r="YR64" s="72"/>
      <c r="YS64" s="72"/>
      <c r="YT64" s="72"/>
      <c r="YU64" s="72"/>
      <c r="YV64" s="72"/>
      <c r="YW64" s="72"/>
      <c r="YX64" s="72"/>
      <c r="YY64" s="72"/>
      <c r="YZ64" s="72"/>
      <c r="ZA64" s="72"/>
      <c r="ZB64" s="72"/>
      <c r="ZC64" s="72"/>
      <c r="ZD64" s="72"/>
      <c r="ZE64" s="72"/>
      <c r="ZF64" s="72"/>
      <c r="ZG64" s="72"/>
      <c r="ZH64" s="72"/>
      <c r="ZI64" s="72"/>
      <c r="ZJ64" s="72"/>
      <c r="ZK64" s="72"/>
      <c r="ZL64" s="72"/>
      <c r="ZM64" s="72"/>
      <c r="ZN64" s="72"/>
      <c r="ZO64" s="72"/>
      <c r="ZP64" s="72"/>
      <c r="ZQ64" s="72"/>
      <c r="ZR64" s="72"/>
      <c r="ZS64" s="72"/>
      <c r="ZT64" s="72"/>
      <c r="ZU64" s="72"/>
      <c r="ZV64" s="72"/>
      <c r="ZW64" s="72"/>
      <c r="ZX64" s="72"/>
      <c r="ZY64" s="72"/>
      <c r="ZZ64" s="72"/>
      <c r="AAA64" s="72"/>
      <c r="AAB64" s="72"/>
      <c r="AAC64" s="72"/>
      <c r="AAD64" s="72"/>
      <c r="AAE64" s="72"/>
      <c r="AAF64" s="72"/>
      <c r="AAG64" s="72"/>
      <c r="AAH64" s="72"/>
      <c r="AAI64" s="72"/>
      <c r="AAJ64" s="72"/>
      <c r="AAK64" s="72"/>
      <c r="AAL64" s="72"/>
      <c r="AAM64" s="72"/>
      <c r="AAN64" s="72"/>
      <c r="AAO64" s="72"/>
      <c r="AAP64" s="72"/>
      <c r="AAQ64" s="72"/>
      <c r="AAR64" s="72"/>
      <c r="AAS64" s="72"/>
      <c r="AAT64" s="72"/>
      <c r="AAU64" s="72"/>
      <c r="AAV64" s="72"/>
      <c r="AAW64" s="72"/>
      <c r="AAX64" s="72"/>
      <c r="AAY64" s="72"/>
      <c r="AAZ64" s="72"/>
      <c r="ABA64" s="72"/>
      <c r="ABB64" s="72"/>
      <c r="ABC64" s="72"/>
      <c r="ABD64" s="72"/>
      <c r="ABE64" s="72"/>
      <c r="ABF64" s="72"/>
      <c r="ABG64" s="72"/>
      <c r="ABH64" s="72"/>
      <c r="ABI64" s="72"/>
      <c r="ABJ64" s="72"/>
      <c r="ABK64" s="72"/>
      <c r="ABL64" s="72"/>
      <c r="ABM64" s="72"/>
      <c r="ABN64" s="72"/>
      <c r="ABO64" s="72"/>
      <c r="ABP64" s="72"/>
      <c r="ABQ64" s="72"/>
      <c r="ABR64" s="72"/>
    </row>
    <row r="65" spans="1:1822" customFormat="1" x14ac:dyDescent="0.3">
      <c r="A65" s="2">
        <v>2</v>
      </c>
      <c r="B65" s="2" t="s">
        <v>17</v>
      </c>
      <c r="C65" s="153" t="s">
        <v>79</v>
      </c>
      <c r="D65" s="38" t="s">
        <v>80</v>
      </c>
      <c r="E65" s="22">
        <v>44853</v>
      </c>
      <c r="F65" s="22">
        <v>45492</v>
      </c>
      <c r="G65" s="81">
        <f t="shared" si="62"/>
        <v>45612</v>
      </c>
      <c r="H65" s="154"/>
      <c r="I65" s="37"/>
      <c r="J65" s="37"/>
      <c r="K65" s="23" t="s">
        <v>36</v>
      </c>
      <c r="L65" s="23">
        <f t="shared" ca="1" si="63"/>
        <v>42.7</v>
      </c>
      <c r="M65" s="23">
        <f t="shared" ca="1" si="64"/>
        <v>41.7</v>
      </c>
      <c r="N65" s="136"/>
      <c r="O65" s="136"/>
      <c r="P65" s="155">
        <f t="shared" si="65"/>
        <v>1</v>
      </c>
      <c r="Q65" s="37"/>
      <c r="R65" s="37"/>
      <c r="S65" s="37"/>
      <c r="T65" s="37"/>
      <c r="U65" s="37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28"/>
      <c r="KO65" s="28"/>
      <c r="KP65" s="28"/>
      <c r="KQ65" s="28"/>
      <c r="KR65" s="28"/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  <c r="LT65" s="28"/>
      <c r="LU65" s="28"/>
      <c r="LV65" s="28"/>
      <c r="LW65" s="28"/>
      <c r="LX65" s="28"/>
      <c r="LY65" s="28"/>
      <c r="LZ65" s="28"/>
      <c r="MA65" s="28"/>
      <c r="MB65" s="28"/>
      <c r="MC65" s="28"/>
      <c r="MD65" s="28"/>
      <c r="ME65" s="28"/>
      <c r="MF65" s="28"/>
      <c r="MG65" s="28"/>
      <c r="MH65" s="28"/>
      <c r="MI65" s="28"/>
      <c r="MJ65" s="28"/>
      <c r="MK65" s="28"/>
      <c r="ML65" s="28"/>
      <c r="MM65" s="28"/>
      <c r="MN65" s="28"/>
      <c r="MO65" s="28"/>
      <c r="MP65" s="28"/>
      <c r="MQ65" s="28"/>
      <c r="MR65" s="28"/>
      <c r="MS65" s="28"/>
      <c r="MT65" s="28"/>
      <c r="MU65" s="28"/>
      <c r="MV65" s="28"/>
      <c r="MW65" s="28"/>
      <c r="MX65" s="28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28"/>
      <c r="OV65" s="28"/>
      <c r="OW65" s="28"/>
      <c r="OX65" s="28"/>
      <c r="OY65" s="28"/>
      <c r="OZ65" s="28"/>
      <c r="PA65" s="28"/>
      <c r="PB65" s="28"/>
      <c r="PC65" s="28"/>
      <c r="PD65" s="28"/>
      <c r="PE65" s="28"/>
      <c r="PF65" s="28"/>
      <c r="PG65" s="28"/>
      <c r="PH65" s="28"/>
      <c r="PI65" s="28"/>
      <c r="PJ65" s="28"/>
      <c r="PK65" s="28"/>
      <c r="PL65" s="28"/>
      <c r="PM65" s="28"/>
      <c r="PN65" s="28"/>
      <c r="PO65" s="28"/>
      <c r="PP65" s="28"/>
      <c r="PQ65" s="28"/>
      <c r="PR65" s="28"/>
      <c r="PS65" s="28"/>
      <c r="PT65" s="28"/>
      <c r="PU65" s="28"/>
      <c r="PV65" s="28"/>
      <c r="PW65" s="28"/>
      <c r="PX65" s="28"/>
      <c r="PY65" s="28"/>
      <c r="PZ65" s="28"/>
      <c r="QA65" s="28"/>
      <c r="QB65" s="28"/>
      <c r="QC65" s="28"/>
      <c r="QD65" s="28"/>
      <c r="QE65" s="28"/>
      <c r="QF65" s="28"/>
      <c r="QG65" s="28"/>
      <c r="QH65" s="28"/>
      <c r="QI65" s="28"/>
      <c r="QJ65" s="28"/>
      <c r="QK65" s="28"/>
      <c r="QL65" s="28"/>
      <c r="QM65" s="28"/>
      <c r="QN65" s="28"/>
      <c r="QO65" s="28"/>
      <c r="QP65" s="28"/>
      <c r="QQ65" s="28"/>
      <c r="QR65" s="28"/>
      <c r="QS65" s="28"/>
      <c r="QT65" s="28"/>
      <c r="QU65" s="28"/>
      <c r="QV65" s="28"/>
      <c r="QW65" s="28"/>
      <c r="QX65" s="28"/>
      <c r="QY65" s="28"/>
      <c r="QZ65" s="28"/>
      <c r="RA65" s="28"/>
      <c r="RB65" s="28"/>
      <c r="RC65" s="28"/>
      <c r="RD65" s="28"/>
      <c r="RE65" s="28"/>
      <c r="RF65" s="28"/>
      <c r="RG65" s="28"/>
      <c r="RH65" s="28"/>
      <c r="RI65" s="28"/>
      <c r="RJ65" s="28"/>
      <c r="RK65" s="28"/>
      <c r="RL65" s="28"/>
      <c r="RM65" s="28"/>
      <c r="RN65" s="28"/>
      <c r="RO65" s="28"/>
      <c r="RP65" s="28"/>
      <c r="RQ65" s="28"/>
      <c r="RR65" s="28"/>
      <c r="RS65" s="28"/>
      <c r="RT65" s="28"/>
      <c r="RU65" s="28"/>
      <c r="RV65" s="28"/>
      <c r="RW65" s="28"/>
      <c r="RX65" s="28"/>
      <c r="RY65" s="28"/>
      <c r="RZ65" s="28"/>
      <c r="SA65" s="28"/>
      <c r="SB65" s="28"/>
      <c r="SC65" s="28"/>
      <c r="SD65" s="28"/>
      <c r="SE65" s="28"/>
      <c r="SF65" s="28"/>
      <c r="SG65" s="28"/>
      <c r="SH65" s="28"/>
      <c r="SI65" s="28"/>
      <c r="SJ65" s="28"/>
      <c r="SK65" s="28"/>
      <c r="SL65" s="28"/>
      <c r="SM65" s="28"/>
      <c r="SN65" s="28"/>
      <c r="SO65" s="28"/>
      <c r="SP65" s="28"/>
      <c r="SQ65" s="28"/>
      <c r="SR65" s="28"/>
      <c r="SS65" s="28"/>
      <c r="ST65" s="28"/>
      <c r="SU65" s="28"/>
      <c r="SV65" s="28"/>
      <c r="SW65" s="28"/>
      <c r="SX65" s="28"/>
      <c r="SY65" s="28"/>
      <c r="SZ65" s="28"/>
      <c r="TA65" s="28"/>
      <c r="TB65" s="28"/>
      <c r="TC65" s="28"/>
      <c r="TD65" s="28"/>
      <c r="TE65" s="28"/>
      <c r="TF65" s="28"/>
      <c r="TG65" s="28"/>
      <c r="TH65" s="28"/>
      <c r="TI65" s="28"/>
      <c r="TJ65" s="28"/>
      <c r="TK65" s="28"/>
      <c r="TL65" s="28"/>
      <c r="TM65" s="28"/>
      <c r="TN65" s="28"/>
      <c r="TO65" s="28"/>
      <c r="TP65" s="28"/>
      <c r="TQ65" s="28"/>
      <c r="TR65" s="28"/>
      <c r="TS65" s="28"/>
      <c r="TT65" s="28"/>
      <c r="TU65" s="28"/>
      <c r="TV65" s="28"/>
      <c r="TW65" s="28"/>
      <c r="TX65" s="28"/>
      <c r="TY65" s="28"/>
      <c r="TZ65" s="28"/>
      <c r="UA65" s="28"/>
      <c r="UB65" s="28"/>
      <c r="UC65" s="28"/>
      <c r="UD65" s="28"/>
      <c r="UE65" s="28"/>
      <c r="UF65" s="28"/>
      <c r="UG65" s="28"/>
      <c r="UH65" s="28"/>
      <c r="UI65" s="28"/>
      <c r="UJ65" s="28"/>
      <c r="UK65" s="28"/>
      <c r="UL65" s="28"/>
      <c r="UM65" s="28"/>
      <c r="UN65" s="28"/>
      <c r="UO65" s="28"/>
      <c r="UP65" s="28"/>
      <c r="UQ65" s="28"/>
      <c r="UR65" s="28"/>
      <c r="US65" s="28"/>
      <c r="UT65" s="28"/>
      <c r="UU65" s="28"/>
      <c r="UV65" s="28"/>
      <c r="UW65" s="28"/>
      <c r="UX65" s="28"/>
      <c r="UY65" s="28"/>
      <c r="UZ65" s="28"/>
      <c r="VA65" s="28"/>
      <c r="VB65" s="28"/>
      <c r="VC65" s="28"/>
      <c r="VD65" s="28"/>
      <c r="VE65" s="28"/>
      <c r="VF65" s="28"/>
      <c r="VG65" s="28"/>
      <c r="VH65" s="28"/>
      <c r="VI65" s="28"/>
      <c r="VJ65" s="28"/>
      <c r="VK65" s="28"/>
      <c r="VL65" s="28"/>
      <c r="VM65" s="28"/>
      <c r="VN65" s="28"/>
      <c r="VO65" s="28"/>
      <c r="VP65" s="28"/>
      <c r="VQ65" s="28"/>
      <c r="VR65" s="28"/>
      <c r="VS65" s="28"/>
      <c r="VT65" s="28"/>
      <c r="VU65" s="28"/>
      <c r="VV65" s="32"/>
      <c r="VW65" s="32"/>
      <c r="VX65" s="32"/>
      <c r="VY65" s="32"/>
      <c r="VZ65" s="32"/>
      <c r="WA65" s="32"/>
      <c r="WB65" s="32"/>
      <c r="WC65" s="32"/>
      <c r="WD65" s="32"/>
      <c r="WE65" s="32"/>
      <c r="WF65" s="32"/>
      <c r="WG65" s="32"/>
      <c r="WH65" s="32"/>
      <c r="WI65" s="32"/>
      <c r="WJ65" s="32"/>
      <c r="WK65" s="32"/>
      <c r="WL65" s="32"/>
      <c r="WM65" s="32"/>
      <c r="WN65" s="32"/>
      <c r="WO65" s="32"/>
      <c r="WP65" s="32"/>
      <c r="WQ65" s="32"/>
      <c r="WR65" s="32"/>
      <c r="WS65" s="32"/>
      <c r="WT65" s="32"/>
      <c r="WU65" s="32"/>
      <c r="WV65" s="32"/>
      <c r="WW65" s="32"/>
      <c r="WX65" s="32"/>
      <c r="WY65" s="32"/>
      <c r="WZ65" s="32"/>
      <c r="XA65" s="32"/>
      <c r="XB65" s="32"/>
      <c r="XC65" s="32"/>
      <c r="XD65" s="32"/>
      <c r="XE65" s="32"/>
      <c r="XF65" s="32"/>
      <c r="XG65" s="32"/>
      <c r="XH65" s="32"/>
      <c r="XI65" s="32"/>
      <c r="XJ65" s="32"/>
      <c r="XK65" s="32"/>
      <c r="XL65" s="32"/>
      <c r="XM65" s="32"/>
      <c r="XN65" s="32"/>
      <c r="XO65" s="32"/>
      <c r="XP65" s="32"/>
      <c r="XQ65" s="32"/>
      <c r="XR65" s="32"/>
      <c r="XS65" s="32"/>
      <c r="XT65" s="32"/>
      <c r="XU65" s="32"/>
      <c r="XV65" s="32"/>
      <c r="XW65" s="32"/>
      <c r="XX65" s="32"/>
      <c r="XY65" s="32"/>
      <c r="XZ65" s="32"/>
      <c r="YA65" s="32"/>
      <c r="YB65" s="32"/>
      <c r="YC65" s="32"/>
      <c r="YD65" s="32"/>
      <c r="YE65" s="32"/>
      <c r="YF65" s="32"/>
      <c r="YG65" s="32"/>
      <c r="YH65" s="32"/>
      <c r="YI65" s="32"/>
      <c r="YJ65" s="32"/>
      <c r="YK65" s="32"/>
      <c r="YL65" s="32"/>
      <c r="YM65" s="32"/>
      <c r="YN65" s="32"/>
      <c r="YO65" s="32"/>
      <c r="YP65" s="32"/>
      <c r="YQ65" s="32"/>
      <c r="YR65" s="32"/>
      <c r="YS65" s="32"/>
      <c r="YT65" s="32"/>
      <c r="YU65" s="32"/>
      <c r="YV65" s="32"/>
      <c r="YW65" s="32"/>
      <c r="YX65" s="32"/>
      <c r="YY65" s="32"/>
      <c r="YZ65" s="32"/>
      <c r="ZA65" s="32"/>
      <c r="ZB65" s="32"/>
      <c r="ZC65" s="32"/>
      <c r="ZD65" s="32"/>
      <c r="ZE65" s="32"/>
      <c r="ZF65" s="32"/>
      <c r="ZG65" s="32"/>
      <c r="ZH65" s="32"/>
      <c r="ZI65" s="32"/>
      <c r="ZJ65" s="32"/>
      <c r="ZK65" s="32"/>
      <c r="ZL65" s="32"/>
      <c r="ZM65" s="32"/>
      <c r="ZN65" s="32"/>
      <c r="ZO65" s="32"/>
      <c r="ZP65" s="32"/>
      <c r="ZQ65" s="32"/>
      <c r="ZR65" s="32"/>
      <c r="ZS65" s="32"/>
      <c r="ZT65" s="32"/>
      <c r="ZU65" s="32"/>
      <c r="ZV65" s="32"/>
      <c r="ZW65" s="32"/>
      <c r="ZX65" s="32"/>
      <c r="ZY65" s="32"/>
      <c r="ZZ65" s="32"/>
      <c r="AAA65" s="32"/>
      <c r="AAB65" s="32"/>
      <c r="AAC65" s="32"/>
      <c r="AAD65" s="32"/>
      <c r="AAE65" s="32"/>
      <c r="AAF65" s="32"/>
      <c r="AAG65" s="32"/>
      <c r="AAH65" s="32"/>
      <c r="AAI65" s="32"/>
      <c r="AAJ65" s="32"/>
      <c r="AAK65" s="32"/>
      <c r="AAL65" s="32"/>
      <c r="AAM65" s="32"/>
      <c r="AAN65" s="32"/>
      <c r="AAO65" s="32"/>
      <c r="AAP65" s="32"/>
      <c r="AAQ65" s="32"/>
      <c r="AAR65" s="32"/>
      <c r="AAS65" s="32"/>
      <c r="AAT65" s="32"/>
      <c r="AAU65" s="32"/>
      <c r="AAV65" s="32"/>
      <c r="AAW65" s="32"/>
      <c r="AAX65" s="32"/>
      <c r="AAY65" s="32"/>
      <c r="AAZ65" s="32"/>
      <c r="ABA65" s="32"/>
      <c r="ABB65" s="32"/>
      <c r="ABC65" s="32"/>
      <c r="ABD65" s="32"/>
      <c r="ABE65" s="32"/>
      <c r="ABF65" s="32"/>
      <c r="ABG65" s="32"/>
      <c r="ABH65" s="32"/>
      <c r="ABI65" s="32"/>
      <c r="ABJ65" s="32"/>
      <c r="ABK65" s="32"/>
      <c r="ABL65" s="32"/>
      <c r="ABM65" s="32"/>
      <c r="ABN65" s="32"/>
      <c r="ABO65" s="32"/>
      <c r="ABP65" s="32"/>
      <c r="ABQ65" s="32"/>
      <c r="ABR65" s="32"/>
    </row>
    <row r="66" spans="1:1822" customFormat="1" ht="28.8" x14ac:dyDescent="0.3">
      <c r="A66" s="2">
        <v>3</v>
      </c>
      <c r="B66" s="2" t="s">
        <v>17</v>
      </c>
      <c r="C66" s="156" t="s">
        <v>81</v>
      </c>
      <c r="D66" s="38" t="s">
        <v>82</v>
      </c>
      <c r="E66" s="22">
        <v>44853</v>
      </c>
      <c r="F66" s="22">
        <v>45492</v>
      </c>
      <c r="G66" s="81">
        <f t="shared" si="62"/>
        <v>45612</v>
      </c>
      <c r="H66" s="22"/>
      <c r="I66" s="22"/>
      <c r="J66" s="22"/>
      <c r="K66" s="23" t="s">
        <v>36</v>
      </c>
      <c r="L66" s="23">
        <f t="shared" ca="1" si="63"/>
        <v>42.7</v>
      </c>
      <c r="M66" s="23">
        <f t="shared" ca="1" si="64"/>
        <v>41.7</v>
      </c>
      <c r="N66" s="22"/>
      <c r="O66" s="22"/>
      <c r="P66" s="155">
        <f t="shared" si="65"/>
        <v>1</v>
      </c>
      <c r="Q66" s="23"/>
      <c r="R66" s="23"/>
      <c r="S66" s="23"/>
      <c r="T66" s="23"/>
      <c r="U66" s="23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  <c r="FS66" s="28"/>
      <c r="FT66" s="28"/>
      <c r="FU66" s="28"/>
      <c r="FV66" s="28"/>
      <c r="FW66" s="28"/>
      <c r="FX66" s="28"/>
      <c r="FY66" s="28"/>
      <c r="FZ66" s="28"/>
      <c r="GA66" s="28"/>
      <c r="GB66" s="28"/>
      <c r="GC66" s="28"/>
      <c r="GD66" s="28"/>
      <c r="GE66" s="28"/>
      <c r="GF66" s="28"/>
      <c r="GG66" s="28"/>
      <c r="GH66" s="28"/>
      <c r="GI66" s="28"/>
      <c r="GJ66" s="28"/>
      <c r="GK66" s="28"/>
      <c r="GL66" s="28"/>
      <c r="GM66" s="28"/>
      <c r="GN66" s="28"/>
      <c r="GO66" s="28"/>
      <c r="GP66" s="28"/>
      <c r="GQ66" s="28"/>
      <c r="GR66" s="28"/>
      <c r="GS66" s="28"/>
      <c r="GT66" s="28"/>
      <c r="GU66" s="28"/>
      <c r="GV66" s="28"/>
      <c r="GW66" s="28"/>
      <c r="GX66" s="28"/>
      <c r="GY66" s="28"/>
      <c r="GZ66" s="28"/>
      <c r="HA66" s="28"/>
      <c r="HB66" s="28"/>
      <c r="HC66" s="28"/>
      <c r="HD66" s="28"/>
      <c r="HE66" s="28"/>
      <c r="HF66" s="28"/>
      <c r="HG66" s="28"/>
      <c r="HH66" s="28"/>
      <c r="HI66" s="28"/>
      <c r="HJ66" s="28"/>
      <c r="HK66" s="28"/>
      <c r="HL66" s="28"/>
      <c r="HM66" s="28"/>
      <c r="HN66" s="28"/>
      <c r="HO66" s="28"/>
      <c r="HP66" s="28"/>
      <c r="HQ66" s="28"/>
      <c r="HR66" s="28"/>
      <c r="HS66" s="28"/>
      <c r="HT66" s="28"/>
      <c r="HU66" s="28"/>
      <c r="HV66" s="28"/>
      <c r="HW66" s="28"/>
      <c r="HX66" s="28"/>
      <c r="HY66" s="28"/>
      <c r="HZ66" s="28"/>
      <c r="IA66" s="28"/>
      <c r="IB66" s="28"/>
      <c r="IC66" s="28"/>
      <c r="ID66" s="28"/>
      <c r="IE66" s="28"/>
      <c r="IF66" s="28"/>
      <c r="IG66" s="28"/>
      <c r="IH66" s="28"/>
      <c r="II66" s="28"/>
      <c r="IJ66" s="28"/>
      <c r="IK66" s="28"/>
      <c r="IL66" s="28"/>
      <c r="IM66" s="28"/>
      <c r="IN66" s="28"/>
      <c r="IO66" s="28"/>
      <c r="IP66" s="28"/>
      <c r="IQ66" s="28"/>
      <c r="IR66" s="28"/>
      <c r="IS66" s="28"/>
      <c r="IT66" s="28"/>
      <c r="IU66" s="28"/>
      <c r="IV66" s="28"/>
      <c r="IW66" s="28"/>
      <c r="IX66" s="28"/>
      <c r="IY66" s="28"/>
      <c r="IZ66" s="28"/>
      <c r="JA66" s="28"/>
      <c r="JB66" s="28"/>
      <c r="JC66" s="28"/>
      <c r="JD66" s="26"/>
      <c r="JE66" s="26"/>
      <c r="JF66" s="26"/>
      <c r="JG66" s="26"/>
      <c r="JH66" s="26"/>
      <c r="JI66" s="26"/>
      <c r="JJ66" s="26"/>
      <c r="JK66" s="26"/>
      <c r="JL66" s="26"/>
      <c r="JM66" s="26"/>
      <c r="JN66" s="26"/>
      <c r="JO66" s="42"/>
      <c r="JP66" s="28"/>
      <c r="JQ66" s="28"/>
      <c r="JR66" s="28"/>
      <c r="JS66" s="28"/>
      <c r="JT66" s="28"/>
      <c r="JU66" s="28"/>
      <c r="JV66" s="28"/>
      <c r="JW66" s="28"/>
      <c r="JX66" s="28"/>
      <c r="JY66" s="28"/>
      <c r="JZ66" s="28"/>
      <c r="KA66" s="28"/>
      <c r="KB66" s="28"/>
      <c r="KC66" s="28"/>
      <c r="KD66" s="26"/>
      <c r="KE66" s="26"/>
      <c r="KF66" s="26"/>
      <c r="KG66" s="26"/>
      <c r="KH66" s="42"/>
      <c r="KI66" s="42"/>
      <c r="KJ66" s="42"/>
      <c r="KK66" s="42"/>
      <c r="KL66" s="42"/>
      <c r="KM66" s="42"/>
      <c r="KN66" s="42"/>
      <c r="KO66" s="42"/>
      <c r="KP66" s="42"/>
      <c r="KQ66" s="42"/>
      <c r="KR66" s="42"/>
      <c r="KS66" s="42"/>
      <c r="KT66" s="28"/>
      <c r="KU66" s="28"/>
      <c r="KV66" s="28"/>
      <c r="KW66" s="28"/>
      <c r="KX66" s="28"/>
      <c r="KY66" s="28"/>
      <c r="KZ66" s="28"/>
      <c r="LA66" s="28"/>
      <c r="LB66" s="28"/>
      <c r="LC66" s="28"/>
      <c r="LD66" s="28"/>
      <c r="LE66" s="28"/>
      <c r="LF66" s="28"/>
      <c r="LG66" s="28"/>
      <c r="LH66" s="28"/>
      <c r="LI66" s="42"/>
      <c r="LJ66" s="42"/>
      <c r="LK66" s="42"/>
      <c r="LL66" s="42"/>
      <c r="LM66" s="42"/>
      <c r="LN66" s="42"/>
      <c r="LO66" s="42"/>
      <c r="LP66" s="42"/>
      <c r="LQ66" s="42"/>
      <c r="LR66" s="42"/>
      <c r="LS66" s="42"/>
      <c r="LT66" s="42"/>
      <c r="LU66" s="42"/>
      <c r="LV66" s="42"/>
      <c r="LW66" s="42"/>
      <c r="LX66" s="42"/>
      <c r="LY66" s="28"/>
      <c r="LZ66" s="28"/>
      <c r="MA66" s="28"/>
      <c r="MB66" s="28"/>
      <c r="MC66" s="28"/>
      <c r="MD66" s="28"/>
      <c r="ME66" s="28"/>
      <c r="MF66" s="28"/>
      <c r="MG66" s="28"/>
      <c r="MH66" s="28"/>
      <c r="MI66" s="28"/>
      <c r="MJ66" s="28"/>
      <c r="MK66" s="28"/>
      <c r="ML66" s="28"/>
      <c r="MM66" s="42"/>
      <c r="MN66" s="42"/>
      <c r="MO66" s="42"/>
      <c r="MP66" s="42"/>
      <c r="MQ66" s="42"/>
      <c r="MR66" s="42"/>
      <c r="MS66" s="42"/>
      <c r="MT66" s="42"/>
      <c r="MU66" s="42"/>
      <c r="MV66" s="42"/>
      <c r="MW66" s="42"/>
      <c r="MX66" s="42"/>
      <c r="MY66" s="42"/>
      <c r="MZ66" s="42"/>
      <c r="NA66" s="42"/>
      <c r="NB66" s="42"/>
      <c r="NC66" s="28"/>
      <c r="ND66" s="28"/>
      <c r="NE66" s="28"/>
      <c r="NF66" s="28"/>
      <c r="NG66" s="28"/>
      <c r="NH66" s="28"/>
      <c r="NI66" s="28"/>
      <c r="NJ66" s="28"/>
      <c r="NK66" s="28"/>
      <c r="NL66" s="28"/>
      <c r="NM66" s="28"/>
      <c r="NN66" s="28"/>
      <c r="NO66" s="28"/>
      <c r="NP66" s="28"/>
      <c r="NQ66" s="28"/>
      <c r="NR66" s="42"/>
      <c r="NS66" s="42"/>
      <c r="NT66" s="42"/>
      <c r="NU66" s="42"/>
      <c r="NV66" s="42"/>
      <c r="NW66" s="42"/>
      <c r="NX66" s="42"/>
      <c r="NY66" s="42"/>
      <c r="NZ66" s="42"/>
      <c r="OA66" s="42"/>
      <c r="OB66" s="42"/>
      <c r="OC66" s="42"/>
      <c r="OD66" s="42"/>
      <c r="OE66" s="42"/>
      <c r="OF66" s="42"/>
      <c r="OG66" s="42"/>
      <c r="OH66" s="28"/>
      <c r="OI66" s="28"/>
      <c r="OJ66" s="28"/>
      <c r="OK66" s="28"/>
      <c r="OL66" s="28"/>
      <c r="OM66" s="28"/>
      <c r="ON66" s="28"/>
      <c r="OO66" s="28"/>
      <c r="OP66" s="28"/>
      <c r="OQ66" s="28"/>
      <c r="OR66" s="28"/>
      <c r="OS66" s="28"/>
      <c r="OT66" s="28"/>
      <c r="OU66" s="28"/>
      <c r="OV66" s="28"/>
      <c r="OW66" s="42"/>
      <c r="OX66" s="42"/>
      <c r="OY66" s="42"/>
      <c r="OZ66" s="42"/>
      <c r="PA66" s="42"/>
      <c r="PB66" s="42"/>
      <c r="PC66" s="42"/>
      <c r="PD66" s="42"/>
      <c r="PE66" s="42"/>
      <c r="PF66" s="42"/>
      <c r="PG66" s="42"/>
      <c r="PH66" s="26"/>
      <c r="PI66" s="26"/>
      <c r="PJ66" s="26"/>
      <c r="PK66" s="26"/>
      <c r="PL66" s="26"/>
      <c r="PM66" s="26"/>
      <c r="PN66" s="26"/>
      <c r="PO66" s="26"/>
      <c r="PP66" s="26"/>
      <c r="PQ66" s="26"/>
      <c r="PR66" s="26"/>
      <c r="PS66" s="26"/>
      <c r="PT66" s="26"/>
      <c r="PU66" s="26"/>
      <c r="PV66" s="26"/>
      <c r="PW66" s="26"/>
      <c r="PX66" s="26"/>
      <c r="PY66" s="26"/>
      <c r="PZ66" s="28"/>
      <c r="QA66" s="28"/>
      <c r="QB66" s="28"/>
      <c r="QC66" s="28"/>
      <c r="QD66" s="28"/>
      <c r="QE66" s="28"/>
      <c r="QF66" s="28"/>
      <c r="QG66" s="28"/>
      <c r="QH66" s="28"/>
      <c r="QI66" s="28"/>
      <c r="QJ66" s="28"/>
      <c r="QK66" s="28"/>
      <c r="QL66" s="28"/>
      <c r="QM66" s="28"/>
      <c r="QN66" s="28"/>
      <c r="QO66" s="28"/>
      <c r="QP66" s="28"/>
      <c r="QQ66" s="28"/>
      <c r="QR66" s="28"/>
      <c r="QS66" s="28"/>
      <c r="QT66" s="28"/>
      <c r="QU66" s="28"/>
      <c r="QV66" s="28"/>
      <c r="QW66" s="28"/>
      <c r="QX66" s="28"/>
      <c r="QY66" s="28"/>
      <c r="QZ66" s="28"/>
      <c r="RA66" s="28"/>
      <c r="RB66" s="28"/>
      <c r="RC66" s="28"/>
      <c r="RD66" s="28"/>
      <c r="RE66" s="28"/>
      <c r="RF66" s="28"/>
      <c r="RG66" s="28"/>
      <c r="RH66" s="28"/>
      <c r="RI66" s="28"/>
      <c r="RJ66" s="28"/>
      <c r="RK66" s="28"/>
      <c r="RL66" s="28"/>
      <c r="RM66" s="28"/>
      <c r="RN66" s="28"/>
      <c r="RO66" s="28"/>
      <c r="RP66" s="28"/>
      <c r="RQ66" s="28"/>
      <c r="RR66" s="28"/>
      <c r="RS66" s="28"/>
      <c r="RT66" s="28"/>
      <c r="RU66" s="28"/>
      <c r="RV66" s="28"/>
      <c r="RW66" s="28"/>
      <c r="RX66" s="28"/>
      <c r="RY66" s="28"/>
      <c r="RZ66" s="28"/>
      <c r="SA66" s="28"/>
      <c r="SB66" s="28"/>
      <c r="SC66" s="28"/>
      <c r="SD66" s="28"/>
      <c r="SE66" s="28"/>
      <c r="SF66" s="28"/>
      <c r="SG66" s="28"/>
      <c r="SH66" s="28"/>
      <c r="SI66" s="28"/>
      <c r="SJ66" s="28"/>
      <c r="SK66" s="28"/>
      <c r="SL66" s="28"/>
      <c r="SM66" s="28"/>
      <c r="SN66" s="28"/>
      <c r="SO66" s="28"/>
      <c r="SP66" s="28"/>
      <c r="SQ66" s="28"/>
      <c r="SR66" s="28"/>
      <c r="SS66" s="28"/>
      <c r="ST66" s="28"/>
      <c r="SU66" s="28"/>
      <c r="SV66" s="28"/>
      <c r="SW66" s="28"/>
      <c r="SX66" s="28"/>
      <c r="SY66" s="28"/>
      <c r="SZ66" s="28"/>
      <c r="TA66" s="28"/>
      <c r="TB66" s="28"/>
      <c r="TC66" s="28"/>
      <c r="TD66" s="28"/>
      <c r="TE66" s="28"/>
      <c r="TF66" s="28"/>
      <c r="TG66" s="28"/>
      <c r="TH66" s="28"/>
      <c r="TI66" s="28"/>
      <c r="TJ66" s="28"/>
      <c r="TK66" s="28"/>
      <c r="TL66" s="28"/>
      <c r="TM66" s="32"/>
      <c r="TN66" s="28"/>
      <c r="TO66" s="28"/>
      <c r="TP66" s="28"/>
      <c r="TQ66" s="28"/>
      <c r="TR66" s="28"/>
      <c r="TS66" s="28"/>
      <c r="TT66" s="28"/>
      <c r="TU66" s="28"/>
      <c r="TV66" s="28"/>
      <c r="TW66" s="28"/>
      <c r="TX66" s="28"/>
      <c r="TY66" s="28"/>
      <c r="TZ66" s="28"/>
      <c r="UA66" s="28"/>
      <c r="UB66" s="28"/>
      <c r="UC66" s="28"/>
      <c r="UD66" s="28"/>
      <c r="UE66" s="28"/>
      <c r="UF66" s="28"/>
      <c r="UG66" s="28"/>
      <c r="UH66" s="28"/>
      <c r="UI66" s="28"/>
      <c r="UJ66" s="28"/>
      <c r="UK66" s="28"/>
      <c r="UL66" s="28"/>
      <c r="UM66" s="28"/>
      <c r="UN66" s="28"/>
      <c r="UO66" s="28"/>
      <c r="UP66" s="28"/>
      <c r="UQ66" s="28"/>
      <c r="UR66" s="28"/>
      <c r="US66" s="28"/>
      <c r="UT66" s="28"/>
      <c r="UU66" s="28"/>
      <c r="UV66" s="28"/>
      <c r="UW66" s="28"/>
      <c r="UX66" s="28"/>
      <c r="UY66" s="28"/>
      <c r="UZ66" s="28"/>
      <c r="VA66" s="28"/>
      <c r="VB66" s="28"/>
      <c r="VC66" s="28"/>
      <c r="VD66" s="28"/>
      <c r="VE66" s="28"/>
      <c r="VF66" s="28"/>
      <c r="VG66" s="28"/>
      <c r="VH66" s="28"/>
      <c r="VI66" s="28"/>
      <c r="VJ66" s="28"/>
      <c r="VK66" s="28"/>
      <c r="VL66" s="28"/>
      <c r="VM66" s="28"/>
      <c r="VN66" s="28"/>
      <c r="VO66" s="28"/>
      <c r="VP66" s="28"/>
      <c r="VQ66" s="28"/>
      <c r="VR66" s="28"/>
      <c r="VS66" s="28"/>
      <c r="VT66" s="28"/>
      <c r="VU66" s="28"/>
      <c r="VV66" s="32"/>
      <c r="VW66" s="32"/>
      <c r="VX66" s="32"/>
      <c r="VY66" s="32"/>
      <c r="VZ66" s="32"/>
      <c r="WA66" s="32"/>
      <c r="WB66" s="32"/>
      <c r="WC66" s="32"/>
      <c r="WD66" s="32"/>
      <c r="WE66" s="32"/>
      <c r="WF66" s="32"/>
      <c r="WG66" s="32"/>
      <c r="WH66" s="32"/>
      <c r="WI66" s="32"/>
      <c r="WJ66" s="32"/>
      <c r="WK66" s="32"/>
      <c r="WL66" s="32"/>
      <c r="WM66" s="32"/>
      <c r="WN66" s="32"/>
      <c r="WO66" s="32"/>
      <c r="WP66" s="32"/>
      <c r="WQ66" s="32"/>
      <c r="WR66" s="32"/>
      <c r="WS66" s="32"/>
      <c r="WT66" s="32"/>
      <c r="WU66" s="32"/>
      <c r="WV66" s="32"/>
      <c r="WW66" s="32"/>
      <c r="WX66" s="32"/>
      <c r="WY66" s="32"/>
      <c r="WZ66" s="32"/>
      <c r="XA66" s="32"/>
      <c r="XB66" s="32"/>
      <c r="XC66" s="32"/>
      <c r="XD66" s="32"/>
      <c r="XE66" s="32"/>
      <c r="XF66" s="32"/>
      <c r="XG66" s="32"/>
      <c r="XH66" s="32"/>
      <c r="XI66" s="32"/>
      <c r="XJ66" s="32"/>
      <c r="XK66" s="32"/>
      <c r="XL66" s="32"/>
      <c r="XM66" s="32"/>
      <c r="XN66" s="32"/>
      <c r="XO66" s="32"/>
      <c r="XP66" s="32"/>
      <c r="XQ66" s="32"/>
      <c r="XR66" s="32"/>
      <c r="XS66" s="32"/>
      <c r="XT66" s="32"/>
      <c r="XU66" s="32"/>
      <c r="XV66" s="32"/>
      <c r="XW66" s="32"/>
      <c r="XX66" s="32"/>
      <c r="XY66" s="32"/>
      <c r="XZ66" s="32"/>
      <c r="YA66" s="32"/>
      <c r="YB66" s="32"/>
      <c r="YC66" s="32"/>
      <c r="YD66" s="32"/>
      <c r="YE66" s="32"/>
      <c r="YF66" s="32"/>
      <c r="YG66" s="32"/>
      <c r="YH66" s="32"/>
      <c r="YI66" s="32"/>
      <c r="YJ66" s="32"/>
      <c r="YK66" s="32"/>
      <c r="YL66" s="32"/>
      <c r="YM66" s="32"/>
      <c r="YN66" s="32"/>
      <c r="YO66" s="32"/>
      <c r="YP66" s="32"/>
      <c r="YQ66" s="32"/>
      <c r="YR66" s="32"/>
      <c r="YS66" s="32"/>
      <c r="YT66" s="32"/>
      <c r="YU66" s="32"/>
      <c r="YV66" s="32"/>
      <c r="YW66" s="32"/>
      <c r="YX66" s="32"/>
      <c r="YY66" s="32"/>
      <c r="YZ66" s="32"/>
      <c r="ZA66" s="32"/>
      <c r="ZB66" s="32"/>
      <c r="ZC66" s="32"/>
      <c r="ZD66" s="32"/>
      <c r="ZE66" s="32"/>
      <c r="ZF66" s="32"/>
      <c r="ZG66" s="32"/>
      <c r="ZH66" s="32"/>
      <c r="ZI66" s="32"/>
      <c r="ZJ66" s="32"/>
      <c r="ZK66" s="32"/>
      <c r="ZL66" s="32"/>
      <c r="ZM66" s="32"/>
      <c r="ZN66" s="32"/>
      <c r="ZO66" s="32"/>
      <c r="ZP66" s="32"/>
      <c r="ZQ66" s="32"/>
      <c r="ZR66" s="32"/>
      <c r="ZS66" s="32"/>
      <c r="ZT66" s="32"/>
      <c r="ZU66" s="32"/>
      <c r="ZV66" s="32"/>
      <c r="ZW66" s="32"/>
      <c r="ZX66" s="32"/>
      <c r="ZY66" s="32"/>
      <c r="ZZ66" s="32"/>
      <c r="AAA66" s="32"/>
      <c r="AAB66" s="32"/>
      <c r="AAC66" s="32"/>
      <c r="AAD66" s="32"/>
      <c r="AAE66" s="32"/>
      <c r="AAF66" s="32"/>
      <c r="AAG66" s="32"/>
      <c r="AAH66" s="32"/>
      <c r="AAI66" s="32"/>
      <c r="AAJ66" s="32"/>
      <c r="AAK66" s="32"/>
      <c r="AAL66" s="32"/>
      <c r="AAM66" s="32"/>
      <c r="AAN66" s="32"/>
      <c r="AAO66" s="32"/>
      <c r="AAP66" s="32"/>
      <c r="AAQ66" s="32"/>
      <c r="AAR66" s="32"/>
      <c r="AAS66" s="32"/>
      <c r="AAT66" s="32"/>
      <c r="AAU66" s="32"/>
      <c r="AAV66" s="32"/>
      <c r="AAW66" s="32"/>
      <c r="AAX66" s="32"/>
      <c r="AAY66" s="32"/>
      <c r="AAZ66" s="32"/>
      <c r="ABA66" s="32"/>
      <c r="ABB66" s="32"/>
      <c r="ABC66" s="32"/>
      <c r="ABD66" s="32"/>
      <c r="ABE66" s="32"/>
      <c r="ABF66" s="32"/>
      <c r="ABG66" s="32"/>
      <c r="ABH66" s="32"/>
      <c r="ABI66" s="32"/>
      <c r="ABJ66" s="32"/>
      <c r="ABK66" s="32"/>
      <c r="ABL66" s="32"/>
      <c r="ABM66" s="32"/>
      <c r="ABN66" s="32"/>
      <c r="ABO66" s="32"/>
      <c r="ABP66" s="32"/>
      <c r="ABQ66" s="32"/>
      <c r="ABR66" s="32"/>
    </row>
    <row r="67" spans="1:1822" customFormat="1" x14ac:dyDescent="0.3">
      <c r="A67" s="123">
        <v>4</v>
      </c>
      <c r="B67" s="2" t="s">
        <v>17</v>
      </c>
      <c r="C67" s="157" t="s">
        <v>83</v>
      </c>
      <c r="D67" s="158" t="s">
        <v>84</v>
      </c>
      <c r="E67" s="22">
        <v>44853</v>
      </c>
      <c r="F67" s="22">
        <v>45492</v>
      </c>
      <c r="G67" s="81">
        <f t="shared" si="62"/>
        <v>45612</v>
      </c>
      <c r="H67" s="159"/>
      <c r="I67" s="109"/>
      <c r="J67" s="37"/>
      <c r="K67" s="77" t="s">
        <v>36</v>
      </c>
      <c r="L67" s="23">
        <f t="shared" ca="1" si="63"/>
        <v>42.7</v>
      </c>
      <c r="M67" s="23">
        <f t="shared" ca="1" si="64"/>
        <v>41.7</v>
      </c>
      <c r="N67" s="134"/>
      <c r="O67" s="134"/>
      <c r="P67" s="155">
        <f t="shared" si="65"/>
        <v>1</v>
      </c>
      <c r="Q67" s="37"/>
      <c r="R67" s="37"/>
      <c r="S67" s="37"/>
      <c r="T67" s="37"/>
      <c r="U67" s="37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28"/>
      <c r="HB67" s="28"/>
      <c r="HC67" s="28"/>
      <c r="HD67" s="28"/>
      <c r="HE67" s="28"/>
      <c r="HF67" s="28"/>
      <c r="HG67" s="28"/>
      <c r="HH67" s="28"/>
      <c r="HI67" s="28"/>
      <c r="HJ67" s="28"/>
      <c r="HK67" s="28"/>
      <c r="HL67" s="28"/>
      <c r="HM67" s="28"/>
      <c r="HN67" s="28"/>
      <c r="HO67" s="28"/>
      <c r="HP67" s="28"/>
      <c r="HQ67" s="28"/>
      <c r="HR67" s="32"/>
      <c r="HS67" s="32"/>
      <c r="HT67" s="32"/>
      <c r="HU67" s="28"/>
      <c r="HV67" s="28"/>
      <c r="HW67" s="28"/>
      <c r="HX67" s="28"/>
      <c r="HY67" s="28"/>
      <c r="HZ67" s="28"/>
      <c r="IA67" s="28"/>
      <c r="IB67" s="28"/>
      <c r="IC67" s="28"/>
      <c r="ID67" s="28"/>
      <c r="IE67" s="28"/>
      <c r="IF67" s="28"/>
      <c r="IG67" s="28"/>
      <c r="IH67" s="28"/>
      <c r="II67" s="28"/>
      <c r="IJ67" s="28"/>
      <c r="IK67" s="28"/>
      <c r="IL67" s="28"/>
      <c r="IM67" s="28"/>
      <c r="IN67" s="28"/>
      <c r="IO67" s="28"/>
      <c r="IP67" s="28"/>
      <c r="IQ67" s="28"/>
      <c r="IR67" s="28"/>
      <c r="IS67" s="28"/>
      <c r="IT67" s="28"/>
      <c r="IU67" s="28"/>
      <c r="IV67" s="28"/>
      <c r="IW67" s="28"/>
      <c r="IX67" s="28"/>
      <c r="IY67" s="28"/>
      <c r="IZ67" s="28"/>
      <c r="JA67" s="28"/>
      <c r="JB67" s="28"/>
      <c r="JC67" s="28"/>
      <c r="JD67" s="28"/>
      <c r="JE67" s="28"/>
      <c r="JF67" s="28"/>
      <c r="JG67" s="28"/>
      <c r="JH67" s="28"/>
      <c r="JI67" s="28"/>
      <c r="JJ67" s="28"/>
      <c r="JK67" s="28"/>
      <c r="JL67" s="28"/>
      <c r="JM67" s="28"/>
      <c r="JN67" s="28"/>
      <c r="JO67" s="28"/>
      <c r="JP67" s="28"/>
      <c r="JQ67" s="28"/>
      <c r="JR67" s="28"/>
      <c r="JS67" s="28"/>
      <c r="JT67" s="28"/>
      <c r="JU67" s="28"/>
      <c r="JV67" s="28"/>
      <c r="JW67" s="28"/>
      <c r="JX67" s="28"/>
      <c r="JY67" s="28"/>
      <c r="JZ67" s="28"/>
      <c r="KA67" s="28"/>
      <c r="KB67" s="28"/>
      <c r="KC67" s="28"/>
      <c r="KD67" s="28"/>
      <c r="KE67" s="28"/>
      <c r="KF67" s="28"/>
      <c r="KG67" s="28"/>
      <c r="KH67" s="28"/>
      <c r="KI67" s="28"/>
      <c r="KJ67" s="28"/>
      <c r="KK67" s="28"/>
      <c r="KL67" s="28"/>
      <c r="KM67" s="28"/>
      <c r="KN67" s="28"/>
      <c r="KO67" s="28"/>
      <c r="KP67" s="28"/>
      <c r="KQ67" s="28"/>
      <c r="KR67" s="28"/>
      <c r="KS67" s="28"/>
      <c r="KT67" s="28"/>
      <c r="KU67" s="28"/>
      <c r="KV67" s="28"/>
      <c r="KW67" s="28"/>
      <c r="KX67" s="28"/>
      <c r="KY67" s="28"/>
      <c r="KZ67" s="28"/>
      <c r="LA67" s="28"/>
      <c r="LB67" s="28"/>
      <c r="LC67" s="28"/>
      <c r="LD67" s="28"/>
      <c r="LE67" s="28"/>
      <c r="LF67" s="28"/>
      <c r="LG67" s="28"/>
      <c r="LH67" s="28"/>
      <c r="LI67" s="28"/>
      <c r="LJ67" s="28"/>
      <c r="LK67" s="28"/>
      <c r="LL67" s="28"/>
      <c r="LM67" s="28"/>
      <c r="LN67" s="28"/>
      <c r="LO67" s="28"/>
      <c r="LP67" s="28"/>
      <c r="LQ67" s="28"/>
      <c r="LR67" s="28"/>
      <c r="LS67" s="28"/>
      <c r="LT67" s="28"/>
      <c r="LU67" s="28"/>
      <c r="LV67" s="28"/>
      <c r="LW67" s="28"/>
      <c r="LX67" s="28"/>
      <c r="LY67" s="28"/>
      <c r="LZ67" s="28"/>
      <c r="MA67" s="28"/>
      <c r="MB67" s="28"/>
      <c r="MC67" s="28"/>
      <c r="MD67" s="28"/>
      <c r="ME67" s="28"/>
      <c r="MF67" s="28"/>
      <c r="MG67" s="28"/>
      <c r="MH67" s="28"/>
      <c r="MI67" s="28"/>
      <c r="MJ67" s="28"/>
      <c r="MK67" s="28"/>
      <c r="ML67" s="28"/>
      <c r="MM67" s="28"/>
      <c r="MN67" s="28"/>
      <c r="MO67" s="28"/>
      <c r="MP67" s="28"/>
      <c r="MQ67" s="28"/>
      <c r="MR67" s="28"/>
      <c r="MS67" s="28"/>
      <c r="MT67" s="28"/>
      <c r="MU67" s="28"/>
      <c r="MV67" s="28"/>
      <c r="MW67" s="28"/>
      <c r="MX67" s="28"/>
      <c r="MY67" s="28"/>
      <c r="MZ67" s="28"/>
      <c r="NA67" s="28"/>
      <c r="NB67" s="28"/>
      <c r="NC67" s="28"/>
      <c r="ND67" s="28"/>
      <c r="NE67" s="28"/>
      <c r="NF67" s="28"/>
      <c r="NG67" s="28"/>
      <c r="NH67" s="28"/>
      <c r="NI67" s="28"/>
      <c r="NJ67" s="28"/>
      <c r="NK67" s="28"/>
      <c r="NL67" s="28"/>
      <c r="NM67" s="28"/>
      <c r="NN67" s="28"/>
      <c r="NO67" s="28"/>
      <c r="NP67" s="28"/>
      <c r="NQ67" s="28"/>
      <c r="NR67" s="28"/>
      <c r="NS67" s="28"/>
      <c r="NT67" s="28"/>
      <c r="NU67" s="28"/>
      <c r="NV67" s="28"/>
      <c r="NW67" s="28"/>
      <c r="NX67" s="28"/>
      <c r="NY67" s="28"/>
      <c r="NZ67" s="28"/>
      <c r="OA67" s="28"/>
      <c r="OB67" s="28"/>
      <c r="OC67" s="28"/>
      <c r="OD67" s="28"/>
      <c r="OE67" s="28"/>
      <c r="OF67" s="28"/>
      <c r="OG67" s="28"/>
      <c r="OH67" s="28"/>
      <c r="OI67" s="28"/>
      <c r="OJ67" s="28"/>
      <c r="OK67" s="28"/>
      <c r="OL67" s="28"/>
      <c r="OM67" s="28"/>
      <c r="ON67" s="28"/>
      <c r="OO67" s="28"/>
      <c r="OP67" s="28"/>
      <c r="OQ67" s="28"/>
      <c r="OR67" s="28"/>
      <c r="OS67" s="28"/>
      <c r="OT67" s="28"/>
      <c r="OU67" s="28"/>
      <c r="OV67" s="28"/>
      <c r="OW67" s="28"/>
      <c r="OX67" s="28"/>
      <c r="OY67" s="28"/>
      <c r="OZ67" s="28"/>
      <c r="PA67" s="28"/>
      <c r="PB67" s="28"/>
      <c r="PC67" s="28"/>
      <c r="PD67" s="28"/>
      <c r="PE67" s="28"/>
      <c r="PF67" s="28"/>
      <c r="PG67" s="28"/>
      <c r="PH67" s="28"/>
      <c r="PI67" s="28"/>
      <c r="PJ67" s="28"/>
      <c r="PK67" s="28"/>
      <c r="PL67" s="28"/>
      <c r="PM67" s="28"/>
      <c r="PN67" s="28"/>
      <c r="PO67" s="28"/>
      <c r="PP67" s="28"/>
      <c r="PQ67" s="28"/>
      <c r="PR67" s="28"/>
      <c r="PS67" s="28"/>
      <c r="PT67" s="28"/>
      <c r="PU67" s="28"/>
      <c r="PV67" s="28"/>
      <c r="PW67" s="28"/>
      <c r="PX67" s="28"/>
      <c r="PY67" s="28"/>
      <c r="PZ67" s="28"/>
      <c r="QA67" s="28"/>
      <c r="QB67" s="28"/>
      <c r="QC67" s="28"/>
      <c r="QD67" s="28"/>
      <c r="QE67" s="28"/>
      <c r="QF67" s="28"/>
      <c r="QG67" s="28"/>
      <c r="QH67" s="28"/>
      <c r="QI67" s="28"/>
      <c r="QJ67" s="28"/>
      <c r="QK67" s="28"/>
      <c r="QL67" s="28"/>
      <c r="QM67" s="28"/>
      <c r="QN67" s="28"/>
      <c r="QO67" s="28"/>
      <c r="QP67" s="28"/>
      <c r="QQ67" s="28"/>
      <c r="QR67" s="28"/>
      <c r="QS67" s="28"/>
      <c r="QT67" s="28"/>
      <c r="QU67" s="28"/>
      <c r="QV67" s="28"/>
      <c r="QW67" s="28"/>
      <c r="QX67" s="28"/>
      <c r="QY67" s="28"/>
      <c r="QZ67" s="28"/>
      <c r="RA67" s="28"/>
      <c r="RB67" s="28"/>
      <c r="RC67" s="28"/>
      <c r="RD67" s="28"/>
      <c r="RE67" s="28"/>
      <c r="RF67" s="28"/>
      <c r="RG67" s="28"/>
      <c r="RH67" s="28"/>
      <c r="RI67" s="28"/>
      <c r="RJ67" s="28"/>
      <c r="RK67" s="28"/>
      <c r="RL67" s="28"/>
      <c r="RM67" s="28"/>
      <c r="RN67" s="28"/>
      <c r="RO67" s="28"/>
      <c r="RP67" s="28"/>
      <c r="RQ67" s="28"/>
      <c r="RR67" s="28"/>
      <c r="RS67" s="28"/>
      <c r="RT67" s="28"/>
      <c r="RU67" s="28"/>
      <c r="RV67" s="28"/>
      <c r="RW67" s="28"/>
      <c r="RX67" s="28"/>
      <c r="RY67" s="28"/>
      <c r="RZ67" s="28"/>
      <c r="SA67" s="28"/>
      <c r="SB67" s="28"/>
      <c r="SC67" s="28"/>
      <c r="SD67" s="28"/>
      <c r="SE67" s="28"/>
      <c r="SF67" s="28"/>
      <c r="SG67" s="28"/>
      <c r="SH67" s="28"/>
      <c r="SI67" s="28"/>
      <c r="SJ67" s="28"/>
      <c r="SK67" s="28"/>
      <c r="SL67" s="28"/>
      <c r="SM67" s="28"/>
      <c r="SN67" s="28"/>
      <c r="SO67" s="28"/>
      <c r="SP67" s="28"/>
      <c r="SQ67" s="28"/>
      <c r="SR67" s="28"/>
      <c r="SS67" s="28"/>
      <c r="ST67" s="28"/>
      <c r="SU67" s="28"/>
      <c r="SV67" s="28"/>
      <c r="SW67" s="28"/>
      <c r="SX67" s="28"/>
      <c r="SY67" s="28"/>
      <c r="SZ67" s="28"/>
      <c r="TA67" s="28"/>
      <c r="TB67" s="28"/>
      <c r="TC67" s="28"/>
      <c r="TD67" s="28"/>
      <c r="TE67" s="28"/>
      <c r="TF67" s="28"/>
      <c r="TG67" s="28"/>
      <c r="TH67" s="28"/>
      <c r="TI67" s="28"/>
      <c r="TJ67" s="28"/>
      <c r="TK67" s="28"/>
      <c r="TL67" s="28"/>
      <c r="TM67" s="28"/>
      <c r="TN67" s="28"/>
      <c r="TO67" s="28"/>
      <c r="TP67" s="28"/>
      <c r="TQ67" s="28"/>
      <c r="TR67" s="28"/>
      <c r="TS67" s="28"/>
      <c r="TT67" s="28"/>
      <c r="TU67" s="28"/>
      <c r="TV67" s="28"/>
      <c r="TW67" s="28"/>
      <c r="TX67" s="28"/>
      <c r="TY67" s="28"/>
      <c r="TZ67" s="28"/>
      <c r="UA67" s="28"/>
      <c r="UB67" s="28"/>
      <c r="UC67" s="28"/>
      <c r="UD67" s="28"/>
      <c r="UE67" s="28"/>
      <c r="UF67" s="28"/>
      <c r="UG67" s="28"/>
      <c r="UH67" s="28"/>
      <c r="UI67" s="28"/>
      <c r="UJ67" s="28"/>
      <c r="UK67" s="28"/>
      <c r="UL67" s="28"/>
      <c r="UM67" s="28"/>
      <c r="UN67" s="28"/>
      <c r="UO67" s="28"/>
      <c r="UP67" s="28"/>
      <c r="UQ67" s="28"/>
      <c r="UR67" s="28"/>
      <c r="US67" s="28"/>
      <c r="UT67" s="28"/>
      <c r="UU67" s="28"/>
      <c r="UV67" s="28"/>
      <c r="UW67" s="28"/>
      <c r="UX67" s="28"/>
      <c r="UY67" s="28"/>
      <c r="UZ67" s="28"/>
      <c r="VA67" s="28"/>
      <c r="VB67" s="28"/>
      <c r="VC67" s="28"/>
      <c r="VD67" s="28"/>
      <c r="VE67" s="28"/>
      <c r="VF67" s="28"/>
      <c r="VG67" s="28"/>
      <c r="VH67" s="28"/>
      <c r="VI67" s="28"/>
      <c r="VJ67" s="28"/>
      <c r="VK67" s="28"/>
      <c r="VL67" s="28"/>
      <c r="VM67" s="28"/>
      <c r="VN67" s="28"/>
      <c r="VO67" s="28"/>
      <c r="VP67" s="28"/>
      <c r="VQ67" s="28"/>
      <c r="VR67" s="28"/>
      <c r="VS67" s="28"/>
      <c r="VT67" s="28"/>
      <c r="VU67" s="28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</row>
    <row r="68" spans="1:1822" customFormat="1" x14ac:dyDescent="0.3">
      <c r="A68" s="2">
        <v>5</v>
      </c>
      <c r="B68" s="2" t="s">
        <v>17</v>
      </c>
      <c r="C68" s="38" t="s">
        <v>85</v>
      </c>
      <c r="D68" s="38" t="s">
        <v>86</v>
      </c>
      <c r="E68" s="22">
        <v>44853</v>
      </c>
      <c r="F68" s="22">
        <v>45492</v>
      </c>
      <c r="G68" s="81">
        <f t="shared" si="62"/>
        <v>45612</v>
      </c>
      <c r="H68" s="22"/>
      <c r="I68" s="22"/>
      <c r="J68" s="22"/>
      <c r="K68" s="23" t="s">
        <v>36</v>
      </c>
      <c r="L68" s="23">
        <f t="shared" ca="1" si="63"/>
        <v>42.7</v>
      </c>
      <c r="M68" s="23">
        <f t="shared" ca="1" si="64"/>
        <v>41.7</v>
      </c>
      <c r="N68" s="135"/>
      <c r="O68" s="135"/>
      <c r="P68" s="155">
        <f t="shared" si="65"/>
        <v>1</v>
      </c>
      <c r="Q68" s="23"/>
      <c r="R68" s="23"/>
      <c r="S68" s="23"/>
      <c r="T68" s="23"/>
      <c r="U68" s="23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  <c r="FS68" s="28"/>
      <c r="FT68" s="28"/>
      <c r="FU68" s="28"/>
      <c r="FV68" s="28"/>
      <c r="FW68" s="28"/>
      <c r="FX68" s="28"/>
      <c r="FY68" s="28"/>
      <c r="FZ68" s="28"/>
      <c r="GA68" s="28"/>
      <c r="GB68" s="28"/>
      <c r="GC68" s="28"/>
      <c r="GD68" s="28"/>
      <c r="GE68" s="28"/>
      <c r="GF68" s="28"/>
      <c r="GG68" s="28"/>
      <c r="GH68" s="28"/>
      <c r="GI68" s="28"/>
      <c r="GJ68" s="28"/>
      <c r="GK68" s="28"/>
      <c r="GL68" s="28"/>
      <c r="GM68" s="28"/>
      <c r="GN68" s="28"/>
      <c r="GO68" s="28"/>
      <c r="GP68" s="28"/>
      <c r="GQ68" s="28"/>
      <c r="GR68" s="28"/>
      <c r="GS68" s="28"/>
      <c r="GT68" s="28"/>
      <c r="GU68" s="28"/>
      <c r="GV68" s="28"/>
      <c r="GW68" s="28"/>
      <c r="GX68" s="28"/>
      <c r="GY68" s="28"/>
      <c r="GZ68" s="28"/>
      <c r="HA68" s="28"/>
      <c r="HB68" s="28"/>
      <c r="HC68" s="28"/>
      <c r="HD68" s="28"/>
      <c r="HE68" s="28"/>
      <c r="HF68" s="28"/>
      <c r="HG68" s="28"/>
      <c r="HH68" s="28"/>
      <c r="HI68" s="28"/>
      <c r="HJ68" s="28"/>
      <c r="HK68" s="28"/>
      <c r="HL68" s="28"/>
      <c r="HM68" s="28"/>
      <c r="HN68" s="28"/>
      <c r="HO68" s="28"/>
      <c r="HP68" s="28"/>
      <c r="HQ68" s="28"/>
      <c r="HR68" s="28"/>
      <c r="HS68" s="28"/>
      <c r="HT68" s="28"/>
      <c r="HU68" s="42"/>
      <c r="HV68" s="42"/>
      <c r="HW68" s="42"/>
      <c r="HX68" s="42"/>
      <c r="HY68" s="42"/>
      <c r="HZ68" s="42"/>
      <c r="IA68" s="42"/>
      <c r="IB68" s="42"/>
      <c r="IC68" s="42"/>
      <c r="ID68" s="42"/>
      <c r="IE68" s="42"/>
      <c r="IF68" s="42"/>
      <c r="IG68" s="42"/>
      <c r="IH68" s="42"/>
      <c r="II68" s="42"/>
      <c r="IJ68" s="42"/>
      <c r="IK68" s="28"/>
      <c r="IL68" s="28"/>
      <c r="IM68" s="28"/>
      <c r="IN68" s="28"/>
      <c r="IO68" s="28"/>
      <c r="IP68" s="28"/>
      <c r="IQ68" s="28"/>
      <c r="IR68" s="28"/>
      <c r="IS68" s="28"/>
      <c r="IT68" s="28"/>
      <c r="IU68" s="28"/>
      <c r="IV68" s="28"/>
      <c r="IW68" s="28"/>
      <c r="IX68" s="28"/>
      <c r="IY68" s="28"/>
      <c r="IZ68" s="28"/>
      <c r="JA68" s="28"/>
      <c r="JB68" s="28"/>
      <c r="JC68" s="28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42"/>
      <c r="JP68" s="28"/>
      <c r="JQ68" s="28"/>
      <c r="JR68" s="28"/>
      <c r="JS68" s="28"/>
      <c r="JT68" s="28"/>
      <c r="JU68" s="28"/>
      <c r="JV68" s="28"/>
      <c r="JW68" s="28"/>
      <c r="JX68" s="28"/>
      <c r="JY68" s="28"/>
      <c r="JZ68" s="28"/>
      <c r="KA68" s="28"/>
      <c r="KB68" s="28"/>
      <c r="KC68" s="28"/>
      <c r="KD68" s="26"/>
      <c r="KE68" s="26"/>
      <c r="KF68" s="26"/>
      <c r="KG68" s="26"/>
      <c r="KH68" s="42"/>
      <c r="KI68" s="42"/>
      <c r="KJ68" s="42"/>
      <c r="KK68" s="42"/>
      <c r="KL68" s="42"/>
      <c r="KM68" s="42"/>
      <c r="KN68" s="42"/>
      <c r="KO68" s="42"/>
      <c r="KP68" s="42"/>
      <c r="KQ68" s="42"/>
      <c r="KR68" s="42"/>
      <c r="KS68" s="42"/>
      <c r="KT68" s="28"/>
      <c r="KU68" s="28"/>
      <c r="KV68" s="28"/>
      <c r="KW68" s="28"/>
      <c r="KX68" s="28"/>
      <c r="KY68" s="28"/>
      <c r="KZ68" s="28"/>
      <c r="LA68" s="28"/>
      <c r="LB68" s="28"/>
      <c r="LC68" s="28"/>
      <c r="LD68" s="28"/>
      <c r="LE68" s="28"/>
      <c r="LF68" s="28"/>
      <c r="LG68" s="28"/>
      <c r="LH68" s="28"/>
      <c r="LI68" s="42"/>
      <c r="LJ68" s="42"/>
      <c r="LK68" s="42"/>
      <c r="LL68" s="42"/>
      <c r="LM68" s="42"/>
      <c r="LN68" s="42"/>
      <c r="LO68" s="42"/>
      <c r="LP68" s="42"/>
      <c r="LQ68" s="42"/>
      <c r="LR68" s="42"/>
      <c r="LS68" s="42"/>
      <c r="LT68" s="42"/>
      <c r="LU68" s="42"/>
      <c r="LV68" s="42"/>
      <c r="LW68" s="42"/>
      <c r="LX68" s="42"/>
      <c r="LY68" s="28"/>
      <c r="LZ68" s="28"/>
      <c r="MA68" s="28"/>
      <c r="MB68" s="28"/>
      <c r="MC68" s="28"/>
      <c r="MD68" s="28"/>
      <c r="ME68" s="28"/>
      <c r="MF68" s="28"/>
      <c r="MG68" s="28"/>
      <c r="MH68" s="28"/>
      <c r="MI68" s="28"/>
      <c r="MJ68" s="28"/>
      <c r="MK68" s="28"/>
      <c r="ML68" s="28"/>
      <c r="MM68" s="42"/>
      <c r="MN68" s="42"/>
      <c r="MO68" s="42"/>
      <c r="MP68" s="42"/>
      <c r="MQ68" s="42"/>
      <c r="MR68" s="42"/>
      <c r="MS68" s="42"/>
      <c r="MT68" s="42"/>
      <c r="MU68" s="42"/>
      <c r="MV68" s="42"/>
      <c r="MW68" s="42"/>
      <c r="MX68" s="42"/>
      <c r="MY68" s="42"/>
      <c r="MZ68" s="42"/>
      <c r="NA68" s="42"/>
      <c r="NB68" s="42"/>
      <c r="NC68" s="28"/>
      <c r="ND68" s="28"/>
      <c r="NE68" s="28"/>
      <c r="NF68" s="28"/>
      <c r="NG68" s="28"/>
      <c r="NH68" s="28"/>
      <c r="NI68" s="28"/>
      <c r="NJ68" s="28"/>
      <c r="NK68" s="28"/>
      <c r="NL68" s="28"/>
      <c r="NM68" s="28"/>
      <c r="NN68" s="28"/>
      <c r="NO68" s="28"/>
      <c r="NP68" s="28"/>
      <c r="NQ68" s="28"/>
      <c r="NR68" s="42"/>
      <c r="NS68" s="42"/>
      <c r="NT68" s="42"/>
      <c r="NU68" s="42"/>
      <c r="NV68" s="42"/>
      <c r="NW68" s="42"/>
      <c r="NX68" s="42"/>
      <c r="NY68" s="42"/>
      <c r="NZ68" s="42"/>
      <c r="OA68" s="42"/>
      <c r="OB68" s="42"/>
      <c r="OC68" s="42"/>
      <c r="OD68" s="42"/>
      <c r="OE68" s="42"/>
      <c r="OF68" s="42"/>
      <c r="OG68" s="42"/>
      <c r="OH68" s="28"/>
      <c r="OI68" s="28"/>
      <c r="OJ68" s="28"/>
      <c r="OK68" s="28"/>
      <c r="OL68" s="28"/>
      <c r="OM68" s="28"/>
      <c r="ON68" s="28"/>
      <c r="OO68" s="28"/>
      <c r="OP68" s="28"/>
      <c r="OQ68" s="28"/>
      <c r="OR68" s="28"/>
      <c r="OS68" s="28"/>
      <c r="OT68" s="28"/>
      <c r="OU68" s="28"/>
      <c r="OV68" s="28"/>
      <c r="OW68" s="42"/>
      <c r="OX68" s="42"/>
      <c r="OY68" s="42"/>
      <c r="OZ68" s="42"/>
      <c r="PA68" s="42"/>
      <c r="PB68" s="42"/>
      <c r="PC68" s="42"/>
      <c r="PD68" s="42"/>
      <c r="PE68" s="42"/>
      <c r="PF68" s="42"/>
      <c r="PG68" s="42"/>
      <c r="PH68" s="26"/>
      <c r="PI68" s="26"/>
      <c r="PJ68" s="26"/>
      <c r="PK68" s="26"/>
      <c r="PL68" s="26"/>
      <c r="PM68" s="26"/>
      <c r="PN68" s="26"/>
      <c r="PO68" s="26"/>
      <c r="PP68" s="26"/>
      <c r="PQ68" s="26"/>
      <c r="PR68" s="26"/>
      <c r="PS68" s="26"/>
      <c r="PT68" s="26"/>
      <c r="PU68" s="26"/>
      <c r="PV68" s="26"/>
      <c r="PW68" s="26"/>
      <c r="PX68" s="26"/>
      <c r="PY68" s="26"/>
      <c r="PZ68" s="28"/>
      <c r="QA68" s="28"/>
      <c r="QB68" s="28"/>
      <c r="QC68" s="28"/>
      <c r="QD68" s="28"/>
      <c r="QE68" s="28"/>
      <c r="QF68" s="28"/>
      <c r="QG68" s="28"/>
      <c r="QH68" s="28"/>
      <c r="QI68" s="28"/>
      <c r="QJ68" s="28"/>
      <c r="QK68" s="28"/>
      <c r="QL68" s="28"/>
      <c r="QM68" s="28"/>
      <c r="QN68" s="28"/>
      <c r="QO68" s="28"/>
      <c r="QP68" s="28"/>
      <c r="QQ68" s="28"/>
      <c r="QR68" s="28"/>
      <c r="QS68" s="28"/>
      <c r="QT68" s="28"/>
      <c r="QU68" s="28"/>
      <c r="QV68" s="28"/>
      <c r="QW68" s="28"/>
      <c r="QX68" s="28"/>
      <c r="QY68" s="28"/>
      <c r="QZ68" s="28"/>
      <c r="RA68" s="28"/>
      <c r="RB68" s="28"/>
      <c r="RC68" s="28"/>
      <c r="RD68" s="28"/>
      <c r="RE68" s="28"/>
      <c r="RF68" s="28"/>
      <c r="RG68" s="28"/>
      <c r="RH68" s="28"/>
      <c r="RI68" s="28"/>
      <c r="RJ68" s="28"/>
      <c r="RK68" s="28"/>
      <c r="RL68" s="28"/>
      <c r="RM68" s="28"/>
      <c r="RN68" s="28"/>
      <c r="RO68" s="28"/>
      <c r="RP68" s="28"/>
      <c r="RQ68" s="28"/>
      <c r="RR68" s="28"/>
      <c r="RS68" s="28"/>
      <c r="RT68" s="28"/>
      <c r="RU68" s="28"/>
      <c r="RV68" s="28"/>
      <c r="RW68" s="28"/>
      <c r="RX68" s="28"/>
      <c r="RY68" s="28"/>
      <c r="RZ68" s="28"/>
      <c r="SA68" s="28"/>
      <c r="SB68" s="28"/>
      <c r="SC68" s="28"/>
      <c r="SD68" s="28"/>
      <c r="SE68" s="28"/>
      <c r="SF68" s="28"/>
      <c r="SG68" s="28"/>
      <c r="SH68" s="28"/>
      <c r="SI68" s="28"/>
      <c r="SJ68" s="28"/>
      <c r="SK68" s="28"/>
      <c r="SL68" s="28"/>
      <c r="SM68" s="28"/>
      <c r="SN68" s="28"/>
      <c r="SO68" s="28"/>
      <c r="SP68" s="28"/>
      <c r="SQ68" s="28"/>
      <c r="SR68" s="28"/>
      <c r="SS68" s="28"/>
      <c r="ST68" s="28"/>
      <c r="SU68" s="28"/>
      <c r="SV68" s="28"/>
      <c r="SW68" s="28"/>
      <c r="SX68" s="28"/>
      <c r="SY68" s="28"/>
      <c r="SZ68" s="28"/>
      <c r="TA68" s="28"/>
      <c r="TB68" s="28"/>
      <c r="TC68" s="28"/>
      <c r="TD68" s="28"/>
      <c r="TE68" s="28"/>
      <c r="TF68" s="28"/>
      <c r="TG68" s="28"/>
      <c r="TH68" s="28"/>
      <c r="TI68" s="28"/>
      <c r="TJ68" s="28"/>
      <c r="TK68" s="28"/>
      <c r="TL68" s="28"/>
      <c r="TM68" s="32"/>
      <c r="TN68" s="28"/>
      <c r="TO68" s="28"/>
      <c r="TP68" s="28"/>
      <c r="TQ68" s="28"/>
      <c r="TR68" s="28"/>
      <c r="TS68" s="28"/>
      <c r="TT68" s="28"/>
      <c r="TU68" s="28"/>
      <c r="TV68" s="28"/>
      <c r="TW68" s="28"/>
      <c r="TX68" s="28"/>
      <c r="TY68" s="28"/>
      <c r="TZ68" s="28"/>
      <c r="UA68" s="28"/>
      <c r="UB68" s="28"/>
      <c r="UC68" s="28"/>
      <c r="UD68" s="28"/>
      <c r="UE68" s="28"/>
      <c r="UF68" s="28"/>
      <c r="UG68" s="28"/>
      <c r="UH68" s="28"/>
      <c r="UI68" s="28"/>
      <c r="UJ68" s="28"/>
      <c r="UK68" s="28"/>
      <c r="UL68" s="28"/>
      <c r="UM68" s="28"/>
      <c r="UN68" s="28"/>
      <c r="UO68" s="28"/>
      <c r="UP68" s="28"/>
      <c r="UQ68" s="28"/>
      <c r="UR68" s="28"/>
      <c r="US68" s="28"/>
      <c r="UT68" s="28"/>
      <c r="UU68" s="28"/>
      <c r="UV68" s="28"/>
      <c r="UW68" s="28"/>
      <c r="UX68" s="28"/>
      <c r="UY68" s="28"/>
      <c r="UZ68" s="28"/>
      <c r="VA68" s="28"/>
      <c r="VB68" s="28"/>
      <c r="VC68" s="28"/>
      <c r="VD68" s="28"/>
      <c r="VE68" s="28"/>
      <c r="VF68" s="28"/>
      <c r="VG68" s="28"/>
      <c r="VH68" s="28"/>
      <c r="VI68" s="28"/>
      <c r="VJ68" s="28"/>
      <c r="VK68" s="28"/>
      <c r="VL68" s="28"/>
      <c r="VM68" s="28"/>
      <c r="VN68" s="28"/>
      <c r="VO68" s="28"/>
      <c r="VP68" s="28"/>
      <c r="VQ68" s="28"/>
      <c r="VR68" s="28"/>
      <c r="VS68" s="28"/>
      <c r="VT68" s="28"/>
      <c r="VU68" s="28"/>
      <c r="VV68" s="32"/>
      <c r="VW68" s="32"/>
      <c r="VX68" s="32"/>
      <c r="VY68" s="32"/>
      <c r="VZ68" s="32"/>
      <c r="WA68" s="32"/>
      <c r="WB68" s="32"/>
      <c r="WC68" s="32"/>
      <c r="WD68" s="32"/>
      <c r="WE68" s="32"/>
      <c r="WF68" s="32"/>
      <c r="WG68" s="32"/>
      <c r="WH68" s="32"/>
      <c r="WI68" s="32"/>
      <c r="WJ68" s="32"/>
      <c r="WK68" s="32"/>
      <c r="WL68" s="32"/>
      <c r="WM68" s="32"/>
      <c r="WN68" s="32"/>
      <c r="WO68" s="32"/>
      <c r="WP68" s="32"/>
      <c r="WQ68" s="32"/>
      <c r="WR68" s="32"/>
      <c r="WS68" s="32"/>
      <c r="WT68" s="32"/>
      <c r="WU68" s="32"/>
      <c r="WV68" s="32"/>
      <c r="WW68" s="32"/>
      <c r="WX68" s="32"/>
      <c r="WY68" s="32"/>
      <c r="WZ68" s="32"/>
      <c r="XA68" s="32"/>
      <c r="XB68" s="32"/>
      <c r="XC68" s="32"/>
      <c r="XD68" s="32"/>
      <c r="XE68" s="32"/>
      <c r="XF68" s="32"/>
      <c r="XG68" s="32"/>
      <c r="XH68" s="32"/>
      <c r="XI68" s="32"/>
      <c r="XJ68" s="32"/>
      <c r="XK68" s="32"/>
      <c r="XL68" s="32"/>
      <c r="XM68" s="32"/>
      <c r="XN68" s="32"/>
      <c r="XO68" s="32"/>
      <c r="XP68" s="32"/>
      <c r="XQ68" s="32"/>
      <c r="XR68" s="32"/>
      <c r="XS68" s="32"/>
      <c r="XT68" s="32"/>
      <c r="XU68" s="32"/>
      <c r="XV68" s="32"/>
      <c r="XW68" s="32"/>
      <c r="XX68" s="32"/>
      <c r="XY68" s="32"/>
      <c r="XZ68" s="32"/>
      <c r="YA68" s="32"/>
      <c r="YB68" s="32"/>
      <c r="YC68" s="32"/>
      <c r="YD68" s="32"/>
      <c r="YE68" s="32"/>
      <c r="YF68" s="32"/>
      <c r="YG68" s="32"/>
      <c r="YH68" s="32"/>
      <c r="YI68" s="32"/>
      <c r="YJ68" s="32"/>
      <c r="YK68" s="32"/>
      <c r="YL68" s="32"/>
      <c r="YM68" s="32"/>
      <c r="YN68" s="32"/>
      <c r="YO68" s="32"/>
      <c r="YP68" s="32"/>
      <c r="YQ68" s="32"/>
      <c r="YR68" s="32"/>
      <c r="YS68" s="32"/>
      <c r="YT68" s="32"/>
      <c r="YU68" s="32"/>
      <c r="YV68" s="32"/>
      <c r="YW68" s="32"/>
      <c r="YX68" s="32"/>
      <c r="YY68" s="32"/>
      <c r="YZ68" s="32"/>
      <c r="ZA68" s="32"/>
      <c r="ZB68" s="32"/>
      <c r="ZC68" s="32"/>
      <c r="ZD68" s="32"/>
      <c r="ZE68" s="32"/>
      <c r="ZF68" s="32"/>
      <c r="ZG68" s="32"/>
      <c r="ZH68" s="32"/>
      <c r="ZI68" s="32"/>
      <c r="ZJ68" s="32"/>
      <c r="ZK68" s="32"/>
      <c r="ZL68" s="32"/>
      <c r="ZM68" s="32"/>
      <c r="ZN68" s="32"/>
      <c r="ZO68" s="32"/>
      <c r="ZP68" s="32"/>
      <c r="ZQ68" s="32"/>
      <c r="ZR68" s="32"/>
      <c r="ZS68" s="32"/>
      <c r="ZT68" s="32"/>
      <c r="ZU68" s="32"/>
      <c r="ZV68" s="32"/>
      <c r="ZW68" s="32"/>
      <c r="ZX68" s="32"/>
      <c r="ZY68" s="32"/>
      <c r="ZZ68" s="32"/>
      <c r="AAA68" s="32"/>
      <c r="AAB68" s="32"/>
      <c r="AAC68" s="32"/>
      <c r="AAD68" s="32"/>
      <c r="AAE68" s="32"/>
      <c r="AAF68" s="32"/>
      <c r="AAG68" s="32"/>
      <c r="AAH68" s="32"/>
      <c r="AAI68" s="32"/>
      <c r="AAJ68" s="32"/>
      <c r="AAK68" s="32"/>
      <c r="AAL68" s="32"/>
      <c r="AAM68" s="32"/>
      <c r="AAN68" s="32"/>
      <c r="AAO68" s="32"/>
      <c r="AAP68" s="32"/>
      <c r="AAQ68" s="32"/>
      <c r="AAR68" s="32"/>
      <c r="AAS68" s="32"/>
      <c r="AAT68" s="32"/>
      <c r="AAU68" s="32"/>
      <c r="AAV68" s="32"/>
      <c r="AAW68" s="32"/>
      <c r="AAX68" s="32"/>
      <c r="AAY68" s="32"/>
      <c r="AAZ68" s="32"/>
      <c r="ABA68" s="32"/>
      <c r="ABB68" s="32"/>
      <c r="ABC68" s="32"/>
      <c r="ABD68" s="32"/>
      <c r="ABE68" s="32"/>
      <c r="ABF68" s="32"/>
      <c r="ABG68" s="32"/>
      <c r="ABH68" s="32"/>
      <c r="ABI68" s="32"/>
      <c r="ABJ68" s="32"/>
      <c r="ABK68" s="32"/>
      <c r="ABL68" s="32"/>
      <c r="ABM68" s="32"/>
      <c r="ABN68" s="32"/>
      <c r="ABO68" s="32"/>
      <c r="ABP68" s="32"/>
      <c r="ABQ68" s="32"/>
      <c r="ABR68" s="32"/>
    </row>
    <row r="69" spans="1:1822" customFormat="1" ht="28.8" x14ac:dyDescent="0.3">
      <c r="A69" s="2">
        <v>6</v>
      </c>
      <c r="B69" s="2" t="s">
        <v>17</v>
      </c>
      <c r="C69" s="156" t="s">
        <v>87</v>
      </c>
      <c r="D69" s="38" t="s">
        <v>18</v>
      </c>
      <c r="E69" s="22">
        <v>44853</v>
      </c>
      <c r="F69" s="22">
        <v>45492</v>
      </c>
      <c r="G69" s="81">
        <f t="shared" si="62"/>
        <v>45612</v>
      </c>
      <c r="H69" s="22"/>
      <c r="I69" s="22"/>
      <c r="J69" s="22"/>
      <c r="K69" s="23" t="s">
        <v>88</v>
      </c>
      <c r="L69" s="23">
        <f t="shared" ca="1" si="63"/>
        <v>42.7</v>
      </c>
      <c r="M69" s="23">
        <f t="shared" ca="1" si="64"/>
        <v>41.7</v>
      </c>
      <c r="N69" s="135"/>
      <c r="O69" s="135"/>
      <c r="P69" s="155">
        <f t="shared" si="65"/>
        <v>1</v>
      </c>
      <c r="Q69" s="23"/>
      <c r="R69" s="23"/>
      <c r="S69" s="23"/>
      <c r="T69" s="23"/>
      <c r="U69" s="23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8"/>
      <c r="FS69" s="28"/>
      <c r="FT69" s="28"/>
      <c r="FU69" s="28"/>
      <c r="FV69" s="28"/>
      <c r="FW69" s="28"/>
      <c r="FX69" s="28"/>
      <c r="FY69" s="28"/>
      <c r="FZ69" s="28"/>
      <c r="GA69" s="28"/>
      <c r="GB69" s="28"/>
      <c r="GC69" s="28"/>
      <c r="GD69" s="28"/>
      <c r="GE69" s="28"/>
      <c r="GF69" s="28"/>
      <c r="GG69" s="28"/>
      <c r="GH69" s="28"/>
      <c r="GI69" s="28"/>
      <c r="GJ69" s="28"/>
      <c r="GK69" s="28"/>
      <c r="GL69" s="28"/>
      <c r="GM69" s="28"/>
      <c r="GN69" s="28"/>
      <c r="GO69" s="28"/>
      <c r="GP69" s="28"/>
      <c r="GQ69" s="28"/>
      <c r="GR69" s="28"/>
      <c r="GS69" s="28"/>
      <c r="GT69" s="28"/>
      <c r="GU69" s="28"/>
      <c r="GV69" s="28"/>
      <c r="GW69" s="28"/>
      <c r="GX69" s="28"/>
      <c r="GY69" s="28"/>
      <c r="GZ69" s="28"/>
      <c r="HA69" s="28"/>
      <c r="HB69" s="28"/>
      <c r="HC69" s="28"/>
      <c r="HD69" s="28"/>
      <c r="HE69" s="28"/>
      <c r="HF69" s="28"/>
      <c r="HG69" s="28"/>
      <c r="HH69" s="28"/>
      <c r="HI69" s="28"/>
      <c r="HJ69" s="28"/>
      <c r="HK69" s="28"/>
      <c r="HL69" s="28"/>
      <c r="HM69" s="28"/>
      <c r="HN69" s="28"/>
      <c r="HO69" s="28"/>
      <c r="HP69" s="28"/>
      <c r="HQ69" s="28"/>
      <c r="HR69" s="28"/>
      <c r="HS69" s="28"/>
      <c r="HT69" s="28"/>
      <c r="HU69" s="42"/>
      <c r="HV69" s="42"/>
      <c r="HW69" s="42"/>
      <c r="HX69" s="42"/>
      <c r="HY69" s="42"/>
      <c r="HZ69" s="42"/>
      <c r="IA69" s="42"/>
      <c r="IB69" s="42"/>
      <c r="IC69" s="42"/>
      <c r="ID69" s="42"/>
      <c r="IE69" s="42"/>
      <c r="IF69" s="42"/>
      <c r="IG69" s="42"/>
      <c r="IH69" s="42"/>
      <c r="II69" s="42"/>
      <c r="IJ69" s="42"/>
      <c r="IK69" s="28"/>
      <c r="IL69" s="28"/>
      <c r="IM69" s="28"/>
      <c r="IN69" s="28"/>
      <c r="IO69" s="28"/>
      <c r="IP69" s="28"/>
      <c r="IQ69" s="28"/>
      <c r="IR69" s="28"/>
      <c r="IS69" s="28"/>
      <c r="IT69" s="28"/>
      <c r="IU69" s="28"/>
      <c r="IV69" s="28"/>
      <c r="IW69" s="28"/>
      <c r="IX69" s="28"/>
      <c r="IY69" s="28"/>
      <c r="IZ69" s="28"/>
      <c r="JA69" s="28"/>
      <c r="JB69" s="28"/>
      <c r="JC69" s="28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42"/>
      <c r="JP69" s="28"/>
      <c r="JQ69" s="28"/>
      <c r="JR69" s="28"/>
      <c r="JS69" s="28"/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6"/>
      <c r="KE69" s="26"/>
      <c r="KF69" s="26"/>
      <c r="KG69" s="26"/>
      <c r="KH69" s="42"/>
      <c r="KI69" s="42"/>
      <c r="KJ69" s="42"/>
      <c r="KK69" s="42"/>
      <c r="KL69" s="42"/>
      <c r="KM69" s="42"/>
      <c r="KN69" s="42"/>
      <c r="KO69" s="42"/>
      <c r="KP69" s="42"/>
      <c r="KQ69" s="42"/>
      <c r="KR69" s="42"/>
      <c r="KS69" s="42"/>
      <c r="KT69" s="28"/>
      <c r="KU69" s="28"/>
      <c r="KV69" s="28"/>
      <c r="KW69" s="28"/>
      <c r="KX69" s="28"/>
      <c r="KY69" s="28"/>
      <c r="KZ69" s="28"/>
      <c r="LA69" s="28"/>
      <c r="LB69" s="28"/>
      <c r="LC69" s="28"/>
      <c r="LD69" s="28"/>
      <c r="LE69" s="28"/>
      <c r="LF69" s="28"/>
      <c r="LG69" s="28"/>
      <c r="LH69" s="28"/>
      <c r="LI69" s="42"/>
      <c r="LJ69" s="42"/>
      <c r="LK69" s="42"/>
      <c r="LL69" s="42"/>
      <c r="LM69" s="42"/>
      <c r="LN69" s="42"/>
      <c r="LO69" s="42"/>
      <c r="LP69" s="42"/>
      <c r="LQ69" s="42"/>
      <c r="LR69" s="42"/>
      <c r="LS69" s="42"/>
      <c r="LT69" s="42"/>
      <c r="LU69" s="42"/>
      <c r="LV69" s="42"/>
      <c r="LW69" s="42"/>
      <c r="LX69" s="42"/>
      <c r="LY69" s="28"/>
      <c r="LZ69" s="28"/>
      <c r="MA69" s="28"/>
      <c r="MB69" s="28"/>
      <c r="MC69" s="28"/>
      <c r="MD69" s="28"/>
      <c r="ME69" s="28"/>
      <c r="MF69" s="28"/>
      <c r="MG69" s="28"/>
      <c r="MH69" s="28"/>
      <c r="MI69" s="28"/>
      <c r="MJ69" s="28"/>
      <c r="MK69" s="28"/>
      <c r="ML69" s="28"/>
      <c r="MM69" s="42"/>
      <c r="MN69" s="42"/>
      <c r="MO69" s="42"/>
      <c r="MP69" s="42"/>
      <c r="MQ69" s="42"/>
      <c r="MR69" s="42"/>
      <c r="MS69" s="42"/>
      <c r="MT69" s="42"/>
      <c r="MU69" s="42"/>
      <c r="MV69" s="42"/>
      <c r="MW69" s="42"/>
      <c r="MX69" s="42"/>
      <c r="MY69" s="42"/>
      <c r="MZ69" s="42"/>
      <c r="NA69" s="42"/>
      <c r="NB69" s="42"/>
      <c r="NC69" s="28"/>
      <c r="ND69" s="28"/>
      <c r="NE69" s="28"/>
      <c r="NF69" s="28"/>
      <c r="NG69" s="28"/>
      <c r="NH69" s="28"/>
      <c r="NI69" s="28"/>
      <c r="NJ69" s="28"/>
      <c r="NK69" s="28"/>
      <c r="NL69" s="28"/>
      <c r="NM69" s="28"/>
      <c r="NN69" s="28"/>
      <c r="NO69" s="28"/>
      <c r="NP69" s="28"/>
      <c r="NQ69" s="28"/>
      <c r="NR69" s="42"/>
      <c r="NS69" s="42"/>
      <c r="NT69" s="42"/>
      <c r="NU69" s="42"/>
      <c r="NV69" s="42"/>
      <c r="NW69" s="42"/>
      <c r="NX69" s="42"/>
      <c r="NY69" s="42"/>
      <c r="NZ69" s="42"/>
      <c r="OA69" s="42"/>
      <c r="OB69" s="42"/>
      <c r="OC69" s="42"/>
      <c r="OD69" s="42"/>
      <c r="OE69" s="42"/>
      <c r="OF69" s="42"/>
      <c r="OG69" s="42"/>
      <c r="OH69" s="28"/>
      <c r="OI69" s="28"/>
      <c r="OJ69" s="28"/>
      <c r="OK69" s="28"/>
      <c r="OL69" s="28"/>
      <c r="OM69" s="28"/>
      <c r="ON69" s="28"/>
      <c r="OO69" s="28"/>
      <c r="OP69" s="28"/>
      <c r="OQ69" s="28"/>
      <c r="OR69" s="28"/>
      <c r="OS69" s="28"/>
      <c r="OT69" s="28"/>
      <c r="OU69" s="28"/>
      <c r="OV69" s="28"/>
      <c r="OW69" s="42"/>
      <c r="OX69" s="42"/>
      <c r="OY69" s="42"/>
      <c r="OZ69" s="42"/>
      <c r="PA69" s="42"/>
      <c r="PB69" s="42"/>
      <c r="PC69" s="42"/>
      <c r="PD69" s="42"/>
      <c r="PE69" s="42"/>
      <c r="PF69" s="42"/>
      <c r="PG69" s="42"/>
      <c r="PH69" s="26"/>
      <c r="PI69" s="26"/>
      <c r="PJ69" s="26"/>
      <c r="PK69" s="26"/>
      <c r="PL69" s="26"/>
      <c r="PM69" s="26"/>
      <c r="PN69" s="26"/>
      <c r="PO69" s="26"/>
      <c r="PP69" s="26"/>
      <c r="PQ69" s="26"/>
      <c r="PR69" s="26"/>
      <c r="PS69" s="26"/>
      <c r="PT69" s="26"/>
      <c r="PU69" s="26"/>
      <c r="PV69" s="26"/>
      <c r="PW69" s="26"/>
      <c r="PX69" s="26"/>
      <c r="PY69" s="26"/>
      <c r="PZ69" s="28"/>
      <c r="QA69" s="28"/>
      <c r="QB69" s="28"/>
      <c r="QC69" s="28"/>
      <c r="QD69" s="28"/>
      <c r="QE69" s="28"/>
      <c r="QF69" s="28"/>
      <c r="QG69" s="28"/>
      <c r="QH69" s="28"/>
      <c r="QI69" s="28"/>
      <c r="QJ69" s="28"/>
      <c r="QK69" s="28"/>
      <c r="QL69" s="28"/>
      <c r="QM69" s="28"/>
      <c r="QN69" s="28"/>
      <c r="QO69" s="28"/>
      <c r="QP69" s="28"/>
      <c r="QQ69" s="28"/>
      <c r="QR69" s="28"/>
      <c r="QS69" s="28"/>
      <c r="QT69" s="28"/>
      <c r="QU69" s="28"/>
      <c r="QV69" s="28"/>
      <c r="QW69" s="28"/>
      <c r="QX69" s="28"/>
      <c r="QY69" s="28"/>
      <c r="QZ69" s="28"/>
      <c r="RA69" s="28"/>
      <c r="RB69" s="28"/>
      <c r="RC69" s="28"/>
      <c r="RD69" s="28"/>
      <c r="RE69" s="28"/>
      <c r="RF69" s="28"/>
      <c r="RG69" s="28"/>
      <c r="RH69" s="28"/>
      <c r="RI69" s="28"/>
      <c r="RJ69" s="28"/>
      <c r="RK69" s="28"/>
      <c r="RL69" s="28"/>
      <c r="RM69" s="28"/>
      <c r="RN69" s="28"/>
      <c r="RO69" s="28"/>
      <c r="RP69" s="28"/>
      <c r="RQ69" s="28"/>
      <c r="RR69" s="28"/>
      <c r="RS69" s="28"/>
      <c r="RT69" s="28"/>
      <c r="RU69" s="28"/>
      <c r="RV69" s="28"/>
      <c r="RW69" s="28"/>
      <c r="RX69" s="28"/>
      <c r="RY69" s="28"/>
      <c r="RZ69" s="28"/>
      <c r="SA69" s="28"/>
      <c r="SB69" s="28"/>
      <c r="SC69" s="28"/>
      <c r="SD69" s="28"/>
      <c r="SE69" s="28"/>
      <c r="SF69" s="28"/>
      <c r="SG69" s="28"/>
      <c r="SH69" s="28"/>
      <c r="SI69" s="28"/>
      <c r="SJ69" s="28"/>
      <c r="SK69" s="28"/>
      <c r="SL69" s="28"/>
      <c r="SM69" s="28"/>
      <c r="SN69" s="28"/>
      <c r="SO69" s="28"/>
      <c r="SP69" s="28"/>
      <c r="SQ69" s="28"/>
      <c r="SR69" s="28"/>
      <c r="SS69" s="28"/>
      <c r="ST69" s="28"/>
      <c r="SU69" s="28"/>
      <c r="SV69" s="28"/>
      <c r="SW69" s="28"/>
      <c r="SX69" s="28"/>
      <c r="SY69" s="28"/>
      <c r="SZ69" s="28"/>
      <c r="TA69" s="28"/>
      <c r="TB69" s="28"/>
      <c r="TC69" s="28"/>
      <c r="TD69" s="28"/>
      <c r="TE69" s="28"/>
      <c r="TF69" s="28"/>
      <c r="TG69" s="28"/>
      <c r="TH69" s="28"/>
      <c r="TI69" s="28"/>
      <c r="TJ69" s="28"/>
      <c r="TK69" s="28"/>
      <c r="TL69" s="28"/>
      <c r="TM69" s="32"/>
      <c r="TN69" s="28"/>
      <c r="TO69" s="28"/>
      <c r="TP69" s="28"/>
      <c r="TQ69" s="28"/>
      <c r="TR69" s="28"/>
      <c r="TS69" s="28"/>
      <c r="TT69" s="28"/>
      <c r="TU69" s="28"/>
      <c r="TV69" s="28"/>
      <c r="TW69" s="28"/>
      <c r="TX69" s="28"/>
      <c r="TY69" s="28"/>
      <c r="TZ69" s="28"/>
      <c r="UA69" s="28"/>
      <c r="UB69" s="28"/>
      <c r="UC69" s="28"/>
      <c r="UD69" s="28"/>
      <c r="UE69" s="28"/>
      <c r="UF69" s="28"/>
      <c r="UG69" s="28"/>
      <c r="UH69" s="28"/>
      <c r="UI69" s="28"/>
      <c r="UJ69" s="28"/>
      <c r="UK69" s="28"/>
      <c r="UL69" s="28"/>
      <c r="UM69" s="28"/>
      <c r="UN69" s="28"/>
      <c r="UO69" s="28"/>
      <c r="UP69" s="28"/>
      <c r="UQ69" s="28"/>
      <c r="UR69" s="28"/>
      <c r="US69" s="28"/>
      <c r="UT69" s="28"/>
      <c r="UU69" s="28"/>
      <c r="UV69" s="28"/>
      <c r="UW69" s="28"/>
      <c r="UX69" s="28"/>
      <c r="UY69" s="28"/>
      <c r="UZ69" s="28"/>
      <c r="VA69" s="28"/>
      <c r="VB69" s="28"/>
      <c r="VC69" s="28"/>
      <c r="VD69" s="28"/>
      <c r="VE69" s="28"/>
      <c r="VF69" s="28"/>
      <c r="VG69" s="28"/>
      <c r="VH69" s="28"/>
      <c r="VI69" s="28"/>
      <c r="VJ69" s="28"/>
      <c r="VK69" s="28"/>
      <c r="VL69" s="28"/>
      <c r="VM69" s="28"/>
      <c r="VN69" s="28"/>
      <c r="VO69" s="28"/>
      <c r="VP69" s="28"/>
      <c r="VQ69" s="28"/>
      <c r="VR69" s="28"/>
      <c r="VS69" s="28"/>
      <c r="VT69" s="28"/>
      <c r="VU69" s="28"/>
      <c r="VV69" s="32"/>
      <c r="VW69" s="32"/>
      <c r="VX69" s="32"/>
      <c r="VY69" s="32"/>
      <c r="VZ69" s="32"/>
      <c r="WA69" s="32"/>
      <c r="WB69" s="32"/>
      <c r="WC69" s="32"/>
      <c r="WD69" s="32"/>
      <c r="WE69" s="32"/>
      <c r="WF69" s="32"/>
      <c r="WG69" s="32"/>
      <c r="WH69" s="32"/>
      <c r="WI69" s="32"/>
      <c r="WJ69" s="32"/>
      <c r="WK69" s="32"/>
      <c r="WL69" s="32"/>
      <c r="WM69" s="32"/>
      <c r="WN69" s="32"/>
      <c r="WO69" s="32"/>
      <c r="WP69" s="32"/>
      <c r="WQ69" s="32"/>
      <c r="WR69" s="32"/>
      <c r="WS69" s="32"/>
      <c r="WT69" s="32"/>
      <c r="WU69" s="32"/>
      <c r="WV69" s="32"/>
      <c r="WW69" s="32"/>
      <c r="WX69" s="32"/>
      <c r="WY69" s="32"/>
      <c r="WZ69" s="32"/>
      <c r="XA69" s="32"/>
      <c r="XB69" s="32"/>
      <c r="XC69" s="32"/>
      <c r="XD69" s="32"/>
      <c r="XE69" s="32"/>
      <c r="XF69" s="32"/>
      <c r="XG69" s="32"/>
      <c r="XH69" s="32"/>
      <c r="XI69" s="32"/>
      <c r="XJ69" s="32"/>
      <c r="XK69" s="32"/>
      <c r="XL69" s="32"/>
      <c r="XM69" s="32"/>
      <c r="XN69" s="32"/>
      <c r="XO69" s="32"/>
      <c r="XP69" s="32"/>
      <c r="XQ69" s="32"/>
      <c r="XR69" s="32"/>
      <c r="XS69" s="32"/>
      <c r="XT69" s="32"/>
      <c r="XU69" s="32"/>
      <c r="XV69" s="32"/>
      <c r="XW69" s="32"/>
      <c r="XX69" s="32"/>
      <c r="XY69" s="32"/>
      <c r="XZ69" s="32"/>
      <c r="YA69" s="32"/>
      <c r="YB69" s="32"/>
      <c r="YC69" s="32"/>
      <c r="YD69" s="32"/>
      <c r="YE69" s="32"/>
      <c r="YF69" s="32"/>
      <c r="YG69" s="32"/>
      <c r="YH69" s="32"/>
      <c r="YI69" s="32"/>
      <c r="YJ69" s="32"/>
      <c r="YK69" s="32"/>
      <c r="YL69" s="32"/>
      <c r="YM69" s="32"/>
      <c r="YN69" s="32"/>
      <c r="YO69" s="32"/>
      <c r="YP69" s="32"/>
      <c r="YQ69" s="32"/>
      <c r="YR69" s="32"/>
      <c r="YS69" s="32"/>
      <c r="YT69" s="32"/>
      <c r="YU69" s="32"/>
      <c r="YV69" s="32"/>
      <c r="YW69" s="32"/>
      <c r="YX69" s="32"/>
      <c r="YY69" s="32"/>
      <c r="YZ69" s="32"/>
      <c r="ZA69" s="32"/>
      <c r="ZB69" s="32"/>
      <c r="ZC69" s="32"/>
      <c r="ZD69" s="32"/>
      <c r="ZE69" s="32"/>
      <c r="ZF69" s="32"/>
      <c r="ZG69" s="32"/>
      <c r="ZH69" s="32"/>
      <c r="ZI69" s="32"/>
      <c r="ZJ69" s="32"/>
      <c r="ZK69" s="32"/>
      <c r="ZL69" s="32"/>
      <c r="ZM69" s="32"/>
      <c r="ZN69" s="32"/>
      <c r="ZO69" s="32"/>
      <c r="ZP69" s="32"/>
      <c r="ZQ69" s="32"/>
      <c r="ZR69" s="32"/>
      <c r="ZS69" s="32"/>
      <c r="ZT69" s="32"/>
      <c r="ZU69" s="32"/>
      <c r="ZV69" s="32"/>
      <c r="ZW69" s="32"/>
      <c r="ZX69" s="32"/>
      <c r="ZY69" s="32"/>
      <c r="ZZ69" s="32"/>
      <c r="AAA69" s="32"/>
      <c r="AAB69" s="32"/>
      <c r="AAC69" s="32"/>
      <c r="AAD69" s="32"/>
      <c r="AAE69" s="32"/>
      <c r="AAF69" s="32"/>
      <c r="AAG69" s="32"/>
      <c r="AAH69" s="32"/>
      <c r="AAI69" s="32"/>
      <c r="AAJ69" s="32"/>
      <c r="AAK69" s="32"/>
      <c r="AAL69" s="32"/>
      <c r="AAM69" s="32"/>
      <c r="AAN69" s="32"/>
      <c r="AAO69" s="32"/>
      <c r="AAP69" s="32"/>
      <c r="AAQ69" s="32"/>
      <c r="AAR69" s="32"/>
      <c r="AAS69" s="32"/>
      <c r="AAT69" s="32"/>
      <c r="AAU69" s="32"/>
      <c r="AAV69" s="32"/>
      <c r="AAW69" s="32"/>
      <c r="AAX69" s="32"/>
      <c r="AAY69" s="32"/>
      <c r="AAZ69" s="32"/>
      <c r="ABA69" s="32"/>
      <c r="ABB69" s="32"/>
      <c r="ABC69" s="32"/>
      <c r="ABD69" s="32"/>
      <c r="ABE69" s="32"/>
      <c r="ABF69" s="32"/>
      <c r="ABG69" s="32"/>
      <c r="ABH69" s="32"/>
      <c r="ABI69" s="32"/>
      <c r="ABJ69" s="32"/>
      <c r="ABK69" s="32"/>
      <c r="ABL69" s="32"/>
      <c r="ABM69" s="32"/>
      <c r="ABN69" s="32"/>
      <c r="ABO69" s="32"/>
      <c r="ABP69" s="32"/>
      <c r="ABQ69" s="32"/>
      <c r="ABR69" s="32"/>
    </row>
    <row r="70" spans="1:1822" customFormat="1" x14ac:dyDescent="0.3">
      <c r="A70" s="2">
        <v>7</v>
      </c>
      <c r="B70" s="2" t="s">
        <v>17</v>
      </c>
      <c r="C70" s="38" t="s">
        <v>89</v>
      </c>
      <c r="D70" s="38" t="s">
        <v>90</v>
      </c>
      <c r="E70" s="22">
        <v>44853</v>
      </c>
      <c r="F70" s="22">
        <v>45492</v>
      </c>
      <c r="G70" s="81">
        <f t="shared" si="62"/>
        <v>45612</v>
      </c>
      <c r="H70" s="22"/>
      <c r="I70" s="22"/>
      <c r="J70" s="22"/>
      <c r="K70" s="23" t="s">
        <v>36</v>
      </c>
      <c r="L70" s="23">
        <f t="shared" ca="1" si="63"/>
        <v>42.7</v>
      </c>
      <c r="M70" s="23">
        <f t="shared" ca="1" si="64"/>
        <v>41.7</v>
      </c>
      <c r="N70" s="135"/>
      <c r="O70" s="135"/>
      <c r="P70" s="155">
        <f t="shared" si="65"/>
        <v>1</v>
      </c>
      <c r="Q70" s="23"/>
      <c r="R70" s="23"/>
      <c r="S70" s="23"/>
      <c r="T70" s="23"/>
      <c r="U70" s="23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6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  <c r="GF70" s="28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28"/>
      <c r="GS70" s="28"/>
      <c r="GT70" s="28"/>
      <c r="GU70" s="28"/>
      <c r="GV70" s="28"/>
      <c r="GW70" s="28"/>
      <c r="GX70" s="28"/>
      <c r="GY70" s="28"/>
      <c r="GZ70" s="28"/>
      <c r="HA70" s="28"/>
      <c r="HB70" s="28"/>
      <c r="HC70" s="28"/>
      <c r="HD70" s="28"/>
      <c r="HE70" s="28"/>
      <c r="HF70" s="28"/>
      <c r="HG70" s="28"/>
      <c r="HH70" s="28"/>
      <c r="HI70" s="28"/>
      <c r="HJ70" s="28"/>
      <c r="HK70" s="28"/>
      <c r="HL70" s="28"/>
      <c r="HM70" s="28"/>
      <c r="HN70" s="28"/>
      <c r="HO70" s="28"/>
      <c r="HP70" s="28"/>
      <c r="HQ70" s="28"/>
      <c r="HR70" s="28"/>
      <c r="HS70" s="28"/>
      <c r="HT70" s="28"/>
      <c r="HU70" s="42"/>
      <c r="HV70" s="42"/>
      <c r="HW70" s="42"/>
      <c r="HX70" s="42"/>
      <c r="HY70" s="42"/>
      <c r="HZ70" s="42"/>
      <c r="IA70" s="42"/>
      <c r="IB70" s="42"/>
      <c r="IC70" s="42"/>
      <c r="ID70" s="42"/>
      <c r="IE70" s="42"/>
      <c r="IF70" s="42"/>
      <c r="IG70" s="42"/>
      <c r="IH70" s="42"/>
      <c r="II70" s="42"/>
      <c r="IJ70" s="42"/>
      <c r="IK70" s="28"/>
      <c r="IL70" s="28"/>
      <c r="IM70" s="28"/>
      <c r="IN70" s="28"/>
      <c r="IO70" s="28"/>
      <c r="IP70" s="28"/>
      <c r="IQ70" s="28"/>
      <c r="IR70" s="28"/>
      <c r="IS70" s="28"/>
      <c r="IT70" s="28"/>
      <c r="IU70" s="28"/>
      <c r="IV70" s="28"/>
      <c r="IW70" s="28"/>
      <c r="IX70" s="28"/>
      <c r="IY70" s="28"/>
      <c r="IZ70" s="28"/>
      <c r="JA70" s="28"/>
      <c r="JB70" s="28"/>
      <c r="JC70" s="28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42"/>
      <c r="JP70" s="28"/>
      <c r="JQ70" s="28"/>
      <c r="JR70" s="28"/>
      <c r="JS70" s="28"/>
      <c r="JT70" s="28"/>
      <c r="JU70" s="28"/>
      <c r="JV70" s="28"/>
      <c r="JW70" s="28"/>
      <c r="JX70" s="28"/>
      <c r="JY70" s="28"/>
      <c r="JZ70" s="28"/>
      <c r="KA70" s="28"/>
      <c r="KB70" s="28"/>
      <c r="KC70" s="28"/>
      <c r="KD70" s="26"/>
      <c r="KE70" s="26"/>
      <c r="KF70" s="26"/>
      <c r="KG70" s="26"/>
      <c r="KH70" s="42"/>
      <c r="KI70" s="42"/>
      <c r="KJ70" s="42"/>
      <c r="KK70" s="42"/>
      <c r="KL70" s="42"/>
      <c r="KM70" s="42"/>
      <c r="KN70" s="42"/>
      <c r="KO70" s="42"/>
      <c r="KP70" s="42"/>
      <c r="KQ70" s="42"/>
      <c r="KR70" s="42"/>
      <c r="KS70" s="42"/>
      <c r="KT70" s="28"/>
      <c r="KU70" s="28"/>
      <c r="KV70" s="28"/>
      <c r="KW70" s="28"/>
      <c r="KX70" s="28"/>
      <c r="KY70" s="28"/>
      <c r="KZ70" s="28"/>
      <c r="LA70" s="28"/>
      <c r="LB70" s="28"/>
      <c r="LC70" s="28"/>
      <c r="LD70" s="28"/>
      <c r="LE70" s="28"/>
      <c r="LF70" s="28"/>
      <c r="LG70" s="28"/>
      <c r="LH70" s="28"/>
      <c r="LI70" s="42"/>
      <c r="LJ70" s="42"/>
      <c r="LK70" s="42"/>
      <c r="LL70" s="42"/>
      <c r="LM70" s="42"/>
      <c r="LN70" s="42"/>
      <c r="LO70" s="42"/>
      <c r="LP70" s="42"/>
      <c r="LQ70" s="42"/>
      <c r="LR70" s="42"/>
      <c r="LS70" s="42"/>
      <c r="LT70" s="42"/>
      <c r="LU70" s="42"/>
      <c r="LV70" s="42"/>
      <c r="LW70" s="42"/>
      <c r="LX70" s="42"/>
      <c r="LY70" s="28"/>
      <c r="LZ70" s="28"/>
      <c r="MA70" s="28"/>
      <c r="MB70" s="28"/>
      <c r="MC70" s="28"/>
      <c r="MD70" s="28"/>
      <c r="ME70" s="28"/>
      <c r="MF70" s="28"/>
      <c r="MG70" s="28"/>
      <c r="MH70" s="28"/>
      <c r="MI70" s="28"/>
      <c r="MJ70" s="28"/>
      <c r="MK70" s="28"/>
      <c r="ML70" s="28"/>
      <c r="MM70" s="42"/>
      <c r="MN70" s="42"/>
      <c r="MO70" s="42"/>
      <c r="MP70" s="42"/>
      <c r="MQ70" s="42"/>
      <c r="MR70" s="42"/>
      <c r="MS70" s="42"/>
      <c r="MT70" s="42"/>
      <c r="MU70" s="42"/>
      <c r="MV70" s="42"/>
      <c r="MW70" s="42"/>
      <c r="MX70" s="42"/>
      <c r="MY70" s="42"/>
      <c r="MZ70" s="42"/>
      <c r="NA70" s="42"/>
      <c r="NB70" s="42"/>
      <c r="NC70" s="28"/>
      <c r="ND70" s="28"/>
      <c r="NE70" s="28"/>
      <c r="NF70" s="28"/>
      <c r="NG70" s="28"/>
      <c r="NH70" s="28"/>
      <c r="NI70" s="28"/>
      <c r="NJ70" s="28"/>
      <c r="NK70" s="28"/>
      <c r="NL70" s="28"/>
      <c r="NM70" s="28"/>
      <c r="NN70" s="28"/>
      <c r="NO70" s="28"/>
      <c r="NP70" s="28"/>
      <c r="NQ70" s="28"/>
      <c r="NR70" s="42"/>
      <c r="NS70" s="42"/>
      <c r="NT70" s="42"/>
      <c r="NU70" s="42"/>
      <c r="NV70" s="42"/>
      <c r="NW70" s="42"/>
      <c r="NX70" s="42"/>
      <c r="NY70" s="42"/>
      <c r="NZ70" s="42"/>
      <c r="OA70" s="42"/>
      <c r="OB70" s="42"/>
      <c r="OC70" s="42"/>
      <c r="OD70" s="42"/>
      <c r="OE70" s="42"/>
      <c r="OF70" s="42"/>
      <c r="OG70" s="42"/>
      <c r="OH70" s="28"/>
      <c r="OI70" s="28"/>
      <c r="OJ70" s="28"/>
      <c r="OK70" s="28"/>
      <c r="OL70" s="28"/>
      <c r="OM70" s="28"/>
      <c r="ON70" s="28"/>
      <c r="OO70" s="28"/>
      <c r="OP70" s="28"/>
      <c r="OQ70" s="28"/>
      <c r="OR70" s="28"/>
      <c r="OS70" s="28"/>
      <c r="OT70" s="28"/>
      <c r="OU70" s="28"/>
      <c r="OV70" s="28"/>
      <c r="OW70" s="42"/>
      <c r="OX70" s="42"/>
      <c r="OY70" s="42"/>
      <c r="OZ70" s="42"/>
      <c r="PA70" s="42"/>
      <c r="PB70" s="42"/>
      <c r="PC70" s="42"/>
      <c r="PD70" s="42"/>
      <c r="PE70" s="42"/>
      <c r="PF70" s="42"/>
      <c r="PG70" s="42"/>
      <c r="PH70" s="26"/>
      <c r="PI70" s="26"/>
      <c r="PJ70" s="26"/>
      <c r="PK70" s="26"/>
      <c r="PL70" s="26"/>
      <c r="PM70" s="26"/>
      <c r="PN70" s="26"/>
      <c r="PO70" s="26"/>
      <c r="PP70" s="26"/>
      <c r="PQ70" s="26"/>
      <c r="PR70" s="26"/>
      <c r="PS70" s="26"/>
      <c r="PT70" s="26"/>
      <c r="PU70" s="26"/>
      <c r="PV70" s="26"/>
      <c r="PW70" s="26"/>
      <c r="PX70" s="26"/>
      <c r="PY70" s="26"/>
      <c r="PZ70" s="28"/>
      <c r="QA70" s="28"/>
      <c r="QB70" s="28"/>
      <c r="QC70" s="28"/>
      <c r="QD70" s="28"/>
      <c r="QE70" s="28"/>
      <c r="QF70" s="28"/>
      <c r="QG70" s="28"/>
      <c r="QH70" s="28"/>
      <c r="QI70" s="28"/>
      <c r="QJ70" s="28"/>
      <c r="QK70" s="28"/>
      <c r="QL70" s="28"/>
      <c r="QM70" s="28"/>
      <c r="QN70" s="28"/>
      <c r="QO70" s="28"/>
      <c r="QP70" s="28"/>
      <c r="QQ70" s="28"/>
      <c r="QR70" s="28"/>
      <c r="QS70" s="28"/>
      <c r="QT70" s="28"/>
      <c r="QU70" s="28"/>
      <c r="QV70" s="28"/>
      <c r="QW70" s="28"/>
      <c r="QX70" s="28"/>
      <c r="QY70" s="28"/>
      <c r="QZ70" s="28"/>
      <c r="RA70" s="28"/>
      <c r="RB70" s="28"/>
      <c r="RC70" s="28"/>
      <c r="RD70" s="28"/>
      <c r="RE70" s="28"/>
      <c r="RF70" s="28"/>
      <c r="RG70" s="28"/>
      <c r="RH70" s="28"/>
      <c r="RI70" s="28"/>
      <c r="RJ70" s="28"/>
      <c r="RK70" s="28"/>
      <c r="RL70" s="28"/>
      <c r="RM70" s="28"/>
      <c r="RN70" s="28"/>
      <c r="RO70" s="28"/>
      <c r="RP70" s="28"/>
      <c r="RQ70" s="28"/>
      <c r="RR70" s="28"/>
      <c r="RS70" s="28"/>
      <c r="RT70" s="28"/>
      <c r="RU70" s="28"/>
      <c r="RV70" s="28"/>
      <c r="RW70" s="28"/>
      <c r="RX70" s="28"/>
      <c r="RY70" s="28"/>
      <c r="RZ70" s="28"/>
      <c r="SA70" s="28"/>
      <c r="SB70" s="28"/>
      <c r="SC70" s="28"/>
      <c r="SD70" s="28"/>
      <c r="SE70" s="28"/>
      <c r="SF70" s="28"/>
      <c r="SG70" s="28"/>
      <c r="SH70" s="28"/>
      <c r="SI70" s="28"/>
      <c r="SJ70" s="28"/>
      <c r="SK70" s="28"/>
      <c r="SL70" s="28"/>
      <c r="SM70" s="28"/>
      <c r="SN70" s="28"/>
      <c r="SO70" s="28"/>
      <c r="SP70" s="28"/>
      <c r="SQ70" s="28"/>
      <c r="SR70" s="28"/>
      <c r="SS70" s="28"/>
      <c r="ST70" s="28"/>
      <c r="SU70" s="28"/>
      <c r="SV70" s="28"/>
      <c r="SW70" s="28"/>
      <c r="SX70" s="28"/>
      <c r="SY70" s="28"/>
      <c r="SZ70" s="28"/>
      <c r="TA70" s="28"/>
      <c r="TB70" s="28"/>
      <c r="TC70" s="28"/>
      <c r="TD70" s="28"/>
      <c r="TE70" s="28"/>
      <c r="TF70" s="28"/>
      <c r="TG70" s="28"/>
      <c r="TH70" s="28"/>
      <c r="TI70" s="28"/>
      <c r="TJ70" s="28"/>
      <c r="TK70" s="28"/>
      <c r="TL70" s="28"/>
      <c r="TM70" s="32"/>
      <c r="TN70" s="28"/>
      <c r="TO70" s="28"/>
      <c r="TP70" s="28"/>
      <c r="TQ70" s="28"/>
      <c r="TR70" s="28"/>
      <c r="TS70" s="28"/>
      <c r="TT70" s="28"/>
      <c r="TU70" s="28"/>
      <c r="TV70" s="28"/>
      <c r="TW70" s="28"/>
      <c r="TX70" s="28"/>
      <c r="TY70" s="28"/>
      <c r="TZ70" s="28"/>
      <c r="UA70" s="28"/>
      <c r="UB70" s="28"/>
      <c r="UC70" s="28"/>
      <c r="UD70" s="28"/>
      <c r="UE70" s="28"/>
      <c r="UF70" s="28"/>
      <c r="UG70" s="28"/>
      <c r="UH70" s="28"/>
      <c r="UI70" s="28"/>
      <c r="UJ70" s="28"/>
      <c r="UK70" s="28"/>
      <c r="UL70" s="28"/>
      <c r="UM70" s="28"/>
      <c r="UN70" s="28"/>
      <c r="UO70" s="28"/>
      <c r="UP70" s="28"/>
      <c r="UQ70" s="28"/>
      <c r="UR70" s="28"/>
      <c r="US70" s="28"/>
      <c r="UT70" s="28"/>
      <c r="UU70" s="28"/>
      <c r="UV70" s="28"/>
      <c r="UW70" s="28"/>
      <c r="UX70" s="28"/>
      <c r="UY70" s="28"/>
      <c r="UZ70" s="28"/>
      <c r="VA70" s="28"/>
      <c r="VB70" s="28"/>
      <c r="VC70" s="28"/>
      <c r="VD70" s="28"/>
      <c r="VE70" s="28"/>
      <c r="VF70" s="28"/>
      <c r="VG70" s="28"/>
      <c r="VH70" s="28"/>
      <c r="VI70" s="28"/>
      <c r="VJ70" s="28"/>
      <c r="VK70" s="28"/>
      <c r="VL70" s="28"/>
      <c r="VM70" s="28"/>
      <c r="VN70" s="28"/>
      <c r="VO70" s="28"/>
      <c r="VP70" s="28"/>
      <c r="VQ70" s="28"/>
      <c r="VR70" s="28"/>
      <c r="VS70" s="28"/>
      <c r="VT70" s="28"/>
      <c r="VU70" s="28"/>
      <c r="VV70" s="32"/>
      <c r="VW70" s="32"/>
      <c r="VX70" s="32"/>
      <c r="VY70" s="32"/>
      <c r="VZ70" s="32"/>
      <c r="WA70" s="32"/>
      <c r="WB70" s="32"/>
      <c r="WC70" s="32"/>
      <c r="WD70" s="32"/>
      <c r="WE70" s="32"/>
      <c r="WF70" s="32"/>
      <c r="WG70" s="32"/>
      <c r="WH70" s="32"/>
      <c r="WI70" s="32"/>
      <c r="WJ70" s="32"/>
      <c r="WK70" s="32"/>
      <c r="WL70" s="32"/>
      <c r="WM70" s="32"/>
      <c r="WN70" s="32"/>
      <c r="WO70" s="32"/>
      <c r="WP70" s="32"/>
      <c r="WQ70" s="32"/>
      <c r="WR70" s="32"/>
      <c r="WS70" s="32"/>
      <c r="WT70" s="32"/>
      <c r="WU70" s="32"/>
      <c r="WV70" s="32"/>
      <c r="WW70" s="32"/>
      <c r="WX70" s="32"/>
      <c r="WY70" s="32"/>
      <c r="WZ70" s="32"/>
      <c r="XA70" s="32"/>
      <c r="XB70" s="32"/>
      <c r="XC70" s="32"/>
      <c r="XD70" s="32"/>
      <c r="XE70" s="32"/>
      <c r="XF70" s="32"/>
      <c r="XG70" s="32"/>
      <c r="XH70" s="32"/>
      <c r="XI70" s="32"/>
      <c r="XJ70" s="32"/>
      <c r="XK70" s="32"/>
      <c r="XL70" s="32"/>
      <c r="XM70" s="32"/>
      <c r="XN70" s="32"/>
      <c r="XO70" s="32"/>
      <c r="XP70" s="32"/>
      <c r="XQ70" s="32"/>
      <c r="XR70" s="32"/>
      <c r="XS70" s="32"/>
      <c r="XT70" s="32"/>
      <c r="XU70" s="32"/>
      <c r="XV70" s="32"/>
      <c r="XW70" s="32"/>
      <c r="XX70" s="32"/>
      <c r="XY70" s="32"/>
      <c r="XZ70" s="32"/>
      <c r="YA70" s="32"/>
      <c r="YB70" s="32"/>
      <c r="YC70" s="32"/>
      <c r="YD70" s="32"/>
      <c r="YE70" s="32"/>
      <c r="YF70" s="32"/>
      <c r="YG70" s="32"/>
      <c r="YH70" s="32"/>
      <c r="YI70" s="32"/>
      <c r="YJ70" s="32"/>
      <c r="YK70" s="32"/>
      <c r="YL70" s="32"/>
      <c r="YM70" s="32"/>
      <c r="YN70" s="32"/>
      <c r="YO70" s="32"/>
      <c r="YP70" s="32"/>
      <c r="YQ70" s="32"/>
      <c r="YR70" s="32"/>
      <c r="YS70" s="32"/>
      <c r="YT70" s="32"/>
      <c r="YU70" s="32"/>
      <c r="YV70" s="32"/>
      <c r="YW70" s="32"/>
      <c r="YX70" s="32"/>
      <c r="YY70" s="32"/>
      <c r="YZ70" s="32"/>
      <c r="ZA70" s="32"/>
      <c r="ZB70" s="32"/>
      <c r="ZC70" s="32"/>
      <c r="ZD70" s="32"/>
      <c r="ZE70" s="32"/>
      <c r="ZF70" s="32"/>
      <c r="ZG70" s="32"/>
      <c r="ZH70" s="32"/>
      <c r="ZI70" s="32"/>
      <c r="ZJ70" s="32"/>
      <c r="ZK70" s="32"/>
      <c r="ZL70" s="32"/>
      <c r="ZM70" s="32"/>
      <c r="ZN70" s="32"/>
      <c r="ZO70" s="32"/>
      <c r="ZP70" s="32"/>
      <c r="ZQ70" s="32"/>
      <c r="ZR70" s="32"/>
      <c r="ZS70" s="32"/>
      <c r="ZT70" s="32"/>
      <c r="ZU70" s="32"/>
      <c r="ZV70" s="32"/>
      <c r="ZW70" s="32"/>
      <c r="ZX70" s="32"/>
      <c r="ZY70" s="32"/>
      <c r="ZZ70" s="32"/>
      <c r="AAA70" s="32"/>
      <c r="AAB70" s="32"/>
      <c r="AAC70" s="32"/>
      <c r="AAD70" s="32"/>
      <c r="AAE70" s="32"/>
      <c r="AAF70" s="32"/>
      <c r="AAG70" s="32"/>
      <c r="AAH70" s="32"/>
      <c r="AAI70" s="32"/>
      <c r="AAJ70" s="32"/>
      <c r="AAK70" s="32"/>
      <c r="AAL70" s="32"/>
      <c r="AAM70" s="32"/>
      <c r="AAN70" s="32"/>
      <c r="AAO70" s="32"/>
      <c r="AAP70" s="32"/>
      <c r="AAQ70" s="32"/>
      <c r="AAR70" s="32"/>
      <c r="AAS70" s="32"/>
      <c r="AAT70" s="32"/>
      <c r="AAU70" s="32"/>
      <c r="AAV70" s="32"/>
      <c r="AAW70" s="32"/>
      <c r="AAX70" s="32"/>
      <c r="AAY70" s="32"/>
      <c r="AAZ70" s="32"/>
      <c r="ABA70" s="32"/>
      <c r="ABB70" s="32"/>
      <c r="ABC70" s="32"/>
      <c r="ABD70" s="32"/>
      <c r="ABE70" s="32"/>
      <c r="ABF70" s="32"/>
      <c r="ABG70" s="32"/>
      <c r="ABH70" s="32"/>
      <c r="ABI70" s="32"/>
      <c r="ABJ70" s="32"/>
      <c r="ABK70" s="32"/>
      <c r="ABL70" s="32"/>
      <c r="ABM70" s="32"/>
      <c r="ABN70" s="32"/>
      <c r="ABO70" s="32"/>
      <c r="ABP70" s="32"/>
      <c r="ABQ70" s="32"/>
      <c r="ABR70" s="32"/>
    </row>
    <row r="71" spans="1:1822" customFormat="1" x14ac:dyDescent="0.3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3"/>
      <c r="R71" s="23"/>
      <c r="S71" s="23"/>
      <c r="T71" s="23"/>
      <c r="U71" s="23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42"/>
      <c r="HV71" s="42"/>
      <c r="HW71" s="42"/>
      <c r="HX71" s="42"/>
      <c r="HY71" s="42"/>
      <c r="HZ71" s="42"/>
      <c r="IA71" s="42"/>
      <c r="IB71" s="42"/>
      <c r="IC71" s="42"/>
      <c r="ID71" s="42"/>
      <c r="IE71" s="42"/>
      <c r="IF71" s="42"/>
      <c r="IG71" s="42"/>
      <c r="IH71" s="42"/>
      <c r="II71" s="42"/>
      <c r="IJ71" s="42"/>
      <c r="IK71" s="28"/>
      <c r="IL71" s="28"/>
      <c r="IM71" s="28"/>
      <c r="IN71" s="28"/>
      <c r="IO71" s="28"/>
      <c r="IP71" s="28"/>
      <c r="IQ71" s="28"/>
      <c r="IR71" s="28"/>
      <c r="IS71" s="28"/>
      <c r="IT71" s="28"/>
      <c r="IU71" s="28"/>
      <c r="IV71" s="28"/>
      <c r="IW71" s="28"/>
      <c r="IX71" s="28"/>
      <c r="IY71" s="28"/>
      <c r="IZ71" s="28"/>
      <c r="JA71" s="28"/>
      <c r="JB71" s="28"/>
      <c r="JC71" s="28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42"/>
      <c r="JP71" s="28"/>
      <c r="JQ71" s="28"/>
      <c r="JR71" s="28"/>
      <c r="JS71" s="28"/>
      <c r="JT71" s="28"/>
      <c r="JU71" s="28"/>
      <c r="JV71" s="28"/>
      <c r="JW71" s="28"/>
      <c r="JX71" s="28"/>
      <c r="JY71" s="28"/>
      <c r="JZ71" s="28"/>
      <c r="KA71" s="28"/>
      <c r="KB71" s="28"/>
      <c r="KC71" s="28"/>
      <c r="KD71" s="26"/>
      <c r="KE71" s="26"/>
      <c r="KF71" s="26"/>
      <c r="KG71" s="26"/>
      <c r="KH71" s="42"/>
      <c r="KI71" s="42"/>
      <c r="KJ71" s="42"/>
      <c r="KK71" s="42"/>
      <c r="KL71" s="42"/>
      <c r="KM71" s="42"/>
      <c r="KN71" s="42"/>
      <c r="KO71" s="42"/>
      <c r="KP71" s="42"/>
      <c r="KQ71" s="42"/>
      <c r="KR71" s="42"/>
      <c r="KS71" s="42"/>
      <c r="KT71" s="28"/>
      <c r="KU71" s="28"/>
      <c r="KV71" s="28"/>
      <c r="KW71" s="28"/>
      <c r="KX71" s="28"/>
      <c r="KY71" s="28"/>
      <c r="KZ71" s="28"/>
      <c r="LA71" s="28"/>
      <c r="LB71" s="28"/>
      <c r="LC71" s="28"/>
      <c r="LD71" s="28"/>
      <c r="LE71" s="28"/>
      <c r="LF71" s="28"/>
      <c r="LG71" s="28"/>
      <c r="LH71" s="28"/>
      <c r="LI71" s="42"/>
      <c r="LJ71" s="42"/>
      <c r="LK71" s="42"/>
      <c r="LL71" s="42"/>
      <c r="LM71" s="42"/>
      <c r="LN71" s="42"/>
      <c r="LO71" s="42"/>
      <c r="LP71" s="42"/>
      <c r="LQ71" s="42"/>
      <c r="LR71" s="42"/>
      <c r="LS71" s="42"/>
      <c r="LT71" s="42"/>
      <c r="LU71" s="42"/>
      <c r="LV71" s="42"/>
      <c r="LW71" s="42"/>
      <c r="LX71" s="42"/>
      <c r="LY71" s="28"/>
      <c r="LZ71" s="28"/>
      <c r="MA71" s="28"/>
      <c r="MB71" s="28"/>
      <c r="MC71" s="28"/>
      <c r="MD71" s="28"/>
      <c r="ME71" s="28"/>
      <c r="MF71" s="28"/>
      <c r="MG71" s="28"/>
      <c r="MH71" s="28"/>
      <c r="MI71" s="28"/>
      <c r="MJ71" s="28"/>
      <c r="MK71" s="28"/>
      <c r="ML71" s="28"/>
      <c r="MM71" s="42"/>
      <c r="MN71" s="42"/>
      <c r="MO71" s="42"/>
      <c r="MP71" s="42"/>
      <c r="MQ71" s="42"/>
      <c r="MR71" s="42"/>
      <c r="MS71" s="42"/>
      <c r="MT71" s="42"/>
      <c r="MU71" s="42"/>
      <c r="MV71" s="42"/>
      <c r="MW71" s="42"/>
      <c r="MX71" s="42"/>
      <c r="MY71" s="42"/>
      <c r="MZ71" s="42"/>
      <c r="NA71" s="42"/>
      <c r="NB71" s="42"/>
      <c r="NC71" s="28"/>
      <c r="ND71" s="28"/>
      <c r="NE71" s="28"/>
      <c r="NF71" s="28"/>
      <c r="NG71" s="28"/>
      <c r="NH71" s="28"/>
      <c r="NI71" s="28"/>
      <c r="NJ71" s="28"/>
      <c r="NK71" s="28"/>
      <c r="NL71" s="28"/>
      <c r="NM71" s="28"/>
      <c r="NN71" s="28"/>
      <c r="NO71" s="28"/>
      <c r="NP71" s="28"/>
      <c r="NQ71" s="28"/>
      <c r="NR71" s="42"/>
      <c r="NS71" s="42"/>
      <c r="NT71" s="42"/>
      <c r="NU71" s="42"/>
      <c r="NV71" s="42"/>
      <c r="NW71" s="42"/>
      <c r="NX71" s="42"/>
      <c r="NY71" s="42"/>
      <c r="NZ71" s="42"/>
      <c r="OA71" s="42"/>
      <c r="OB71" s="42"/>
      <c r="OC71" s="42"/>
      <c r="OD71" s="42"/>
      <c r="OE71" s="42"/>
      <c r="OF71" s="42"/>
      <c r="OG71" s="42"/>
      <c r="OH71" s="28"/>
      <c r="OI71" s="28"/>
      <c r="OJ71" s="28"/>
      <c r="OK71" s="28"/>
      <c r="OL71" s="28"/>
      <c r="OM71" s="28"/>
      <c r="ON71" s="28"/>
      <c r="OO71" s="28"/>
      <c r="OP71" s="28"/>
      <c r="OQ71" s="28"/>
      <c r="OR71" s="28"/>
      <c r="OS71" s="28"/>
      <c r="OT71" s="28"/>
      <c r="OU71" s="28"/>
      <c r="OV71" s="28"/>
      <c r="OW71" s="42"/>
      <c r="OX71" s="42"/>
      <c r="OY71" s="42"/>
      <c r="OZ71" s="42"/>
      <c r="PA71" s="42"/>
      <c r="PB71" s="42"/>
      <c r="PC71" s="42"/>
      <c r="PD71" s="42"/>
      <c r="PE71" s="42"/>
      <c r="PF71" s="42"/>
      <c r="PG71" s="42"/>
      <c r="PH71" s="26"/>
      <c r="PI71" s="26"/>
      <c r="PJ71" s="26"/>
      <c r="PK71" s="26"/>
      <c r="PL71" s="26"/>
      <c r="PM71" s="26"/>
      <c r="PN71" s="26"/>
      <c r="PO71" s="26"/>
      <c r="PP71" s="26"/>
      <c r="PQ71" s="26"/>
      <c r="PR71" s="26"/>
      <c r="PS71" s="26"/>
      <c r="PT71" s="26"/>
      <c r="PU71" s="26"/>
      <c r="PV71" s="26"/>
      <c r="PW71" s="26"/>
      <c r="PX71" s="26"/>
      <c r="PY71" s="26"/>
      <c r="PZ71" s="28"/>
      <c r="QA71" s="28"/>
      <c r="QB71" s="28"/>
      <c r="QC71" s="28"/>
      <c r="QD71" s="28"/>
      <c r="QE71" s="28"/>
      <c r="QF71" s="28"/>
      <c r="QG71" s="28"/>
      <c r="QH71" s="28"/>
      <c r="QI71" s="28"/>
      <c r="QJ71" s="28"/>
      <c r="QK71" s="28"/>
      <c r="QL71" s="28"/>
      <c r="QM71" s="28"/>
      <c r="QN71" s="28"/>
      <c r="QO71" s="28"/>
      <c r="QP71" s="28"/>
      <c r="QQ71" s="28"/>
      <c r="QR71" s="28"/>
      <c r="QS71" s="28"/>
      <c r="QT71" s="28"/>
      <c r="QU71" s="28"/>
      <c r="QV71" s="28"/>
      <c r="QW71" s="28"/>
      <c r="QX71" s="28"/>
      <c r="QY71" s="28"/>
      <c r="QZ71" s="28"/>
      <c r="RA71" s="28"/>
      <c r="RB71" s="28"/>
      <c r="RC71" s="28"/>
      <c r="RD71" s="28"/>
      <c r="RE71" s="28"/>
      <c r="RF71" s="28"/>
      <c r="RG71" s="28"/>
      <c r="RH71" s="28"/>
      <c r="RI71" s="28"/>
      <c r="RJ71" s="28"/>
      <c r="RK71" s="28"/>
      <c r="RL71" s="28"/>
      <c r="RM71" s="28"/>
      <c r="RN71" s="28"/>
      <c r="RO71" s="28"/>
      <c r="RP71" s="28"/>
      <c r="RQ71" s="28"/>
      <c r="RR71" s="28"/>
      <c r="RS71" s="28"/>
      <c r="RT71" s="28"/>
      <c r="RU71" s="28"/>
      <c r="RV71" s="28"/>
      <c r="RW71" s="28"/>
      <c r="RX71" s="28"/>
      <c r="RY71" s="28"/>
      <c r="RZ71" s="28"/>
      <c r="SA71" s="28"/>
      <c r="SB71" s="28"/>
      <c r="SC71" s="28"/>
      <c r="SD71" s="28"/>
      <c r="SE71" s="28"/>
      <c r="SF71" s="28"/>
      <c r="SG71" s="28"/>
      <c r="SH71" s="28"/>
      <c r="SI71" s="28"/>
      <c r="SJ71" s="28"/>
      <c r="SK71" s="28"/>
      <c r="SL71" s="28"/>
      <c r="SM71" s="28"/>
      <c r="SN71" s="28"/>
      <c r="SO71" s="28"/>
      <c r="SP71" s="28"/>
      <c r="SQ71" s="28"/>
      <c r="SR71" s="28"/>
      <c r="SS71" s="28"/>
      <c r="ST71" s="28"/>
      <c r="SU71" s="28"/>
      <c r="SV71" s="28"/>
      <c r="SW71" s="28"/>
      <c r="SX71" s="28"/>
      <c r="SY71" s="28"/>
      <c r="SZ71" s="28"/>
      <c r="TA71" s="28"/>
      <c r="TB71" s="28"/>
      <c r="TC71" s="28"/>
      <c r="TD71" s="28"/>
      <c r="TE71" s="28"/>
      <c r="TF71" s="28"/>
      <c r="TG71" s="28"/>
      <c r="TH71" s="28"/>
      <c r="TI71" s="28"/>
      <c r="TJ71" s="28"/>
      <c r="TK71" s="28"/>
      <c r="TL71" s="28"/>
      <c r="TM71" s="32"/>
      <c r="TN71" s="28"/>
      <c r="TO71" s="28"/>
      <c r="TP71" s="28"/>
      <c r="TQ71" s="28"/>
      <c r="TR71" s="28"/>
      <c r="TS71" s="28"/>
      <c r="TT71" s="28"/>
      <c r="TU71" s="28"/>
      <c r="TV71" s="28"/>
      <c r="TW71" s="28"/>
      <c r="TX71" s="28"/>
      <c r="TY71" s="28"/>
      <c r="TZ71" s="28"/>
      <c r="UA71" s="28"/>
      <c r="UB71" s="28"/>
      <c r="UC71" s="28"/>
      <c r="UD71" s="28"/>
      <c r="UE71" s="28"/>
      <c r="UF71" s="28"/>
      <c r="UG71" s="28"/>
      <c r="UH71" s="28"/>
      <c r="UI71" s="28"/>
      <c r="UJ71" s="28"/>
      <c r="UK71" s="28"/>
      <c r="UL71" s="28"/>
      <c r="UM71" s="28"/>
      <c r="UN71" s="28"/>
      <c r="UO71" s="28"/>
      <c r="UP71" s="28"/>
      <c r="UQ71" s="28"/>
      <c r="UR71" s="28"/>
      <c r="US71" s="28"/>
      <c r="UT71" s="28"/>
      <c r="UU71" s="28"/>
      <c r="UV71" s="28"/>
      <c r="UW71" s="28"/>
      <c r="UX71" s="28"/>
      <c r="UY71" s="28"/>
      <c r="UZ71" s="28"/>
      <c r="VA71" s="28"/>
      <c r="VB71" s="28"/>
      <c r="VC71" s="28"/>
      <c r="VD71" s="28"/>
      <c r="VE71" s="28"/>
      <c r="VF71" s="28"/>
      <c r="VG71" s="28"/>
      <c r="VH71" s="28"/>
      <c r="VI71" s="28"/>
      <c r="VJ71" s="28"/>
      <c r="VK71" s="28"/>
      <c r="VL71" s="28"/>
      <c r="VM71" s="28"/>
      <c r="VN71" s="28"/>
      <c r="VO71" s="28"/>
      <c r="VP71" s="28"/>
      <c r="VQ71" s="28"/>
      <c r="VR71" s="28"/>
      <c r="VS71" s="28"/>
      <c r="VT71" s="28"/>
      <c r="VU71" s="28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</row>
    <row r="72" spans="1:1822" customFormat="1" ht="28.8" x14ac:dyDescent="0.3">
      <c r="A72" s="2">
        <v>9</v>
      </c>
      <c r="B72" s="2" t="s">
        <v>17</v>
      </c>
      <c r="C72" s="156" t="s">
        <v>91</v>
      </c>
      <c r="D72" s="38" t="s">
        <v>92</v>
      </c>
      <c r="E72" s="22">
        <v>44853</v>
      </c>
      <c r="F72" s="22">
        <v>45492</v>
      </c>
      <c r="G72" s="81">
        <f t="shared" si="62"/>
        <v>45612</v>
      </c>
      <c r="H72" s="22"/>
      <c r="I72" s="22"/>
      <c r="J72" s="22"/>
      <c r="K72" s="23" t="s">
        <v>88</v>
      </c>
      <c r="L72" s="23">
        <f ca="1">IF(F72=0,"NA",ROUND(($L$1-F72+1)/365*30,1))</f>
        <v>42.7</v>
      </c>
      <c r="M72" s="23">
        <f ca="1">IF(L72="NA",0,L72-P72)</f>
        <v>41.7</v>
      </c>
      <c r="N72" s="135"/>
      <c r="O72" s="135"/>
      <c r="P72" s="155">
        <f>SUM(O72-N72+1)</f>
        <v>1</v>
      </c>
      <c r="Q72" s="23"/>
      <c r="R72" s="23"/>
      <c r="S72" s="23"/>
      <c r="T72" s="23"/>
      <c r="U72" s="23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8"/>
      <c r="GW72" s="28"/>
      <c r="GX72" s="28"/>
      <c r="GY72" s="28"/>
      <c r="GZ72" s="28"/>
      <c r="HA72" s="28"/>
      <c r="HB72" s="28"/>
      <c r="HC72" s="28"/>
      <c r="HD72" s="28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42"/>
      <c r="HV72" s="42"/>
      <c r="HW72" s="42"/>
      <c r="HX72" s="42"/>
      <c r="HY72" s="42"/>
      <c r="HZ72" s="42"/>
      <c r="IA72" s="42"/>
      <c r="IB72" s="42"/>
      <c r="IC72" s="42"/>
      <c r="ID72" s="42"/>
      <c r="IE72" s="42"/>
      <c r="IF72" s="42"/>
      <c r="IG72" s="42"/>
      <c r="IH72" s="42"/>
      <c r="II72" s="42"/>
      <c r="IJ72" s="42"/>
      <c r="IK72" s="28"/>
      <c r="IL72" s="28"/>
      <c r="IM72" s="28"/>
      <c r="IN72" s="28"/>
      <c r="IO72" s="28"/>
      <c r="IP72" s="28"/>
      <c r="IQ72" s="28"/>
      <c r="IR72" s="28"/>
      <c r="IS72" s="28"/>
      <c r="IT72" s="28"/>
      <c r="IU72" s="28"/>
      <c r="IV72" s="28"/>
      <c r="IW72" s="28"/>
      <c r="IX72" s="28"/>
      <c r="IY72" s="28"/>
      <c r="IZ72" s="28"/>
      <c r="JA72" s="28"/>
      <c r="JB72" s="28"/>
      <c r="JC72" s="28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42"/>
      <c r="JP72" s="28"/>
      <c r="JQ72" s="28"/>
      <c r="JR72" s="28"/>
      <c r="JS72" s="28"/>
      <c r="JT72" s="28"/>
      <c r="JU72" s="28"/>
      <c r="JV72" s="28"/>
      <c r="JW72" s="28"/>
      <c r="JX72" s="28"/>
      <c r="JY72" s="28"/>
      <c r="JZ72" s="28"/>
      <c r="KA72" s="28"/>
      <c r="KB72" s="28"/>
      <c r="KC72" s="28"/>
      <c r="KD72" s="26"/>
      <c r="KE72" s="26"/>
      <c r="KF72" s="26"/>
      <c r="KG72" s="26"/>
      <c r="KH72" s="42"/>
      <c r="KI72" s="42"/>
      <c r="KJ72" s="42"/>
      <c r="KK72" s="42"/>
      <c r="KL72" s="42"/>
      <c r="KM72" s="42"/>
      <c r="KN72" s="42"/>
      <c r="KO72" s="42"/>
      <c r="KP72" s="42"/>
      <c r="KQ72" s="42"/>
      <c r="KR72" s="42"/>
      <c r="KS72" s="42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42"/>
      <c r="LJ72" s="42"/>
      <c r="LK72" s="42"/>
      <c r="LL72" s="42"/>
      <c r="LM72" s="42"/>
      <c r="LN72" s="42"/>
      <c r="LO72" s="42"/>
      <c r="LP72" s="42"/>
      <c r="LQ72" s="42"/>
      <c r="LR72" s="42"/>
      <c r="LS72" s="42"/>
      <c r="LT72" s="42"/>
      <c r="LU72" s="42"/>
      <c r="LV72" s="42"/>
      <c r="LW72" s="42"/>
      <c r="LX72" s="42"/>
      <c r="LY72" s="28"/>
      <c r="LZ72" s="28"/>
      <c r="MA72" s="28"/>
      <c r="MB72" s="28"/>
      <c r="MC72" s="28"/>
      <c r="MD72" s="28"/>
      <c r="ME72" s="28"/>
      <c r="MF72" s="28"/>
      <c r="MG72" s="28"/>
      <c r="MH72" s="28"/>
      <c r="MI72" s="28"/>
      <c r="MJ72" s="28"/>
      <c r="MK72" s="28"/>
      <c r="ML72" s="28"/>
      <c r="MM72" s="42"/>
      <c r="MN72" s="42"/>
      <c r="MO72" s="42"/>
      <c r="MP72" s="42"/>
      <c r="MQ72" s="42"/>
      <c r="MR72" s="42"/>
      <c r="MS72" s="42"/>
      <c r="MT72" s="42"/>
      <c r="MU72" s="42"/>
      <c r="MV72" s="42"/>
      <c r="MW72" s="42"/>
      <c r="MX72" s="42"/>
      <c r="MY72" s="26"/>
      <c r="MZ72" s="26"/>
      <c r="NA72" s="26"/>
      <c r="NB72" s="26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42"/>
      <c r="NS72" s="42"/>
      <c r="NT72" s="42"/>
      <c r="NU72" s="42"/>
      <c r="NV72" s="42"/>
      <c r="NW72" s="42"/>
      <c r="NX72" s="42"/>
      <c r="NY72" s="42"/>
      <c r="NZ72" s="42"/>
      <c r="OA72" s="42"/>
      <c r="OB72" s="42"/>
      <c r="OC72" s="42"/>
      <c r="OD72" s="42"/>
      <c r="OE72" s="42"/>
      <c r="OF72" s="42"/>
      <c r="OG72" s="42"/>
      <c r="OH72" s="28"/>
      <c r="OI72" s="28"/>
      <c r="OJ72" s="28"/>
      <c r="OK72" s="28"/>
      <c r="OL72" s="28"/>
      <c r="OM72" s="28"/>
      <c r="ON72" s="28"/>
      <c r="OO72" s="28"/>
      <c r="OP72" s="28"/>
      <c r="OQ72" s="28"/>
      <c r="OR72" s="28"/>
      <c r="OS72" s="28"/>
      <c r="OT72" s="28"/>
      <c r="OU72" s="28"/>
      <c r="OV72" s="28"/>
      <c r="OW72" s="42"/>
      <c r="OX72" s="42"/>
      <c r="OY72" s="42"/>
      <c r="OZ72" s="42"/>
      <c r="PA72" s="42"/>
      <c r="PB72" s="42"/>
      <c r="PC72" s="42"/>
      <c r="PD72" s="42"/>
      <c r="PE72" s="42"/>
      <c r="PF72" s="42"/>
      <c r="PG72" s="42"/>
      <c r="PH72" s="26"/>
      <c r="PI72" s="26"/>
      <c r="PJ72" s="26"/>
      <c r="PK72" s="26"/>
      <c r="PL72" s="26"/>
      <c r="PM72" s="26"/>
      <c r="PN72" s="26"/>
      <c r="PO72" s="26"/>
      <c r="PP72" s="26"/>
      <c r="PQ72" s="26"/>
      <c r="PR72" s="26"/>
      <c r="PS72" s="26"/>
      <c r="PT72" s="26"/>
      <c r="PU72" s="26"/>
      <c r="PV72" s="26"/>
      <c r="PW72" s="26"/>
      <c r="PX72" s="26"/>
      <c r="PY72" s="26"/>
      <c r="PZ72" s="28"/>
      <c r="QA72" s="28"/>
      <c r="QB72" s="28"/>
      <c r="QC72" s="28"/>
      <c r="QD72" s="28"/>
      <c r="QE72" s="28"/>
      <c r="QF72" s="28"/>
      <c r="QG72" s="28"/>
      <c r="QH72" s="28"/>
      <c r="QI72" s="28"/>
      <c r="QJ72" s="28"/>
      <c r="QK72" s="28"/>
      <c r="QL72" s="28"/>
      <c r="QM72" s="28"/>
      <c r="QN72" s="28"/>
      <c r="QO72" s="28"/>
      <c r="QP72" s="28"/>
      <c r="QQ72" s="28"/>
      <c r="QR72" s="28"/>
      <c r="QS72" s="28"/>
      <c r="QT72" s="28"/>
      <c r="QU72" s="28"/>
      <c r="QV72" s="28"/>
      <c r="QW72" s="28"/>
      <c r="QX72" s="28"/>
      <c r="QY72" s="28"/>
      <c r="QZ72" s="28"/>
      <c r="RA72" s="28"/>
      <c r="RB72" s="28"/>
      <c r="RC72" s="28"/>
      <c r="RD72" s="28"/>
      <c r="RE72" s="28"/>
      <c r="RF72" s="28"/>
      <c r="RG72" s="28"/>
      <c r="RH72" s="28"/>
      <c r="RI72" s="28"/>
      <c r="RJ72" s="28"/>
      <c r="RK72" s="28"/>
      <c r="RL72" s="28"/>
      <c r="RM72" s="28"/>
      <c r="RN72" s="28"/>
      <c r="RO72" s="28"/>
      <c r="RP72" s="28"/>
      <c r="RQ72" s="28"/>
      <c r="RR72" s="28"/>
      <c r="RS72" s="28"/>
      <c r="RT72" s="28"/>
      <c r="RU72" s="28"/>
      <c r="RV72" s="28"/>
      <c r="RW72" s="28"/>
      <c r="RX72" s="28"/>
      <c r="RY72" s="28"/>
      <c r="RZ72" s="28"/>
      <c r="SA72" s="28"/>
      <c r="SB72" s="28"/>
      <c r="SC72" s="28"/>
      <c r="SD72" s="28"/>
      <c r="SE72" s="28"/>
      <c r="SF72" s="28"/>
      <c r="SG72" s="28"/>
      <c r="SH72" s="28"/>
      <c r="SI72" s="28"/>
      <c r="SJ72" s="28"/>
      <c r="SK72" s="28"/>
      <c r="SL72" s="28"/>
      <c r="SM72" s="28"/>
      <c r="SN72" s="28"/>
      <c r="SO72" s="28"/>
      <c r="SP72" s="28"/>
      <c r="SQ72" s="28"/>
      <c r="SR72" s="28"/>
      <c r="SS72" s="28"/>
      <c r="ST72" s="28"/>
      <c r="SU72" s="28"/>
      <c r="SV72" s="28"/>
      <c r="SW72" s="28"/>
      <c r="SX72" s="28"/>
      <c r="SY72" s="28"/>
      <c r="SZ72" s="28"/>
      <c r="TA72" s="28"/>
      <c r="TB72" s="28"/>
      <c r="TC72" s="28"/>
      <c r="TD72" s="28"/>
      <c r="TE72" s="28"/>
      <c r="TF72" s="28"/>
      <c r="TG72" s="28"/>
      <c r="TH72" s="28"/>
      <c r="TI72" s="28"/>
      <c r="TJ72" s="28"/>
      <c r="TK72" s="28"/>
      <c r="TL72" s="28"/>
      <c r="TM72" s="32"/>
      <c r="TN72" s="28"/>
      <c r="TO72" s="28"/>
      <c r="TP72" s="28"/>
      <c r="TQ72" s="28"/>
      <c r="TR72" s="28"/>
      <c r="TS72" s="28"/>
      <c r="TT72" s="28"/>
      <c r="TU72" s="28"/>
      <c r="TV72" s="28"/>
      <c r="TW72" s="28"/>
      <c r="TX72" s="28"/>
      <c r="TY72" s="28"/>
      <c r="TZ72" s="28"/>
      <c r="UA72" s="28"/>
      <c r="UB72" s="28"/>
      <c r="UC72" s="28"/>
      <c r="UD72" s="28"/>
      <c r="UE72" s="28"/>
      <c r="UF72" s="28"/>
      <c r="UG72" s="28"/>
      <c r="UH72" s="28"/>
      <c r="UI72" s="28"/>
      <c r="UJ72" s="28"/>
      <c r="UK72" s="28"/>
      <c r="UL72" s="28"/>
      <c r="UM72" s="28"/>
      <c r="UN72" s="28"/>
      <c r="UO72" s="28"/>
      <c r="UP72" s="28"/>
      <c r="UQ72" s="28"/>
      <c r="UR72" s="28"/>
      <c r="US72" s="28"/>
      <c r="UT72" s="28"/>
      <c r="UU72" s="28"/>
      <c r="UV72" s="28"/>
      <c r="UW72" s="28"/>
      <c r="UX72" s="28"/>
      <c r="UY72" s="28"/>
      <c r="UZ72" s="28"/>
      <c r="VA72" s="28"/>
      <c r="VB72" s="28"/>
      <c r="VC72" s="28"/>
      <c r="VD72" s="28"/>
      <c r="VE72" s="28"/>
      <c r="VF72" s="28"/>
      <c r="VG72" s="28"/>
      <c r="VH72" s="28"/>
      <c r="VI72" s="28"/>
      <c r="VJ72" s="28"/>
      <c r="VK72" s="28"/>
      <c r="VL72" s="28"/>
      <c r="VM72" s="28"/>
      <c r="VN72" s="28"/>
      <c r="VO72" s="28"/>
      <c r="VP72" s="28"/>
      <c r="VQ72" s="28"/>
      <c r="VR72" s="28"/>
      <c r="VS72" s="28"/>
      <c r="VT72" s="28"/>
      <c r="VU72" s="28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</row>
    <row r="73" spans="1:1822" s="37" customFormat="1" ht="28.8" x14ac:dyDescent="0.3">
      <c r="A73" s="2">
        <v>10</v>
      </c>
      <c r="B73" s="2" t="s">
        <v>17</v>
      </c>
      <c r="C73" s="156" t="s">
        <v>93</v>
      </c>
      <c r="D73" s="38" t="s">
        <v>94</v>
      </c>
      <c r="E73" s="22">
        <v>44853</v>
      </c>
      <c r="F73" s="22">
        <v>45492</v>
      </c>
      <c r="G73" s="81">
        <f t="shared" si="62"/>
        <v>45612</v>
      </c>
      <c r="H73" s="22"/>
      <c r="I73" s="22"/>
      <c r="J73" s="22"/>
      <c r="K73" s="23" t="s">
        <v>88</v>
      </c>
      <c r="L73" s="23">
        <f ca="1">IF(F73=0,"NA",ROUND(($L$1-F73+1)/365*30,1))</f>
        <v>42.7</v>
      </c>
      <c r="M73" s="23">
        <f ca="1">IF(L73="NA",0,L73-P73)</f>
        <v>41.7</v>
      </c>
      <c r="N73" s="135"/>
      <c r="O73" s="135"/>
      <c r="P73" s="155">
        <f>SUM(O73-N73+1)</f>
        <v>1</v>
      </c>
      <c r="Q73" s="23"/>
      <c r="R73" s="23"/>
      <c r="S73" s="23"/>
      <c r="T73" s="23"/>
      <c r="U73" s="23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42"/>
      <c r="GD73" s="42"/>
      <c r="GE73" s="42"/>
      <c r="GF73" s="42"/>
      <c r="GG73" s="42"/>
      <c r="GH73" s="42"/>
      <c r="GI73" s="42"/>
      <c r="GJ73" s="42"/>
      <c r="GK73" s="42"/>
      <c r="GL73" s="42"/>
      <c r="GM73" s="42"/>
      <c r="GN73" s="42"/>
      <c r="GO73" s="42"/>
      <c r="GP73" s="42"/>
      <c r="GQ73" s="42"/>
      <c r="GR73" s="42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6"/>
      <c r="IE73" s="26"/>
      <c r="IF73" s="26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8"/>
      <c r="IV73" s="28"/>
      <c r="IW73" s="28"/>
      <c r="IX73" s="28"/>
      <c r="IY73" s="28"/>
      <c r="IZ73" s="28"/>
      <c r="JA73" s="28"/>
      <c r="JB73" s="28"/>
      <c r="JC73" s="28"/>
      <c r="JD73" s="28"/>
      <c r="JE73" s="28"/>
      <c r="JF73" s="28"/>
      <c r="JG73" s="28"/>
      <c r="JH73" s="28"/>
      <c r="JI73" s="28"/>
      <c r="JJ73" s="28"/>
      <c r="JK73" s="28"/>
      <c r="JL73" s="28"/>
      <c r="JM73" s="28"/>
      <c r="JN73" s="28"/>
      <c r="JO73" s="28"/>
      <c r="JP73" s="28"/>
      <c r="JQ73" s="28"/>
      <c r="JR73" s="28"/>
      <c r="JS73" s="28"/>
      <c r="JT73" s="28"/>
      <c r="JU73" s="28"/>
      <c r="JV73" s="28"/>
      <c r="JW73" s="28"/>
      <c r="JX73" s="28"/>
      <c r="JY73" s="28"/>
      <c r="JZ73" s="28"/>
      <c r="KA73" s="28"/>
      <c r="KB73" s="28"/>
      <c r="KC73" s="28"/>
      <c r="KD73" s="28"/>
      <c r="KE73" s="28"/>
      <c r="KF73" s="28"/>
      <c r="KG73" s="28"/>
      <c r="KH73" s="28"/>
      <c r="KI73" s="28"/>
      <c r="KJ73" s="28"/>
      <c r="KK73" s="28"/>
      <c r="KL73" s="28"/>
      <c r="KM73" s="28"/>
      <c r="KN73" s="28"/>
      <c r="KO73" s="28"/>
      <c r="KP73" s="28"/>
      <c r="KQ73" s="28"/>
      <c r="KR73" s="28"/>
      <c r="KS73" s="28"/>
      <c r="KT73" s="28"/>
      <c r="KU73" s="28"/>
      <c r="KV73" s="28"/>
      <c r="KW73" s="28"/>
      <c r="KX73" s="28"/>
      <c r="KY73" s="28"/>
      <c r="KZ73" s="28"/>
      <c r="LA73" s="28"/>
      <c r="LB73" s="28"/>
      <c r="LC73" s="28"/>
      <c r="LD73" s="28"/>
      <c r="LE73" s="28"/>
      <c r="LF73" s="28"/>
      <c r="LG73" s="28"/>
      <c r="LH73" s="28"/>
      <c r="LI73" s="28"/>
      <c r="LJ73" s="28"/>
      <c r="LK73" s="28"/>
      <c r="LL73" s="28"/>
      <c r="LM73" s="28"/>
      <c r="LN73" s="28"/>
      <c r="LO73" s="28"/>
      <c r="LP73" s="28"/>
      <c r="LQ73" s="28"/>
      <c r="LR73" s="28"/>
      <c r="LS73" s="28"/>
      <c r="LT73" s="28"/>
      <c r="LU73" s="28"/>
      <c r="LV73" s="28"/>
      <c r="LW73" s="28"/>
      <c r="LX73" s="28"/>
      <c r="LY73" s="28"/>
      <c r="LZ73" s="28"/>
      <c r="MA73" s="28"/>
      <c r="MB73" s="28"/>
      <c r="MC73" s="28"/>
      <c r="MD73" s="28"/>
      <c r="ME73" s="28"/>
      <c r="MF73" s="28"/>
      <c r="MG73" s="28"/>
      <c r="MH73" s="28"/>
      <c r="MI73" s="28"/>
      <c r="MJ73" s="28"/>
      <c r="MK73" s="28"/>
      <c r="ML73" s="28"/>
      <c r="MM73" s="28"/>
      <c r="MN73" s="28"/>
      <c r="MO73" s="28"/>
      <c r="MP73" s="28"/>
      <c r="MQ73" s="28"/>
      <c r="MR73" s="28"/>
      <c r="MS73" s="28"/>
      <c r="MT73" s="28"/>
      <c r="MU73" s="28"/>
      <c r="MV73" s="28"/>
      <c r="MW73" s="28"/>
      <c r="MX73" s="28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8"/>
      <c r="OE73" s="28"/>
      <c r="OF73" s="28"/>
      <c r="OG73" s="28"/>
      <c r="OH73" s="28"/>
      <c r="OI73" s="28"/>
      <c r="OJ73" s="28"/>
      <c r="OK73" s="28"/>
      <c r="OL73" s="28"/>
      <c r="OM73" s="28"/>
      <c r="ON73" s="28"/>
      <c r="OO73" s="28"/>
      <c r="OP73" s="28"/>
      <c r="OQ73" s="28"/>
      <c r="OR73" s="28"/>
      <c r="OS73" s="28"/>
      <c r="OT73" s="28"/>
      <c r="OU73" s="28"/>
      <c r="OV73" s="28"/>
      <c r="OW73" s="28"/>
      <c r="OX73" s="28"/>
      <c r="OY73" s="28"/>
      <c r="OZ73" s="28"/>
      <c r="PA73" s="28"/>
      <c r="PB73" s="28"/>
      <c r="PC73" s="28"/>
      <c r="PD73" s="28"/>
      <c r="PE73" s="28"/>
      <c r="PF73" s="28"/>
      <c r="PG73" s="28"/>
      <c r="PH73" s="28"/>
      <c r="PI73" s="28"/>
      <c r="PJ73" s="28"/>
      <c r="PK73" s="28"/>
      <c r="PL73" s="28"/>
      <c r="PM73" s="28"/>
      <c r="PN73" s="28"/>
      <c r="PO73" s="28"/>
      <c r="PP73" s="28"/>
      <c r="PQ73" s="28"/>
      <c r="PR73" s="28"/>
      <c r="PS73" s="28"/>
      <c r="PT73" s="28"/>
      <c r="PU73" s="28"/>
      <c r="PV73" s="28"/>
      <c r="PW73" s="28"/>
      <c r="PX73" s="28"/>
      <c r="PY73" s="28"/>
      <c r="PZ73" s="28"/>
      <c r="QA73" s="28"/>
      <c r="QB73" s="28"/>
      <c r="QC73" s="28"/>
      <c r="QD73" s="28"/>
      <c r="QE73" s="28"/>
      <c r="QF73" s="28"/>
      <c r="QG73" s="28"/>
      <c r="QH73" s="28"/>
      <c r="QI73" s="28"/>
      <c r="QJ73" s="28"/>
      <c r="QK73" s="28"/>
      <c r="QL73" s="28"/>
      <c r="QM73" s="28"/>
      <c r="QN73" s="28"/>
      <c r="QO73" s="28"/>
      <c r="QP73" s="28"/>
      <c r="QQ73" s="28"/>
      <c r="QR73" s="28"/>
      <c r="QS73" s="28"/>
      <c r="QT73" s="28"/>
      <c r="QU73" s="28"/>
      <c r="QV73" s="28"/>
      <c r="QW73" s="28"/>
      <c r="QX73" s="28"/>
      <c r="QY73" s="28"/>
      <c r="QZ73" s="28"/>
      <c r="RA73" s="28"/>
      <c r="RB73" s="28"/>
      <c r="RC73" s="28"/>
      <c r="RD73" s="28"/>
      <c r="RE73" s="28"/>
      <c r="RF73" s="28"/>
      <c r="RG73" s="28"/>
      <c r="RH73" s="28"/>
      <c r="RI73" s="28"/>
      <c r="RJ73" s="28"/>
      <c r="RK73" s="28"/>
      <c r="RL73" s="28"/>
      <c r="RM73" s="28"/>
      <c r="RN73" s="28"/>
      <c r="RO73" s="28"/>
      <c r="RP73" s="28"/>
      <c r="RQ73" s="28"/>
      <c r="RR73" s="28"/>
      <c r="RS73" s="28"/>
      <c r="RT73" s="28"/>
      <c r="RU73" s="28"/>
      <c r="RV73" s="28"/>
      <c r="RW73" s="28"/>
      <c r="RX73" s="28"/>
      <c r="RY73" s="28"/>
      <c r="RZ73" s="28"/>
      <c r="SA73" s="28"/>
      <c r="SB73" s="28"/>
      <c r="SC73" s="28"/>
      <c r="SD73" s="28"/>
      <c r="SE73" s="28"/>
      <c r="SF73" s="28"/>
      <c r="SG73" s="28"/>
      <c r="SH73" s="28"/>
      <c r="SI73" s="28"/>
      <c r="SJ73" s="28"/>
      <c r="SK73" s="28"/>
      <c r="SL73" s="28"/>
      <c r="SM73" s="28"/>
      <c r="SN73" s="28"/>
      <c r="SO73" s="28"/>
      <c r="SP73" s="28"/>
      <c r="SQ73" s="28"/>
      <c r="SR73" s="28"/>
      <c r="SS73" s="28"/>
      <c r="ST73" s="28"/>
      <c r="SU73" s="28"/>
      <c r="SV73" s="28"/>
      <c r="SW73" s="28"/>
      <c r="SX73" s="28"/>
      <c r="SY73" s="28"/>
      <c r="SZ73" s="28"/>
      <c r="TA73" s="28"/>
      <c r="TB73" s="28"/>
      <c r="TC73" s="28"/>
      <c r="TD73" s="28"/>
      <c r="TE73" s="28"/>
      <c r="TF73" s="28"/>
      <c r="TG73" s="28"/>
      <c r="TH73" s="28"/>
      <c r="TI73" s="28"/>
      <c r="TJ73" s="28"/>
      <c r="TK73" s="28"/>
      <c r="TL73" s="28"/>
      <c r="TM73" s="32"/>
      <c r="TN73" s="28"/>
      <c r="TO73" s="28"/>
      <c r="TP73" s="28"/>
      <c r="TQ73" s="28"/>
      <c r="TR73" s="28"/>
      <c r="TS73" s="28"/>
      <c r="TT73" s="28"/>
      <c r="TU73" s="28"/>
      <c r="TV73" s="28"/>
      <c r="TW73" s="28"/>
      <c r="TX73" s="28"/>
      <c r="TY73" s="28"/>
      <c r="TZ73" s="28"/>
      <c r="UA73" s="28"/>
      <c r="UB73" s="28"/>
      <c r="UC73" s="28"/>
      <c r="UD73" s="28"/>
      <c r="UE73" s="28"/>
      <c r="UF73" s="28"/>
      <c r="UG73" s="28"/>
      <c r="UH73" s="28"/>
      <c r="UI73" s="28"/>
      <c r="UJ73" s="28"/>
      <c r="UK73" s="28"/>
      <c r="UL73" s="28"/>
      <c r="UM73" s="28"/>
      <c r="UN73" s="28"/>
      <c r="UO73" s="28"/>
      <c r="UP73" s="28"/>
      <c r="UQ73" s="28"/>
      <c r="UR73" s="28"/>
      <c r="US73" s="28"/>
      <c r="UT73" s="28"/>
      <c r="UU73" s="28"/>
      <c r="UV73" s="28"/>
      <c r="UW73" s="28"/>
      <c r="UX73" s="28"/>
      <c r="UY73" s="28"/>
      <c r="UZ73" s="28"/>
      <c r="VA73" s="28"/>
      <c r="VB73" s="28"/>
      <c r="VC73" s="28"/>
      <c r="VD73" s="28"/>
      <c r="VE73" s="28"/>
      <c r="VF73" s="28"/>
      <c r="VG73" s="28"/>
      <c r="VH73" s="28"/>
      <c r="VI73" s="28"/>
      <c r="VJ73" s="28"/>
      <c r="VK73" s="28"/>
      <c r="VL73" s="28"/>
      <c r="VM73" s="28"/>
      <c r="VN73" s="28"/>
      <c r="VO73" s="28"/>
      <c r="VP73" s="28"/>
      <c r="VQ73" s="28"/>
      <c r="VR73" s="28"/>
      <c r="VS73" s="28"/>
      <c r="VT73" s="28"/>
      <c r="VU73" s="28"/>
      <c r="VV73" s="32"/>
      <c r="VW73" s="32"/>
      <c r="VX73" s="32"/>
      <c r="VY73" s="32"/>
      <c r="VZ73" s="32"/>
      <c r="WA73" s="32"/>
      <c r="WB73" s="32"/>
      <c r="WC73" s="32"/>
      <c r="WD73" s="32"/>
      <c r="WE73" s="32"/>
      <c r="WF73" s="32"/>
      <c r="WG73" s="32"/>
      <c r="WH73" s="32"/>
      <c r="WI73" s="32"/>
      <c r="WJ73" s="32"/>
      <c r="WK73" s="32"/>
      <c r="WL73" s="32"/>
      <c r="WM73" s="32"/>
      <c r="WN73" s="32"/>
      <c r="WO73" s="32"/>
      <c r="WP73" s="32"/>
      <c r="WQ73" s="32"/>
      <c r="WR73" s="32"/>
      <c r="WS73" s="32"/>
      <c r="WT73" s="32"/>
      <c r="WU73" s="32"/>
      <c r="WV73" s="32"/>
      <c r="WW73" s="32"/>
      <c r="WX73" s="32"/>
      <c r="WY73" s="32"/>
      <c r="WZ73" s="32"/>
      <c r="XA73" s="32"/>
      <c r="XB73" s="32"/>
      <c r="XC73" s="32"/>
      <c r="XD73" s="32"/>
      <c r="XE73" s="32"/>
      <c r="XF73" s="32"/>
      <c r="XG73" s="32"/>
      <c r="XH73" s="32"/>
      <c r="XI73" s="32"/>
      <c r="XJ73" s="32"/>
      <c r="XK73" s="32"/>
      <c r="XL73" s="32"/>
      <c r="XM73" s="32"/>
      <c r="XN73" s="32"/>
      <c r="XO73" s="32"/>
      <c r="XP73" s="32"/>
      <c r="XQ73" s="32"/>
      <c r="XR73" s="32"/>
      <c r="XS73" s="32"/>
      <c r="XT73" s="32"/>
      <c r="XU73" s="32"/>
      <c r="XV73" s="32"/>
      <c r="XW73" s="32"/>
      <c r="XX73" s="32"/>
      <c r="XY73" s="32"/>
      <c r="XZ73" s="32"/>
      <c r="YA73" s="32"/>
      <c r="YB73" s="32"/>
      <c r="YC73" s="32"/>
      <c r="YD73" s="32"/>
      <c r="YE73" s="32"/>
      <c r="YF73" s="32"/>
      <c r="YG73" s="32"/>
      <c r="YH73" s="32"/>
      <c r="YI73" s="32"/>
      <c r="YJ73" s="32"/>
      <c r="YK73" s="32"/>
      <c r="YL73" s="32"/>
      <c r="YM73" s="32"/>
      <c r="YN73" s="32"/>
      <c r="YO73" s="32"/>
      <c r="YP73" s="32"/>
      <c r="YQ73" s="32"/>
      <c r="YR73" s="32"/>
      <c r="YS73" s="32"/>
      <c r="YT73" s="32"/>
      <c r="YU73" s="32"/>
      <c r="YV73" s="32"/>
      <c r="YW73" s="32"/>
      <c r="YX73" s="32"/>
      <c r="YY73" s="32"/>
      <c r="YZ73" s="32"/>
      <c r="ZA73" s="32"/>
      <c r="ZB73" s="32"/>
      <c r="ZC73" s="32"/>
      <c r="ZD73" s="32"/>
      <c r="ZE73" s="32"/>
      <c r="ZF73" s="32"/>
      <c r="ZG73" s="32"/>
      <c r="ZH73" s="32"/>
      <c r="ZI73" s="32"/>
      <c r="ZJ73" s="32"/>
      <c r="ZK73" s="32"/>
      <c r="ZL73" s="32"/>
      <c r="ZM73" s="32"/>
      <c r="ZN73" s="32"/>
      <c r="ZO73" s="32"/>
      <c r="ZP73" s="32"/>
      <c r="ZQ73" s="32"/>
      <c r="ZR73" s="32"/>
      <c r="ZS73" s="32"/>
      <c r="ZT73" s="32"/>
      <c r="ZU73" s="32"/>
      <c r="ZV73" s="32"/>
      <c r="ZW73" s="32"/>
      <c r="ZX73" s="32"/>
      <c r="ZY73" s="32"/>
      <c r="ZZ73" s="32"/>
      <c r="AAA73" s="32"/>
      <c r="AAB73" s="32"/>
      <c r="AAC73" s="32"/>
      <c r="AAD73" s="32"/>
      <c r="AAE73" s="32"/>
      <c r="AAF73" s="32"/>
      <c r="AAG73" s="32"/>
      <c r="AAH73" s="32"/>
      <c r="AAI73" s="32"/>
      <c r="AAJ73" s="32"/>
      <c r="AAK73" s="32"/>
      <c r="AAL73" s="32"/>
      <c r="AAM73" s="32"/>
      <c r="AAN73" s="32"/>
      <c r="AAO73" s="32"/>
      <c r="AAP73" s="32"/>
      <c r="AAQ73" s="32"/>
      <c r="AAR73" s="32"/>
      <c r="AAS73" s="32"/>
      <c r="AAT73" s="32"/>
      <c r="AAU73" s="32"/>
      <c r="AAV73" s="32"/>
      <c r="AAW73" s="32"/>
      <c r="AAX73" s="32"/>
      <c r="AAY73" s="32"/>
      <c r="AAZ73" s="32"/>
      <c r="ABA73" s="32"/>
      <c r="ABB73" s="32"/>
      <c r="ABC73" s="32"/>
      <c r="ABD73" s="32"/>
      <c r="ABE73" s="32"/>
      <c r="ABF73" s="32"/>
      <c r="ABG73" s="32"/>
      <c r="ABH73" s="32"/>
      <c r="ABI73" s="32"/>
      <c r="ABJ73" s="32"/>
      <c r="ABK73" s="32"/>
      <c r="ABL73" s="32"/>
      <c r="ABM73" s="32"/>
      <c r="ABN73" s="32"/>
      <c r="ABO73" s="32"/>
      <c r="ABP73" s="32"/>
      <c r="ABQ73" s="32"/>
      <c r="ABR73" s="32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  <c r="AML73"/>
      <c r="AMM73"/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/>
      <c r="AND73"/>
      <c r="ANE73"/>
      <c r="ANF73"/>
      <c r="ANG73"/>
      <c r="ANH73"/>
      <c r="ANI73"/>
      <c r="ANJ73"/>
      <c r="ANK73"/>
      <c r="ANL73"/>
      <c r="ANM73"/>
      <c r="ANN73"/>
      <c r="ANO73"/>
      <c r="ANP73"/>
      <c r="ANQ73"/>
      <c r="ANR73"/>
      <c r="ANS73"/>
      <c r="ANT73"/>
      <c r="ANU73"/>
      <c r="ANV73"/>
      <c r="ANW73"/>
      <c r="ANX73"/>
      <c r="ANY73"/>
      <c r="ANZ73"/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/>
      <c r="AOQ73"/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/>
      <c r="APU73"/>
      <c r="APV73"/>
      <c r="APW73"/>
      <c r="APX73"/>
      <c r="APY73"/>
      <c r="APZ73"/>
      <c r="AQA73"/>
      <c r="AQB73"/>
      <c r="AQC73"/>
      <c r="AQD73"/>
      <c r="AQE73"/>
      <c r="AQF73"/>
      <c r="AQG73"/>
      <c r="AQH73"/>
      <c r="AQI73"/>
      <c r="AQJ73"/>
      <c r="AQK73"/>
      <c r="AQL73"/>
      <c r="AQM73"/>
      <c r="AQN73"/>
      <c r="AQO73"/>
      <c r="AQP73"/>
      <c r="AQQ73"/>
      <c r="AQR73"/>
      <c r="AQS73"/>
      <c r="AQT73"/>
      <c r="AQU73"/>
      <c r="AQV73"/>
      <c r="AQW73"/>
      <c r="AQX73"/>
      <c r="AQY73"/>
      <c r="AQZ73"/>
      <c r="ARA73"/>
      <c r="ARB73"/>
      <c r="ARC73"/>
      <c r="ARD73"/>
      <c r="ARE73"/>
      <c r="ARF73"/>
      <c r="ARG73"/>
      <c r="ARH73"/>
      <c r="ARI73"/>
      <c r="ARJ73"/>
      <c r="ARK73"/>
      <c r="ARL73"/>
      <c r="ARM73"/>
      <c r="ARN73"/>
      <c r="ARO73"/>
      <c r="ARP73"/>
      <c r="ARQ73"/>
      <c r="ARR73"/>
      <c r="ARS73"/>
      <c r="ART73"/>
      <c r="ARU73"/>
      <c r="ARV73"/>
      <c r="ARW73"/>
      <c r="ARX73"/>
      <c r="ARY73"/>
      <c r="ARZ73"/>
      <c r="ASA73"/>
      <c r="ASB73"/>
      <c r="ASC73"/>
      <c r="ASD73"/>
      <c r="ASE73"/>
      <c r="ASF73"/>
      <c r="ASG73"/>
      <c r="ASH73"/>
      <c r="ASI73"/>
      <c r="ASJ73"/>
      <c r="ASK73"/>
      <c r="ASL73"/>
      <c r="ASM73"/>
      <c r="ASN73"/>
      <c r="ASO73"/>
      <c r="ASP73"/>
      <c r="ASQ73"/>
      <c r="ASR73"/>
      <c r="ASS73"/>
      <c r="AST73"/>
      <c r="ASU73"/>
      <c r="ASV73"/>
      <c r="ASW73"/>
      <c r="ASX73"/>
      <c r="ASY73"/>
      <c r="ASZ73"/>
      <c r="ATA73"/>
      <c r="ATB73"/>
      <c r="ATC73"/>
      <c r="ATD73"/>
      <c r="ATE73"/>
      <c r="ATF73"/>
      <c r="ATG73"/>
      <c r="ATH73"/>
      <c r="ATI73"/>
      <c r="ATJ73"/>
      <c r="ATK73"/>
      <c r="ATL73"/>
      <c r="ATM73"/>
      <c r="ATN73"/>
      <c r="ATO73"/>
      <c r="ATP73"/>
      <c r="ATQ73"/>
      <c r="ATR73"/>
      <c r="ATS73"/>
      <c r="ATT73"/>
      <c r="ATU73"/>
      <c r="ATV73"/>
      <c r="ATW73"/>
      <c r="ATX73"/>
      <c r="ATY73"/>
      <c r="ATZ73"/>
      <c r="AUA73"/>
      <c r="AUB73"/>
      <c r="AUC73"/>
      <c r="AUD73"/>
      <c r="AUE73"/>
      <c r="AUF73"/>
      <c r="AUG73"/>
      <c r="AUH73"/>
      <c r="AUI73"/>
      <c r="AUJ73"/>
      <c r="AUK73"/>
      <c r="AUL73"/>
      <c r="AUM73"/>
      <c r="AUN73"/>
      <c r="AUO73"/>
      <c r="AUP73"/>
      <c r="AUQ73"/>
      <c r="AUR73"/>
      <c r="AUS73"/>
      <c r="AUT73"/>
      <c r="AUU73"/>
      <c r="AUV73"/>
      <c r="AUW73"/>
      <c r="AUX73"/>
      <c r="AUY73"/>
      <c r="AUZ73"/>
      <c r="AVA73"/>
      <c r="AVB73"/>
      <c r="AVC73"/>
      <c r="AVD73"/>
      <c r="AVE73"/>
      <c r="AVF73"/>
      <c r="AVG73"/>
      <c r="AVH73"/>
      <c r="AVI73"/>
      <c r="AVJ73"/>
      <c r="AVK73"/>
      <c r="AVL73"/>
      <c r="AVM73"/>
      <c r="AVN73"/>
      <c r="AVO73"/>
      <c r="AVP73"/>
      <c r="AVQ73"/>
      <c r="AVR73"/>
      <c r="AVS73"/>
      <c r="AVT73"/>
      <c r="AVU73"/>
      <c r="AVV73"/>
      <c r="AVW73"/>
      <c r="AVX73"/>
      <c r="AVY73"/>
      <c r="AVZ73"/>
      <c r="AWA73"/>
      <c r="AWB73"/>
      <c r="AWC73"/>
      <c r="AWD73"/>
      <c r="AWE73"/>
      <c r="AWF73"/>
      <c r="AWG73"/>
      <c r="AWH73"/>
      <c r="AWI73"/>
      <c r="AWJ73"/>
      <c r="AWK73"/>
      <c r="AWL73"/>
      <c r="AWM73"/>
      <c r="AWN73"/>
      <c r="AWO73"/>
      <c r="AWP73"/>
      <c r="AWQ73"/>
      <c r="AWR73"/>
      <c r="AWS73"/>
      <c r="AWT73"/>
      <c r="AWU73"/>
      <c r="AWV73"/>
      <c r="AWW73"/>
      <c r="AWX73"/>
      <c r="AWY73"/>
      <c r="AWZ73"/>
      <c r="AXA73"/>
      <c r="AXB73"/>
      <c r="AXC73"/>
      <c r="AXD73"/>
      <c r="AXE73"/>
      <c r="AXF73"/>
      <c r="AXG73"/>
      <c r="AXH73"/>
      <c r="AXI73"/>
      <c r="AXJ73"/>
      <c r="AXK73"/>
      <c r="AXL73"/>
      <c r="AXM73"/>
      <c r="AXN73"/>
      <c r="AXO73"/>
      <c r="AXP73"/>
      <c r="AXQ73"/>
      <c r="AXR73"/>
      <c r="AXS73"/>
      <c r="AXT73"/>
      <c r="AXU73"/>
      <c r="AXV73"/>
      <c r="AXW73"/>
      <c r="AXX73"/>
      <c r="AXY73"/>
      <c r="AXZ73"/>
      <c r="AYA73"/>
      <c r="AYB73"/>
      <c r="AYC73"/>
      <c r="AYD73"/>
      <c r="AYE73"/>
      <c r="AYF73"/>
      <c r="AYG73"/>
      <c r="AYH73"/>
      <c r="AYI73"/>
      <c r="AYJ73"/>
      <c r="AYK73"/>
      <c r="AYL73"/>
      <c r="AYM73"/>
      <c r="AYN73"/>
      <c r="AYO73"/>
      <c r="AYP73"/>
      <c r="AYQ73"/>
      <c r="AYR73"/>
      <c r="AYS73"/>
      <c r="AYT73"/>
      <c r="AYU73"/>
      <c r="AYV73"/>
      <c r="AYW73"/>
      <c r="AYX73"/>
      <c r="AYY73"/>
      <c r="AYZ73"/>
      <c r="AZA73"/>
      <c r="AZB73"/>
      <c r="AZC73"/>
      <c r="AZD73"/>
      <c r="AZE73"/>
      <c r="AZF73"/>
      <c r="AZG73"/>
      <c r="AZH73"/>
      <c r="AZI73"/>
      <c r="AZJ73"/>
      <c r="AZK73"/>
      <c r="AZL73"/>
      <c r="AZM73"/>
      <c r="AZN73"/>
      <c r="AZO73"/>
      <c r="AZP73"/>
      <c r="AZQ73"/>
      <c r="AZR73"/>
      <c r="AZS73"/>
      <c r="AZT73"/>
      <c r="AZU73"/>
      <c r="AZV73"/>
      <c r="AZW73"/>
      <c r="AZX73"/>
      <c r="AZY73"/>
      <c r="AZZ73"/>
      <c r="BAA73"/>
      <c r="BAB73"/>
      <c r="BAC73"/>
      <c r="BAD73"/>
      <c r="BAE73"/>
      <c r="BAF73"/>
      <c r="BAG73"/>
      <c r="BAH73"/>
      <c r="BAI73"/>
      <c r="BAJ73"/>
      <c r="BAK73"/>
      <c r="BAL73"/>
      <c r="BAM73"/>
      <c r="BAN73"/>
      <c r="BAO73"/>
      <c r="BAP73"/>
      <c r="BAQ73"/>
      <c r="BAR73"/>
      <c r="BAS73"/>
      <c r="BAT73"/>
      <c r="BAU73"/>
      <c r="BAV73"/>
      <c r="BAW73"/>
      <c r="BAX73"/>
      <c r="BAY73"/>
      <c r="BAZ73"/>
      <c r="BBA73"/>
      <c r="BBB73"/>
      <c r="BBC73"/>
      <c r="BBD73"/>
      <c r="BBE73"/>
      <c r="BBF73"/>
      <c r="BBG73"/>
      <c r="BBH73"/>
      <c r="BBI73"/>
      <c r="BBJ73"/>
      <c r="BBK73"/>
      <c r="BBL73"/>
      <c r="BBM73"/>
      <c r="BBN73"/>
      <c r="BBO73"/>
      <c r="BBP73"/>
      <c r="BBQ73"/>
      <c r="BBR73"/>
      <c r="BBS73"/>
      <c r="BBT73"/>
      <c r="BBU73"/>
      <c r="BBV73"/>
      <c r="BBW73"/>
      <c r="BBX73"/>
      <c r="BBY73"/>
      <c r="BBZ73"/>
      <c r="BCA73"/>
      <c r="BCB73"/>
      <c r="BCC73"/>
      <c r="BCD73"/>
      <c r="BCE73"/>
      <c r="BCF73"/>
      <c r="BCG73"/>
      <c r="BCH73"/>
      <c r="BCI73"/>
      <c r="BCJ73"/>
      <c r="BCK73"/>
      <c r="BCL73"/>
      <c r="BCM73"/>
      <c r="BCN73"/>
      <c r="BCO73"/>
      <c r="BCP73"/>
      <c r="BCQ73"/>
      <c r="BCR73"/>
      <c r="BCS73"/>
      <c r="BCT73"/>
      <c r="BCU73"/>
      <c r="BCV73"/>
      <c r="BCW73"/>
      <c r="BCX73"/>
      <c r="BCY73"/>
      <c r="BCZ73"/>
      <c r="BDA73"/>
      <c r="BDB73"/>
      <c r="BDC73"/>
      <c r="BDD73"/>
      <c r="BDE73"/>
      <c r="BDF73"/>
      <c r="BDG73"/>
      <c r="BDH73"/>
      <c r="BDI73"/>
      <c r="BDJ73"/>
      <c r="BDK73"/>
      <c r="BDL73"/>
      <c r="BDM73"/>
      <c r="BDN73"/>
      <c r="BDO73"/>
      <c r="BDP73"/>
      <c r="BDQ73"/>
      <c r="BDR73"/>
      <c r="BDS73"/>
      <c r="BDT73"/>
      <c r="BDU73"/>
      <c r="BDV73"/>
      <c r="BDW73"/>
      <c r="BDX73"/>
      <c r="BDY73"/>
      <c r="BDZ73"/>
      <c r="BEA73"/>
      <c r="BEB73"/>
      <c r="BEC73"/>
      <c r="BED73"/>
      <c r="BEE73"/>
      <c r="BEF73"/>
      <c r="BEG73"/>
      <c r="BEH73"/>
      <c r="BEI73"/>
      <c r="BEJ73"/>
      <c r="BEK73"/>
      <c r="BEL73"/>
      <c r="BEM73"/>
      <c r="BEN73"/>
      <c r="BEO73"/>
      <c r="BEP73"/>
      <c r="BEQ73"/>
      <c r="BER73"/>
      <c r="BES73"/>
      <c r="BET73"/>
      <c r="BEU73"/>
      <c r="BEV73"/>
      <c r="BEW73"/>
      <c r="BEX73"/>
      <c r="BEY73"/>
      <c r="BEZ73"/>
      <c r="BFA73"/>
      <c r="BFB73"/>
      <c r="BFC73"/>
      <c r="BFD73"/>
      <c r="BFE73"/>
      <c r="BFF73"/>
      <c r="BFG73"/>
      <c r="BFH73"/>
      <c r="BFI73"/>
      <c r="BFJ73"/>
      <c r="BFK73"/>
      <c r="BFL73"/>
      <c r="BFM73"/>
      <c r="BFN73"/>
      <c r="BFO73"/>
      <c r="BFP73"/>
      <c r="BFQ73"/>
      <c r="BFR73"/>
      <c r="BFS73"/>
      <c r="BFT73"/>
      <c r="BFU73"/>
      <c r="BFV73"/>
      <c r="BFW73"/>
      <c r="BFX73"/>
      <c r="BFY73"/>
      <c r="BFZ73"/>
      <c r="BGA73"/>
      <c r="BGB73"/>
      <c r="BGC73"/>
      <c r="BGD73"/>
      <c r="BGE73"/>
      <c r="BGF73"/>
      <c r="BGG73"/>
      <c r="BGH73"/>
      <c r="BGI73"/>
      <c r="BGJ73"/>
      <c r="BGK73"/>
      <c r="BGL73"/>
      <c r="BGM73"/>
      <c r="BGN73"/>
      <c r="BGO73"/>
      <c r="BGP73"/>
      <c r="BGQ73"/>
      <c r="BGR73"/>
      <c r="BGS73"/>
      <c r="BGT73"/>
      <c r="BGU73"/>
      <c r="BGV73"/>
      <c r="BGW73"/>
      <c r="BGX73"/>
      <c r="BGY73"/>
      <c r="BGZ73"/>
      <c r="BHA73"/>
      <c r="BHB73"/>
      <c r="BHC73"/>
      <c r="BHD73"/>
      <c r="BHE73"/>
      <c r="BHF73"/>
      <c r="BHG73"/>
      <c r="BHH73"/>
      <c r="BHI73"/>
      <c r="BHJ73"/>
      <c r="BHK73"/>
      <c r="BHL73"/>
      <c r="BHM73"/>
      <c r="BHN73"/>
      <c r="BHO73"/>
      <c r="BHP73"/>
      <c r="BHQ73"/>
      <c r="BHR73"/>
      <c r="BHS73"/>
      <c r="BHT73"/>
      <c r="BHU73"/>
      <c r="BHV73"/>
      <c r="BHW73"/>
      <c r="BHX73"/>
      <c r="BHY73"/>
      <c r="BHZ73"/>
      <c r="BIA73"/>
      <c r="BIB73"/>
      <c r="BIC73"/>
      <c r="BID73"/>
      <c r="BIE73"/>
      <c r="BIF73"/>
      <c r="BIG73"/>
      <c r="BIH73"/>
      <c r="BII73"/>
      <c r="BIJ73"/>
      <c r="BIK73"/>
      <c r="BIL73"/>
      <c r="BIM73"/>
      <c r="BIN73"/>
      <c r="BIO73"/>
      <c r="BIP73"/>
      <c r="BIQ73"/>
      <c r="BIR73"/>
      <c r="BIS73"/>
      <c r="BIT73"/>
      <c r="BIU73"/>
      <c r="BIV73"/>
      <c r="BIW73"/>
      <c r="BIX73"/>
      <c r="BIY73"/>
      <c r="BIZ73"/>
      <c r="BJA73"/>
      <c r="BJB73"/>
      <c r="BJC73"/>
      <c r="BJD73"/>
      <c r="BJE73"/>
      <c r="BJF73"/>
      <c r="BJG73"/>
      <c r="BJH73"/>
      <c r="BJI73"/>
      <c r="BJJ73"/>
      <c r="BJK73"/>
      <c r="BJL73"/>
      <c r="BJM73"/>
      <c r="BJN73"/>
      <c r="BJO73"/>
      <c r="BJP73"/>
      <c r="BJQ73"/>
      <c r="BJR73"/>
      <c r="BJS73"/>
      <c r="BJT73"/>
      <c r="BJU73"/>
      <c r="BJV73"/>
      <c r="BJW73"/>
      <c r="BJX73"/>
      <c r="BJY73"/>
      <c r="BJZ73"/>
      <c r="BKA73"/>
      <c r="BKB73"/>
      <c r="BKC73"/>
      <c r="BKD73"/>
      <c r="BKE73"/>
      <c r="BKF73"/>
      <c r="BKG73"/>
      <c r="BKH73"/>
      <c r="BKI73"/>
      <c r="BKJ73"/>
      <c r="BKK73"/>
      <c r="BKL73"/>
      <c r="BKM73"/>
      <c r="BKN73"/>
      <c r="BKO73"/>
      <c r="BKP73"/>
      <c r="BKQ73"/>
      <c r="BKR73"/>
      <c r="BKS73"/>
      <c r="BKT73"/>
      <c r="BKU73"/>
      <c r="BKV73"/>
      <c r="BKW73"/>
      <c r="BKX73"/>
      <c r="BKY73"/>
      <c r="BKZ73"/>
      <c r="BLA73"/>
      <c r="BLB73"/>
      <c r="BLC73"/>
      <c r="BLD73"/>
      <c r="BLE73"/>
      <c r="BLF73"/>
      <c r="BLG73"/>
      <c r="BLH73"/>
      <c r="BLI73"/>
      <c r="BLJ73"/>
      <c r="BLK73"/>
      <c r="BLL73"/>
      <c r="BLM73"/>
      <c r="BLN73"/>
      <c r="BLO73"/>
      <c r="BLP73"/>
      <c r="BLQ73"/>
      <c r="BLR73"/>
      <c r="BLS73"/>
      <c r="BLT73"/>
      <c r="BLU73"/>
      <c r="BLV73"/>
      <c r="BLW73"/>
      <c r="BLX73"/>
      <c r="BLY73"/>
      <c r="BLZ73"/>
      <c r="BMA73"/>
      <c r="BMB73"/>
      <c r="BMC73"/>
      <c r="BMD73"/>
      <c r="BME73"/>
      <c r="BMF73"/>
      <c r="BMG73"/>
      <c r="BMH73"/>
      <c r="BMI73"/>
      <c r="BMJ73"/>
      <c r="BMK73"/>
      <c r="BML73"/>
      <c r="BMM73"/>
      <c r="BMN73"/>
      <c r="BMO73"/>
      <c r="BMP73"/>
      <c r="BMQ73"/>
      <c r="BMR73"/>
      <c r="BMS73"/>
      <c r="BMT73"/>
      <c r="BMU73"/>
      <c r="BMV73"/>
      <c r="BMW73"/>
      <c r="BMX73"/>
      <c r="BMY73"/>
      <c r="BMZ73"/>
      <c r="BNA73"/>
      <c r="BNB73"/>
      <c r="BNC73"/>
      <c r="BND73"/>
      <c r="BNE73"/>
      <c r="BNF73"/>
      <c r="BNG73"/>
      <c r="BNH73"/>
      <c r="BNI73"/>
      <c r="BNJ73"/>
      <c r="BNK73"/>
      <c r="BNL73"/>
      <c r="BNM73"/>
      <c r="BNN73"/>
      <c r="BNO73"/>
      <c r="BNP73"/>
      <c r="BNQ73"/>
      <c r="BNR73"/>
      <c r="BNS73"/>
      <c r="BNT73"/>
      <c r="BNU73"/>
      <c r="BNV73"/>
      <c r="BNW73"/>
      <c r="BNX73"/>
      <c r="BNY73"/>
      <c r="BNZ73"/>
      <c r="BOA73"/>
      <c r="BOB73"/>
      <c r="BOC73"/>
      <c r="BOD73"/>
      <c r="BOE73"/>
      <c r="BOF73"/>
      <c r="BOG73"/>
      <c r="BOH73"/>
      <c r="BOI73"/>
      <c r="BOJ73"/>
      <c r="BOK73"/>
      <c r="BOL73"/>
      <c r="BOM73"/>
      <c r="BON73"/>
      <c r="BOO73"/>
      <c r="BOP73"/>
      <c r="BOQ73"/>
      <c r="BOR73"/>
      <c r="BOS73"/>
      <c r="BOT73"/>
      <c r="BOU73"/>
      <c r="BOV73"/>
      <c r="BOW73"/>
      <c r="BOX73"/>
      <c r="BOY73"/>
      <c r="BOZ73"/>
      <c r="BPA73"/>
      <c r="BPB73"/>
      <c r="BPC73"/>
      <c r="BPD73"/>
      <c r="BPE73"/>
      <c r="BPF73"/>
      <c r="BPG73"/>
      <c r="BPH73"/>
      <c r="BPI73"/>
      <c r="BPJ73"/>
      <c r="BPK73"/>
      <c r="BPL73"/>
      <c r="BPM73"/>
      <c r="BPN73"/>
      <c r="BPO73"/>
      <c r="BPP73"/>
      <c r="BPQ73"/>
      <c r="BPR73"/>
      <c r="BPS73"/>
      <c r="BPT73"/>
      <c r="BPU73"/>
      <c r="BPV73"/>
      <c r="BPW73"/>
      <c r="BPX73"/>
      <c r="BPY73"/>
      <c r="BPZ73"/>
      <c r="BQA73"/>
      <c r="BQB73"/>
      <c r="BQC73"/>
      <c r="BQD73"/>
      <c r="BQE73"/>
      <c r="BQF73"/>
      <c r="BQG73"/>
      <c r="BQH73"/>
      <c r="BQI73"/>
      <c r="BQJ73"/>
      <c r="BQK73"/>
      <c r="BQL73"/>
      <c r="BQM73"/>
      <c r="BQN73"/>
      <c r="BQO73"/>
      <c r="BQP73"/>
      <c r="BQQ73"/>
      <c r="BQR73"/>
      <c r="BQS73"/>
      <c r="BQT73"/>
      <c r="BQU73"/>
      <c r="BQV73"/>
      <c r="BQW73"/>
      <c r="BQX73"/>
      <c r="BQY73"/>
      <c r="BQZ73"/>
      <c r="BRA73"/>
      <c r="BRB73"/>
    </row>
    <row r="74" spans="1:1822" s="37" customFormat="1" ht="28.8" x14ac:dyDescent="0.3">
      <c r="A74" s="2">
        <v>11</v>
      </c>
      <c r="B74" s="2" t="s">
        <v>17</v>
      </c>
      <c r="C74" s="156" t="s">
        <v>95</v>
      </c>
      <c r="D74" s="38" t="s">
        <v>96</v>
      </c>
      <c r="E74" s="22">
        <v>44853</v>
      </c>
      <c r="F74" s="22">
        <v>45492</v>
      </c>
      <c r="G74" s="81">
        <f t="shared" si="62"/>
        <v>45612</v>
      </c>
      <c r="H74" s="22"/>
      <c r="I74" s="22"/>
      <c r="J74" s="81"/>
      <c r="K74" s="23" t="s">
        <v>88</v>
      </c>
      <c r="L74" s="23">
        <f ca="1">IF(F74=0,"NA",ROUND(($L$1-F74+1)/365*30,1))</f>
        <v>42.7</v>
      </c>
      <c r="M74" s="23">
        <f ca="1">IF(L74="NA",0,L74-P74)</f>
        <v>41.7</v>
      </c>
      <c r="N74" s="160"/>
      <c r="O74" s="160"/>
      <c r="P74" s="155">
        <f>SUM(O74-N74+1)</f>
        <v>1</v>
      </c>
      <c r="Q74" s="23"/>
      <c r="R74" s="23"/>
      <c r="S74" s="23"/>
      <c r="T74" s="23"/>
      <c r="U74" s="23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28"/>
      <c r="FY74" s="28"/>
      <c r="FZ74" s="28"/>
      <c r="GA74" s="28"/>
      <c r="GB74" s="28"/>
      <c r="GC74" s="42"/>
      <c r="GD74" s="42"/>
      <c r="GE74" s="42"/>
      <c r="GF74" s="42"/>
      <c r="GG74" s="42"/>
      <c r="GH74" s="42"/>
      <c r="GI74" s="42"/>
      <c r="GJ74" s="42"/>
      <c r="GK74" s="42"/>
      <c r="GL74" s="42"/>
      <c r="GM74" s="42"/>
      <c r="GN74" s="42"/>
      <c r="GO74" s="42"/>
      <c r="GP74" s="42"/>
      <c r="GQ74" s="42"/>
      <c r="GR74" s="42"/>
      <c r="GS74" s="28"/>
      <c r="GT74" s="28"/>
      <c r="GU74" s="28"/>
      <c r="GV74" s="28"/>
      <c r="GW74" s="28"/>
      <c r="GX74" s="28"/>
      <c r="GY74" s="28"/>
      <c r="GZ74" s="28"/>
      <c r="HA74" s="28"/>
      <c r="HB74" s="28"/>
      <c r="HC74" s="28"/>
      <c r="HD74" s="28"/>
      <c r="HE74" s="28"/>
      <c r="HF74" s="28"/>
      <c r="HG74" s="28"/>
      <c r="HH74" s="28"/>
      <c r="HI74" s="28"/>
      <c r="HJ74" s="28"/>
      <c r="HK74" s="28"/>
      <c r="HL74" s="28"/>
      <c r="HM74" s="28"/>
      <c r="HN74" s="28"/>
      <c r="HO74" s="28"/>
      <c r="HP74" s="28"/>
      <c r="HQ74" s="28"/>
      <c r="HR74" s="28"/>
      <c r="HS74" s="28"/>
      <c r="HT74" s="28"/>
      <c r="HU74" s="28"/>
      <c r="HV74" s="28"/>
      <c r="HW74" s="28"/>
      <c r="HX74" s="28"/>
      <c r="HY74" s="28"/>
      <c r="HZ74" s="28"/>
      <c r="IA74" s="28"/>
      <c r="IB74" s="28"/>
      <c r="IC74" s="28"/>
      <c r="ID74" s="26"/>
      <c r="IE74" s="26"/>
      <c r="IF74" s="26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8"/>
      <c r="IV74" s="28"/>
      <c r="IW74" s="28"/>
      <c r="IX74" s="28"/>
      <c r="IY74" s="28"/>
      <c r="IZ74" s="28"/>
      <c r="JA74" s="28"/>
      <c r="JB74" s="28"/>
      <c r="JC74" s="28"/>
      <c r="JD74" s="28"/>
      <c r="JE74" s="28"/>
      <c r="JF74" s="28"/>
      <c r="JG74" s="28"/>
      <c r="JH74" s="28"/>
      <c r="JI74" s="28"/>
      <c r="JJ74" s="28"/>
      <c r="JK74" s="28"/>
      <c r="JL74" s="28"/>
      <c r="JM74" s="28"/>
      <c r="JN74" s="28"/>
      <c r="JO74" s="28"/>
      <c r="JP74" s="28"/>
      <c r="JQ74" s="28"/>
      <c r="JR74" s="28"/>
      <c r="JS74" s="28"/>
      <c r="JT74" s="28"/>
      <c r="JU74" s="28"/>
      <c r="JV74" s="28"/>
      <c r="JW74" s="28"/>
      <c r="JX74" s="28"/>
      <c r="JY74" s="28"/>
      <c r="JZ74" s="28"/>
      <c r="KA74" s="28"/>
      <c r="KB74" s="28"/>
      <c r="KC74" s="28"/>
      <c r="KD74" s="28"/>
      <c r="KE74" s="28"/>
      <c r="KF74" s="28"/>
      <c r="KG74" s="28"/>
      <c r="KH74" s="28"/>
      <c r="KI74" s="28"/>
      <c r="KJ74" s="28"/>
      <c r="KK74" s="28"/>
      <c r="KL74" s="28"/>
      <c r="KM74" s="28"/>
      <c r="KN74" s="28"/>
      <c r="KO74" s="28"/>
      <c r="KP74" s="28"/>
      <c r="KQ74" s="28"/>
      <c r="KR74" s="28"/>
      <c r="KS74" s="28"/>
      <c r="KT74" s="28"/>
      <c r="KU74" s="28"/>
      <c r="KV74" s="28"/>
      <c r="KW74" s="28"/>
      <c r="KX74" s="28"/>
      <c r="KY74" s="28"/>
      <c r="KZ74" s="28"/>
      <c r="LA74" s="28"/>
      <c r="LB74" s="28"/>
      <c r="LC74" s="28"/>
      <c r="LD74" s="28"/>
      <c r="LE74" s="28"/>
      <c r="LF74" s="28"/>
      <c r="LG74" s="28"/>
      <c r="LH74" s="28"/>
      <c r="LI74" s="28"/>
      <c r="LJ74" s="28"/>
      <c r="LK74" s="28"/>
      <c r="LL74" s="28"/>
      <c r="LM74" s="28"/>
      <c r="LN74" s="28"/>
      <c r="LO74" s="28"/>
      <c r="LP74" s="28"/>
      <c r="LQ74" s="28"/>
      <c r="LR74" s="28"/>
      <c r="LS74" s="28"/>
      <c r="LT74" s="28"/>
      <c r="LU74" s="28"/>
      <c r="LV74" s="28"/>
      <c r="LW74" s="28"/>
      <c r="LX74" s="28"/>
      <c r="LY74" s="28"/>
      <c r="LZ74" s="28"/>
      <c r="MA74" s="28"/>
      <c r="MB74" s="28"/>
      <c r="MC74" s="28"/>
      <c r="MD74" s="28"/>
      <c r="ME74" s="28"/>
      <c r="MF74" s="28"/>
      <c r="MG74" s="28"/>
      <c r="MH74" s="28"/>
      <c r="MI74" s="28"/>
      <c r="MJ74" s="28"/>
      <c r="MK74" s="28"/>
      <c r="ML74" s="28"/>
      <c r="MM74" s="28"/>
      <c r="MN74" s="28"/>
      <c r="MO74" s="28"/>
      <c r="MP74" s="28"/>
      <c r="MQ74" s="28"/>
      <c r="MR74" s="28"/>
      <c r="MS74" s="28"/>
      <c r="MT74" s="28"/>
      <c r="MU74" s="28"/>
      <c r="MV74" s="28"/>
      <c r="MW74" s="28"/>
      <c r="MX74" s="28"/>
      <c r="MY74" s="28"/>
      <c r="MZ74" s="28"/>
      <c r="NA74" s="28"/>
      <c r="NB74" s="28"/>
      <c r="NC74" s="28"/>
      <c r="ND74" s="28"/>
      <c r="NE74" s="28"/>
      <c r="NF74" s="28"/>
      <c r="NG74" s="28"/>
      <c r="NH74" s="28"/>
      <c r="NI74" s="28"/>
      <c r="NJ74" s="28"/>
      <c r="NK74" s="28"/>
      <c r="NL74" s="28"/>
      <c r="NM74" s="28"/>
      <c r="NN74" s="28"/>
      <c r="NO74" s="28"/>
      <c r="NP74" s="28"/>
      <c r="NQ74" s="28"/>
      <c r="NR74" s="28"/>
      <c r="NS74" s="28"/>
      <c r="NT74" s="28"/>
      <c r="NU74" s="28"/>
      <c r="NV74" s="28"/>
      <c r="NW74" s="28"/>
      <c r="NX74" s="28"/>
      <c r="NY74" s="28"/>
      <c r="NZ74" s="28"/>
      <c r="OA74" s="28"/>
      <c r="OB74" s="28"/>
      <c r="OC74" s="28"/>
      <c r="OD74" s="28"/>
      <c r="OE74" s="28"/>
      <c r="OF74" s="28"/>
      <c r="OG74" s="28"/>
      <c r="OH74" s="28"/>
      <c r="OI74" s="28"/>
      <c r="OJ74" s="28"/>
      <c r="OK74" s="28"/>
      <c r="OL74" s="28"/>
      <c r="OM74" s="28"/>
      <c r="ON74" s="28"/>
      <c r="OO74" s="28"/>
      <c r="OP74" s="28"/>
      <c r="OQ74" s="28"/>
      <c r="OR74" s="28"/>
      <c r="OS74" s="28"/>
      <c r="OT74" s="28"/>
      <c r="OU74" s="28"/>
      <c r="OV74" s="28"/>
      <c r="OW74" s="28"/>
      <c r="OX74" s="28"/>
      <c r="OY74" s="28"/>
      <c r="OZ74" s="28"/>
      <c r="PA74" s="28"/>
      <c r="PB74" s="28"/>
      <c r="PC74" s="28"/>
      <c r="PD74" s="28"/>
      <c r="PE74" s="28"/>
      <c r="PF74" s="28"/>
      <c r="PG74" s="28"/>
      <c r="PH74" s="28"/>
      <c r="PI74" s="28"/>
      <c r="PJ74" s="28"/>
      <c r="PK74" s="28"/>
      <c r="PL74" s="28"/>
      <c r="PM74" s="28"/>
      <c r="PN74" s="28"/>
      <c r="PO74" s="28"/>
      <c r="PP74" s="28"/>
      <c r="PQ74" s="28"/>
      <c r="PR74" s="28"/>
      <c r="PS74" s="28"/>
      <c r="PT74" s="28"/>
      <c r="PU74" s="28"/>
      <c r="PV74" s="28"/>
      <c r="PW74" s="28"/>
      <c r="PX74" s="28"/>
      <c r="PY74" s="28"/>
      <c r="PZ74" s="28"/>
      <c r="QA74" s="28"/>
      <c r="QB74" s="28"/>
      <c r="QC74" s="28"/>
      <c r="QD74" s="28"/>
      <c r="QE74" s="28"/>
      <c r="QF74" s="28"/>
      <c r="QG74" s="28"/>
      <c r="QH74" s="28"/>
      <c r="QI74" s="28"/>
      <c r="QJ74" s="28"/>
      <c r="QK74" s="28"/>
      <c r="QL74" s="28"/>
      <c r="QM74" s="28"/>
      <c r="QN74" s="28"/>
      <c r="QO74" s="28"/>
      <c r="QP74" s="28"/>
      <c r="QQ74" s="28"/>
      <c r="QR74" s="28"/>
      <c r="QS74" s="28"/>
      <c r="QT74" s="28"/>
      <c r="QU74" s="28"/>
      <c r="QV74" s="28"/>
      <c r="QW74" s="28"/>
      <c r="QX74" s="28"/>
      <c r="QY74" s="28"/>
      <c r="QZ74" s="28"/>
      <c r="RA74" s="28"/>
      <c r="RB74" s="28"/>
      <c r="RC74" s="28"/>
      <c r="RD74" s="28"/>
      <c r="RE74" s="28"/>
      <c r="RF74" s="28"/>
      <c r="RG74" s="28"/>
      <c r="RH74" s="28"/>
      <c r="RI74" s="28"/>
      <c r="RJ74" s="28"/>
      <c r="RK74" s="28"/>
      <c r="RL74" s="28"/>
      <c r="RM74" s="28"/>
      <c r="RN74" s="28"/>
      <c r="RO74" s="28"/>
      <c r="RP74" s="28"/>
      <c r="RQ74" s="28"/>
      <c r="RR74" s="28"/>
      <c r="RS74" s="28"/>
      <c r="RT74" s="28"/>
      <c r="RU74" s="28"/>
      <c r="RV74" s="28"/>
      <c r="RW74" s="28"/>
      <c r="RX74" s="28"/>
      <c r="RY74" s="28"/>
      <c r="RZ74" s="28"/>
      <c r="SA74" s="28"/>
      <c r="SB74" s="28"/>
      <c r="SC74" s="28"/>
      <c r="SD74" s="28"/>
      <c r="SE74" s="28"/>
      <c r="SF74" s="28"/>
      <c r="SG74" s="28"/>
      <c r="SH74" s="28"/>
      <c r="SI74" s="28"/>
      <c r="SJ74" s="28"/>
      <c r="SK74" s="28"/>
      <c r="SL74" s="28"/>
      <c r="SM74" s="28"/>
      <c r="SN74" s="28"/>
      <c r="SO74" s="28"/>
      <c r="SP74" s="28"/>
      <c r="SQ74" s="28"/>
      <c r="SR74" s="28"/>
      <c r="SS74" s="28"/>
      <c r="ST74" s="28"/>
      <c r="SU74" s="28"/>
      <c r="SV74" s="28"/>
      <c r="SW74" s="28"/>
      <c r="SX74" s="28"/>
      <c r="SY74" s="28"/>
      <c r="SZ74" s="28"/>
      <c r="TA74" s="28"/>
      <c r="TB74" s="28"/>
      <c r="TC74" s="28"/>
      <c r="TD74" s="28"/>
      <c r="TE74" s="28"/>
      <c r="TF74" s="28"/>
      <c r="TG74" s="28"/>
      <c r="TH74" s="28"/>
      <c r="TI74" s="28"/>
      <c r="TJ74" s="28"/>
      <c r="TK74" s="28"/>
      <c r="TL74" s="28"/>
      <c r="TM74" s="32"/>
      <c r="TN74" s="28"/>
      <c r="TO74" s="28"/>
      <c r="TP74" s="28"/>
      <c r="TQ74" s="28"/>
      <c r="TR74" s="28"/>
      <c r="TS74" s="28"/>
      <c r="TT74" s="28"/>
      <c r="TU74" s="28"/>
      <c r="TV74" s="28"/>
      <c r="TW74" s="28"/>
      <c r="TX74" s="28"/>
      <c r="TY74" s="28"/>
      <c r="TZ74" s="28"/>
      <c r="UA74" s="28"/>
      <c r="UB74" s="28"/>
      <c r="UC74" s="28"/>
      <c r="UD74" s="28"/>
      <c r="UE74" s="28"/>
      <c r="UF74" s="28"/>
      <c r="UG74" s="28"/>
      <c r="UH74" s="28"/>
      <c r="UI74" s="28"/>
      <c r="UJ74" s="28"/>
      <c r="UK74" s="28"/>
      <c r="UL74" s="28"/>
      <c r="UM74" s="28"/>
      <c r="UN74" s="28"/>
      <c r="UO74" s="28"/>
      <c r="UP74" s="28"/>
      <c r="UQ74" s="28"/>
      <c r="UR74" s="28"/>
      <c r="US74" s="28"/>
      <c r="UT74" s="28"/>
      <c r="UU74" s="28"/>
      <c r="UV74" s="28"/>
      <c r="UW74" s="28"/>
      <c r="UX74" s="28"/>
      <c r="UY74" s="28"/>
      <c r="UZ74" s="28"/>
      <c r="VA74" s="28"/>
      <c r="VB74" s="28"/>
      <c r="VC74" s="28"/>
      <c r="VD74" s="28"/>
      <c r="VE74" s="28"/>
      <c r="VF74" s="28"/>
      <c r="VG74" s="28"/>
      <c r="VH74" s="28"/>
      <c r="VI74" s="28"/>
      <c r="VJ74" s="28"/>
      <c r="VK74" s="28"/>
      <c r="VL74" s="28"/>
      <c r="VM74" s="28"/>
      <c r="VN74" s="28"/>
      <c r="VO74" s="28"/>
      <c r="VP74" s="28"/>
      <c r="VQ74" s="28"/>
      <c r="VR74" s="28"/>
      <c r="VS74" s="28"/>
      <c r="VT74" s="28"/>
      <c r="VU74" s="28"/>
      <c r="VV74" s="32"/>
      <c r="VW74" s="32"/>
      <c r="VX74" s="32"/>
      <c r="VY74" s="32"/>
      <c r="VZ74" s="32"/>
      <c r="WA74" s="32"/>
      <c r="WB74" s="32"/>
      <c r="WC74" s="32"/>
      <c r="WD74" s="32"/>
      <c r="WE74" s="32"/>
      <c r="WF74" s="32"/>
      <c r="WG74" s="32"/>
      <c r="WH74" s="32"/>
      <c r="WI74" s="32"/>
      <c r="WJ74" s="32"/>
      <c r="WK74" s="32"/>
      <c r="WL74" s="32"/>
      <c r="WM74" s="32"/>
      <c r="WN74" s="32"/>
      <c r="WO74" s="32"/>
      <c r="WP74" s="32"/>
      <c r="WQ74" s="32"/>
      <c r="WR74" s="32"/>
      <c r="WS74" s="32"/>
      <c r="WT74" s="32"/>
      <c r="WU74" s="32"/>
      <c r="WV74" s="32"/>
      <c r="WW74" s="32"/>
      <c r="WX74" s="32"/>
      <c r="WY74" s="32"/>
      <c r="WZ74" s="32"/>
      <c r="XA74" s="32"/>
      <c r="XB74" s="32"/>
      <c r="XC74" s="32"/>
      <c r="XD74" s="32"/>
      <c r="XE74" s="32"/>
      <c r="XF74" s="32"/>
      <c r="XG74" s="32"/>
      <c r="XH74" s="32"/>
      <c r="XI74" s="32"/>
      <c r="XJ74" s="32"/>
      <c r="XK74" s="32"/>
      <c r="XL74" s="32"/>
      <c r="XM74" s="32"/>
      <c r="XN74" s="32"/>
      <c r="XO74" s="32"/>
      <c r="XP74" s="32"/>
      <c r="XQ74" s="32"/>
      <c r="XR74" s="32"/>
      <c r="XS74" s="32"/>
      <c r="XT74" s="32"/>
      <c r="XU74" s="32"/>
      <c r="XV74" s="32"/>
      <c r="XW74" s="32"/>
      <c r="XX74" s="32"/>
      <c r="XY74" s="32"/>
      <c r="XZ74" s="32"/>
      <c r="YA74" s="32"/>
      <c r="YB74" s="32"/>
      <c r="YC74" s="32"/>
      <c r="YD74" s="32"/>
      <c r="YE74" s="32"/>
      <c r="YF74" s="32"/>
      <c r="YG74" s="32"/>
      <c r="YH74" s="32"/>
      <c r="YI74" s="32"/>
      <c r="YJ74" s="32"/>
      <c r="YK74" s="32"/>
      <c r="YL74" s="32"/>
      <c r="YM74" s="32"/>
      <c r="YN74" s="32"/>
      <c r="YO74" s="32"/>
      <c r="YP74" s="32"/>
      <c r="YQ74" s="32"/>
      <c r="YR74" s="32"/>
      <c r="YS74" s="32"/>
      <c r="YT74" s="32"/>
      <c r="YU74" s="32"/>
      <c r="YV74" s="32"/>
      <c r="YW74" s="32"/>
      <c r="YX74" s="32"/>
      <c r="YY74" s="32"/>
      <c r="YZ74" s="32"/>
      <c r="ZA74" s="32"/>
      <c r="ZB74" s="32"/>
      <c r="ZC74" s="32"/>
      <c r="ZD74" s="32"/>
      <c r="ZE74" s="32"/>
      <c r="ZF74" s="32"/>
      <c r="ZG74" s="32"/>
      <c r="ZH74" s="32"/>
      <c r="ZI74" s="32"/>
      <c r="ZJ74" s="32"/>
      <c r="ZK74" s="32"/>
      <c r="ZL74" s="32"/>
      <c r="ZM74" s="32"/>
      <c r="ZN74" s="32"/>
      <c r="ZO74" s="32"/>
      <c r="ZP74" s="32"/>
      <c r="ZQ74" s="32"/>
      <c r="ZR74" s="32"/>
      <c r="ZS74" s="32"/>
      <c r="ZT74" s="32"/>
      <c r="ZU74" s="32"/>
      <c r="ZV74" s="32"/>
      <c r="ZW74" s="32"/>
      <c r="ZX74" s="32"/>
      <c r="ZY74" s="32"/>
      <c r="ZZ74" s="32"/>
      <c r="AAA74" s="32"/>
      <c r="AAB74" s="32"/>
      <c r="AAC74" s="32"/>
      <c r="AAD74" s="32"/>
      <c r="AAE74" s="32"/>
      <c r="AAF74" s="32"/>
      <c r="AAG74" s="32"/>
      <c r="AAH74" s="32"/>
      <c r="AAI74" s="32"/>
      <c r="AAJ74" s="32"/>
      <c r="AAK74" s="32"/>
      <c r="AAL74" s="32"/>
      <c r="AAM74" s="32"/>
      <c r="AAN74" s="32"/>
      <c r="AAO74" s="32"/>
      <c r="AAP74" s="32"/>
      <c r="AAQ74" s="32"/>
      <c r="AAR74" s="32"/>
      <c r="AAS74" s="32"/>
      <c r="AAT74" s="32"/>
      <c r="AAU74" s="32"/>
      <c r="AAV74" s="32"/>
      <c r="AAW74" s="32"/>
      <c r="AAX74" s="32"/>
      <c r="AAY74" s="32"/>
      <c r="AAZ74" s="32"/>
      <c r="ABA74" s="32"/>
      <c r="ABB74" s="32"/>
      <c r="ABC74" s="32"/>
      <c r="ABD74" s="32"/>
      <c r="ABE74" s="32"/>
      <c r="ABF74" s="32"/>
      <c r="ABG74" s="32"/>
      <c r="ABH74" s="32"/>
      <c r="ABI74" s="32"/>
      <c r="ABJ74" s="32"/>
      <c r="ABK74" s="32"/>
      <c r="ABL74" s="32"/>
      <c r="ABM74" s="32"/>
      <c r="ABN74" s="32"/>
      <c r="ABO74" s="32"/>
      <c r="ABP74" s="32"/>
      <c r="ABQ74" s="32"/>
      <c r="ABR74" s="32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/>
      <c r="ANT74"/>
      <c r="ANU74"/>
      <c r="ANV74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  <c r="ARX74"/>
      <c r="ARY74"/>
      <c r="ARZ74"/>
      <c r="ASA74"/>
      <c r="ASB74"/>
      <c r="ASC74"/>
      <c r="ASD74"/>
      <c r="ASE74"/>
      <c r="ASF74"/>
      <c r="ASG74"/>
      <c r="ASH74"/>
      <c r="ASI74"/>
      <c r="ASJ74"/>
      <c r="ASK74"/>
      <c r="ASL74"/>
      <c r="ASM74"/>
      <c r="ASN74"/>
      <c r="ASO74"/>
      <c r="ASP74"/>
      <c r="ASQ74"/>
      <c r="ASR74"/>
      <c r="ASS74"/>
      <c r="AST74"/>
      <c r="ASU74"/>
      <c r="ASV74"/>
      <c r="ASW74"/>
      <c r="ASX74"/>
      <c r="ASY74"/>
      <c r="ASZ74"/>
      <c r="ATA74"/>
      <c r="ATB74"/>
      <c r="ATC74"/>
      <c r="ATD74"/>
      <c r="ATE74"/>
      <c r="ATF74"/>
      <c r="ATG74"/>
      <c r="ATH74"/>
      <c r="ATI74"/>
      <c r="ATJ74"/>
      <c r="ATK74"/>
      <c r="ATL74"/>
      <c r="ATM74"/>
      <c r="ATN74"/>
      <c r="ATO74"/>
      <c r="ATP74"/>
      <c r="ATQ74"/>
      <c r="ATR74"/>
      <c r="ATS74"/>
      <c r="ATT74"/>
      <c r="ATU74"/>
      <c r="ATV74"/>
      <c r="ATW74"/>
      <c r="ATX74"/>
      <c r="ATY74"/>
      <c r="ATZ74"/>
      <c r="AUA74"/>
      <c r="AUB74"/>
      <c r="AUC74"/>
      <c r="AUD74"/>
      <c r="AUE74"/>
      <c r="AUF74"/>
      <c r="AUG74"/>
      <c r="AUH74"/>
      <c r="AUI74"/>
      <c r="AUJ74"/>
      <c r="AUK74"/>
      <c r="AUL74"/>
      <c r="AUM74"/>
      <c r="AUN74"/>
      <c r="AUO74"/>
      <c r="AUP74"/>
      <c r="AUQ74"/>
      <c r="AUR74"/>
      <c r="AUS74"/>
      <c r="AUT74"/>
      <c r="AUU74"/>
      <c r="AUV74"/>
      <c r="AUW74"/>
      <c r="AUX74"/>
      <c r="AUY74"/>
      <c r="AUZ74"/>
      <c r="AVA74"/>
      <c r="AVB74"/>
      <c r="AVC74"/>
      <c r="AVD74"/>
      <c r="AVE74"/>
      <c r="AVF74"/>
      <c r="AVG74"/>
      <c r="AVH74"/>
      <c r="AVI74"/>
      <c r="AVJ74"/>
      <c r="AVK74"/>
      <c r="AVL74"/>
      <c r="AVM74"/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/>
      <c r="AWM74"/>
      <c r="AWN74"/>
      <c r="AWO74"/>
      <c r="AWP74"/>
      <c r="AWQ74"/>
      <c r="AWR74"/>
      <c r="AWS74"/>
      <c r="AWT74"/>
      <c r="AWU74"/>
      <c r="AWV74"/>
      <c r="AWW74"/>
      <c r="AWX74"/>
      <c r="AWY74"/>
      <c r="AWZ74"/>
      <c r="AXA74"/>
      <c r="AXB74"/>
      <c r="AXC74"/>
      <c r="AXD74"/>
      <c r="AXE74"/>
      <c r="AXF74"/>
      <c r="AXG74"/>
      <c r="AXH74"/>
      <c r="AXI74"/>
      <c r="AXJ74"/>
      <c r="AXK74"/>
      <c r="AXL74"/>
      <c r="AXM74"/>
      <c r="AXN74"/>
      <c r="AXO74"/>
      <c r="AXP74"/>
      <c r="AXQ74"/>
      <c r="AXR74"/>
      <c r="AXS74"/>
      <c r="AXT74"/>
      <c r="AXU74"/>
      <c r="AXV74"/>
      <c r="AXW74"/>
      <c r="AXX74"/>
      <c r="AXY74"/>
      <c r="AXZ74"/>
      <c r="AYA74"/>
      <c r="AYB74"/>
      <c r="AYC74"/>
      <c r="AYD74"/>
      <c r="AYE74"/>
      <c r="AYF74"/>
      <c r="AYG74"/>
      <c r="AYH74"/>
      <c r="AYI74"/>
      <c r="AYJ74"/>
      <c r="AYK74"/>
      <c r="AYL74"/>
      <c r="AYM74"/>
      <c r="AYN74"/>
      <c r="AYO74"/>
      <c r="AYP74"/>
      <c r="AYQ74"/>
      <c r="AYR74"/>
      <c r="AYS74"/>
      <c r="AYT74"/>
      <c r="AYU74"/>
      <c r="AYV74"/>
      <c r="AYW74"/>
      <c r="AYX74"/>
      <c r="AYY74"/>
      <c r="AYZ74"/>
      <c r="AZA74"/>
      <c r="AZB74"/>
      <c r="AZC74"/>
      <c r="AZD74"/>
      <c r="AZE74"/>
      <c r="AZF74"/>
      <c r="AZG74"/>
      <c r="AZH74"/>
      <c r="AZI74"/>
      <c r="AZJ74"/>
      <c r="AZK74"/>
      <c r="AZL74"/>
      <c r="AZM74"/>
      <c r="AZN74"/>
      <c r="AZO74"/>
      <c r="AZP74"/>
      <c r="AZQ74"/>
      <c r="AZR74"/>
      <c r="AZS74"/>
      <c r="AZT74"/>
      <c r="AZU74"/>
      <c r="AZV74"/>
      <c r="AZW74"/>
      <c r="AZX74"/>
      <c r="AZY74"/>
      <c r="AZZ74"/>
      <c r="BAA74"/>
      <c r="BAB74"/>
      <c r="BAC74"/>
      <c r="BAD74"/>
      <c r="BAE74"/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/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/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/>
      <c r="BEN74"/>
      <c r="BEO74"/>
      <c r="BEP74"/>
      <c r="BEQ74"/>
      <c r="BER74"/>
      <c r="BES74"/>
      <c r="BET74"/>
      <c r="BEU74"/>
      <c r="BEV74"/>
      <c r="BEW74"/>
      <c r="BEX74"/>
      <c r="BEY74"/>
      <c r="BEZ74"/>
      <c r="BFA74"/>
      <c r="BFB74"/>
      <c r="BFC74"/>
      <c r="BFD74"/>
      <c r="BFE74"/>
      <c r="BFF74"/>
      <c r="BFG74"/>
      <c r="BFH74"/>
      <c r="BFI74"/>
      <c r="BFJ74"/>
      <c r="BFK74"/>
      <c r="BFL74"/>
      <c r="BFM74"/>
      <c r="BFN74"/>
      <c r="BFO74"/>
      <c r="BFP74"/>
      <c r="BFQ74"/>
      <c r="BFR74"/>
      <c r="BFS74"/>
      <c r="BFT74"/>
      <c r="BFU74"/>
      <c r="BFV74"/>
      <c r="BFW74"/>
      <c r="BFX74"/>
      <c r="BFY74"/>
      <c r="BFZ74"/>
      <c r="BGA74"/>
      <c r="BGB74"/>
      <c r="BGC74"/>
      <c r="BGD74"/>
      <c r="BGE74"/>
      <c r="BGF74"/>
      <c r="BGG74"/>
      <c r="BGH74"/>
      <c r="BGI74"/>
      <c r="BGJ74"/>
      <c r="BGK74"/>
      <c r="BGL74"/>
      <c r="BGM74"/>
      <c r="BGN74"/>
      <c r="BGO74"/>
      <c r="BGP74"/>
      <c r="BGQ74"/>
      <c r="BGR74"/>
      <c r="BGS74"/>
      <c r="BGT74"/>
      <c r="BGU74"/>
      <c r="BGV74"/>
      <c r="BGW74"/>
      <c r="BGX74"/>
      <c r="BGY74"/>
      <c r="BGZ74"/>
      <c r="BHA74"/>
      <c r="BHB74"/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/>
      <c r="BHT74"/>
      <c r="BHU74"/>
      <c r="BHV74"/>
      <c r="BHW74"/>
      <c r="BHX74"/>
      <c r="BHY74"/>
      <c r="BHZ74"/>
      <c r="BIA74"/>
      <c r="BIB74"/>
      <c r="BIC74"/>
      <c r="BID74"/>
      <c r="BIE74"/>
      <c r="BIF74"/>
      <c r="BIG74"/>
      <c r="BIH74"/>
      <c r="BII74"/>
      <c r="BIJ74"/>
      <c r="BIK74"/>
      <c r="BIL74"/>
      <c r="BIM74"/>
      <c r="BIN74"/>
      <c r="BIO74"/>
      <c r="BIP74"/>
      <c r="BIQ74"/>
      <c r="BIR74"/>
      <c r="BIS74"/>
      <c r="BIT74"/>
      <c r="BIU74"/>
      <c r="BIV74"/>
      <c r="BIW74"/>
      <c r="BIX74"/>
      <c r="BIY74"/>
      <c r="BIZ74"/>
      <c r="BJA74"/>
      <c r="BJB74"/>
      <c r="BJC74"/>
      <c r="BJD74"/>
      <c r="BJE74"/>
      <c r="BJF74"/>
      <c r="BJG74"/>
      <c r="BJH74"/>
      <c r="BJI74"/>
      <c r="BJJ74"/>
      <c r="BJK74"/>
      <c r="BJL74"/>
      <c r="BJM74"/>
      <c r="BJN74"/>
      <c r="BJO74"/>
      <c r="BJP74"/>
      <c r="BJQ74"/>
      <c r="BJR74"/>
      <c r="BJS74"/>
      <c r="BJT74"/>
      <c r="BJU74"/>
      <c r="BJV74"/>
      <c r="BJW74"/>
      <c r="BJX74"/>
      <c r="BJY74"/>
      <c r="BJZ74"/>
      <c r="BKA74"/>
      <c r="BKB74"/>
      <c r="BKC74"/>
      <c r="BKD74"/>
      <c r="BKE74"/>
      <c r="BKF74"/>
      <c r="BKG74"/>
      <c r="BKH74"/>
      <c r="BKI74"/>
      <c r="BKJ74"/>
      <c r="BKK74"/>
      <c r="BKL74"/>
      <c r="BKM74"/>
      <c r="BKN74"/>
      <c r="BKO74"/>
      <c r="BKP74"/>
      <c r="BKQ74"/>
      <c r="BKR74"/>
      <c r="BKS74"/>
      <c r="BKT74"/>
      <c r="BKU74"/>
      <c r="BKV74"/>
      <c r="BKW74"/>
      <c r="BKX74"/>
      <c r="BKY74"/>
      <c r="BKZ74"/>
      <c r="BLA74"/>
      <c r="BLB74"/>
      <c r="BLC74"/>
      <c r="BLD74"/>
      <c r="BLE74"/>
      <c r="BLF74"/>
      <c r="BLG74"/>
      <c r="BLH74"/>
      <c r="BLI74"/>
      <c r="BLJ74"/>
      <c r="BLK74"/>
      <c r="BLL74"/>
      <c r="BLM74"/>
      <c r="BLN74"/>
      <c r="BLO74"/>
      <c r="BLP74"/>
      <c r="BLQ74"/>
      <c r="BLR74"/>
      <c r="BLS74"/>
      <c r="BLT74"/>
      <c r="BLU74"/>
      <c r="BLV74"/>
      <c r="BLW74"/>
      <c r="BLX74"/>
      <c r="BLY74"/>
      <c r="BLZ74"/>
      <c r="BMA74"/>
      <c r="BMB74"/>
      <c r="BMC74"/>
      <c r="BMD74"/>
      <c r="BME74"/>
      <c r="BMF74"/>
      <c r="BMG74"/>
      <c r="BMH74"/>
      <c r="BMI74"/>
      <c r="BMJ74"/>
      <c r="BMK74"/>
      <c r="BML74"/>
      <c r="BMM74"/>
      <c r="BMN74"/>
      <c r="BMO74"/>
      <c r="BMP74"/>
      <c r="BMQ74"/>
      <c r="BMR74"/>
      <c r="BMS74"/>
      <c r="BMT74"/>
      <c r="BMU74"/>
      <c r="BMV74"/>
      <c r="BMW74"/>
      <c r="BMX74"/>
      <c r="BMY74"/>
      <c r="BMZ74"/>
      <c r="BNA74"/>
      <c r="BNB74"/>
      <c r="BNC74"/>
      <c r="BND74"/>
      <c r="BNE74"/>
      <c r="BNF74"/>
      <c r="BNG74"/>
      <c r="BNH74"/>
      <c r="BNI74"/>
      <c r="BNJ74"/>
      <c r="BNK74"/>
      <c r="BNL74"/>
      <c r="BNM74"/>
      <c r="BNN74"/>
      <c r="BNO74"/>
      <c r="BNP74"/>
      <c r="BNQ74"/>
      <c r="BNR74"/>
      <c r="BNS74"/>
      <c r="BNT74"/>
      <c r="BNU74"/>
      <c r="BNV74"/>
      <c r="BNW74"/>
      <c r="BNX74"/>
      <c r="BNY74"/>
      <c r="BNZ74"/>
      <c r="BOA74"/>
      <c r="BOB74"/>
      <c r="BOC74"/>
      <c r="BOD74"/>
      <c r="BOE74"/>
      <c r="BOF74"/>
      <c r="BOG74"/>
      <c r="BOH74"/>
      <c r="BOI74"/>
      <c r="BOJ74"/>
      <c r="BOK74"/>
      <c r="BOL74"/>
      <c r="BOM74"/>
      <c r="BON74"/>
      <c r="BOO74"/>
      <c r="BOP74"/>
      <c r="BOQ74"/>
      <c r="BOR74"/>
      <c r="BOS74"/>
      <c r="BOT74"/>
      <c r="BOU74"/>
      <c r="BOV74"/>
      <c r="BOW74"/>
      <c r="BOX74"/>
      <c r="BOY74"/>
      <c r="BOZ74"/>
      <c r="BPA74"/>
      <c r="BPB74"/>
      <c r="BPC74"/>
      <c r="BPD74"/>
      <c r="BPE74"/>
      <c r="BPF74"/>
      <c r="BPG74"/>
      <c r="BPH74"/>
      <c r="BPI74"/>
      <c r="BPJ74"/>
      <c r="BPK74"/>
      <c r="BPL74"/>
      <c r="BPM74"/>
      <c r="BPN74"/>
      <c r="BPO74"/>
      <c r="BPP74"/>
      <c r="BPQ74"/>
      <c r="BPR74"/>
      <c r="BPS74"/>
      <c r="BPT74"/>
      <c r="BPU74"/>
      <c r="BPV74"/>
      <c r="BPW74"/>
      <c r="BPX74"/>
      <c r="BPY74"/>
      <c r="BPZ74"/>
      <c r="BQA74"/>
      <c r="BQB74"/>
      <c r="BQC74"/>
      <c r="BQD74"/>
      <c r="BQE74"/>
      <c r="BQF74"/>
      <c r="BQG74"/>
      <c r="BQH74"/>
      <c r="BQI74"/>
      <c r="BQJ74"/>
      <c r="BQK74"/>
      <c r="BQL74"/>
      <c r="BQM74"/>
      <c r="BQN74"/>
      <c r="BQO74"/>
      <c r="BQP74"/>
      <c r="BQQ74"/>
      <c r="BQR74"/>
      <c r="BQS74"/>
      <c r="BQT74"/>
      <c r="BQU74"/>
      <c r="BQV74"/>
      <c r="BQW74"/>
      <c r="BQX74"/>
      <c r="BQY74"/>
      <c r="BQZ74"/>
      <c r="BRA74"/>
      <c r="BRB74"/>
    </row>
    <row r="75" spans="1:1822" s="37" customFormat="1" x14ac:dyDescent="0.3">
      <c r="A75" s="2">
        <v>12</v>
      </c>
      <c r="B75" s="2" t="s">
        <v>17</v>
      </c>
      <c r="C75" s="38" t="s">
        <v>97</v>
      </c>
      <c r="D75" s="38" t="s">
        <v>98</v>
      </c>
      <c r="E75" s="22">
        <v>44853</v>
      </c>
      <c r="F75" s="22">
        <v>45492</v>
      </c>
      <c r="G75" s="81">
        <f t="shared" si="62"/>
        <v>45612</v>
      </c>
      <c r="H75" s="22"/>
      <c r="I75" s="22"/>
      <c r="J75" s="22"/>
      <c r="K75" s="23" t="s">
        <v>99</v>
      </c>
      <c r="L75" s="23">
        <f ca="1">IF(F75=0,"NA",ROUND(($L$1-F75+1)/365*30,1))</f>
        <v>42.7</v>
      </c>
      <c r="M75" s="23">
        <f ca="1">IF(L75="NA",0,L75-P75)</f>
        <v>41.7</v>
      </c>
      <c r="N75" s="22"/>
      <c r="O75" s="22"/>
      <c r="P75" s="155">
        <f>SUM(O75-N75+1)</f>
        <v>1</v>
      </c>
      <c r="Q75" s="23"/>
      <c r="R75" s="23"/>
      <c r="S75" s="23"/>
      <c r="T75" s="23"/>
      <c r="U75" s="23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42"/>
      <c r="GD75" s="42"/>
      <c r="GE75" s="42"/>
      <c r="GF75" s="42"/>
      <c r="GG75" s="42"/>
      <c r="GH75" s="42"/>
      <c r="GI75" s="42"/>
      <c r="GJ75" s="42"/>
      <c r="GK75" s="42"/>
      <c r="GL75" s="42"/>
      <c r="GM75" s="42"/>
      <c r="GN75" s="42"/>
      <c r="GO75" s="42"/>
      <c r="GP75" s="42"/>
      <c r="GQ75" s="42"/>
      <c r="GR75" s="42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6"/>
      <c r="IE75" s="26"/>
      <c r="IF75" s="26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  <c r="JJ75" s="28"/>
      <c r="JK75" s="28"/>
      <c r="JL75" s="28"/>
      <c r="JM75" s="28"/>
      <c r="JN75" s="28"/>
      <c r="JO75" s="28"/>
      <c r="JP75" s="28"/>
      <c r="JQ75" s="28"/>
      <c r="JR75" s="28"/>
      <c r="JS75" s="28"/>
      <c r="JT75" s="28"/>
      <c r="JU75" s="28"/>
      <c r="JV75" s="28"/>
      <c r="JW75" s="28"/>
      <c r="JX75" s="28"/>
      <c r="JY75" s="28"/>
      <c r="JZ75" s="28"/>
      <c r="KA75" s="28"/>
      <c r="KB75" s="28"/>
      <c r="KC75" s="28"/>
      <c r="KD75" s="28"/>
      <c r="KE75" s="28"/>
      <c r="KF75" s="28"/>
      <c r="KG75" s="28"/>
      <c r="KH75" s="28"/>
      <c r="KI75" s="28"/>
      <c r="KJ75" s="28"/>
      <c r="KK75" s="28"/>
      <c r="KL75" s="28"/>
      <c r="KM75" s="28"/>
      <c r="KN75" s="28"/>
      <c r="KO75" s="28"/>
      <c r="KP75" s="28"/>
      <c r="KQ75" s="28"/>
      <c r="KR75" s="28"/>
      <c r="KS75" s="28"/>
      <c r="KT75" s="28"/>
      <c r="KU75" s="28"/>
      <c r="KV75" s="28"/>
      <c r="KW75" s="28"/>
      <c r="KX75" s="28"/>
      <c r="KY75" s="28"/>
      <c r="KZ75" s="28"/>
      <c r="LA75" s="28"/>
      <c r="LB75" s="28"/>
      <c r="LC75" s="28"/>
      <c r="LD75" s="28"/>
      <c r="LE75" s="28"/>
      <c r="LF75" s="28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/>
      <c r="MO75" s="28"/>
      <c r="MP75" s="28"/>
      <c r="MQ75" s="28"/>
      <c r="MR75" s="28"/>
      <c r="MS75" s="28"/>
      <c r="MT75" s="28"/>
      <c r="MU75" s="28"/>
      <c r="MV75" s="28"/>
      <c r="MW75" s="28"/>
      <c r="MX75" s="28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8"/>
      <c r="OE75" s="28"/>
      <c r="OF75" s="28"/>
      <c r="OG75" s="28"/>
      <c r="OH75" s="28"/>
      <c r="OI75" s="28"/>
      <c r="OJ75" s="28"/>
      <c r="OK75" s="28"/>
      <c r="OL75" s="28"/>
      <c r="OM75" s="28"/>
      <c r="ON75" s="28"/>
      <c r="OO75" s="28"/>
      <c r="OP75" s="28"/>
      <c r="OQ75" s="28"/>
      <c r="OR75" s="28"/>
      <c r="OS75" s="28"/>
      <c r="OT75" s="28"/>
      <c r="OU75" s="28"/>
      <c r="OV75" s="28"/>
      <c r="OW75" s="28"/>
      <c r="OX75" s="28"/>
      <c r="OY75" s="28"/>
      <c r="OZ75" s="28"/>
      <c r="PA75" s="28"/>
      <c r="PB75" s="28"/>
      <c r="PC75" s="28"/>
      <c r="PD75" s="28"/>
      <c r="PE75" s="28"/>
      <c r="PF75" s="28"/>
      <c r="PG75" s="28"/>
      <c r="PH75" s="28"/>
      <c r="PI75" s="28"/>
      <c r="PJ75" s="28"/>
      <c r="PK75" s="28"/>
      <c r="PL75" s="28"/>
      <c r="PM75" s="28"/>
      <c r="PN75" s="28"/>
      <c r="PO75" s="28"/>
      <c r="PP75" s="28"/>
      <c r="PQ75" s="28"/>
      <c r="PR75" s="28"/>
      <c r="PS75" s="28"/>
      <c r="PT75" s="28"/>
      <c r="PU75" s="28"/>
      <c r="PV75" s="28"/>
      <c r="PW75" s="28"/>
      <c r="PX75" s="28"/>
      <c r="PY75" s="28"/>
      <c r="PZ75" s="28"/>
      <c r="QA75" s="28"/>
      <c r="QB75" s="28"/>
      <c r="QC75" s="28"/>
      <c r="QD75" s="28"/>
      <c r="QE75" s="28"/>
      <c r="QF75" s="28"/>
      <c r="QG75" s="28"/>
      <c r="QH75" s="28"/>
      <c r="QI75" s="28"/>
      <c r="QJ75" s="28"/>
      <c r="QK75" s="28"/>
      <c r="QL75" s="28"/>
      <c r="QM75" s="28"/>
      <c r="QN75" s="28"/>
      <c r="QO75" s="28"/>
      <c r="QP75" s="28"/>
      <c r="QQ75" s="28"/>
      <c r="QR75" s="28"/>
      <c r="QS75" s="28"/>
      <c r="QT75" s="28"/>
      <c r="QU75" s="28"/>
      <c r="QV75" s="28"/>
      <c r="QW75" s="28"/>
      <c r="QX75" s="28"/>
      <c r="QY75" s="28"/>
      <c r="QZ75" s="28"/>
      <c r="RA75" s="28"/>
      <c r="RB75" s="28"/>
      <c r="RC75" s="28"/>
      <c r="RD75" s="28"/>
      <c r="RE75" s="28"/>
      <c r="RF75" s="28"/>
      <c r="RG75" s="28"/>
      <c r="RH75" s="28"/>
      <c r="RI75" s="28"/>
      <c r="RJ75" s="28"/>
      <c r="RK75" s="28"/>
      <c r="RL75" s="28"/>
      <c r="RM75" s="28"/>
      <c r="RN75" s="28"/>
      <c r="RO75" s="28"/>
      <c r="RP75" s="28"/>
      <c r="RQ75" s="28"/>
      <c r="RR75" s="28"/>
      <c r="RS75" s="28"/>
      <c r="RT75" s="28"/>
      <c r="RU75" s="28"/>
      <c r="RV75" s="28"/>
      <c r="RW75" s="28"/>
      <c r="RX75" s="28"/>
      <c r="RY75" s="28"/>
      <c r="RZ75" s="28"/>
      <c r="SA75" s="28"/>
      <c r="SB75" s="28"/>
      <c r="SC75" s="28"/>
      <c r="SD75" s="28"/>
      <c r="SE75" s="28"/>
      <c r="SF75" s="28"/>
      <c r="SG75" s="28"/>
      <c r="SH75" s="28"/>
      <c r="SI75" s="28"/>
      <c r="SJ75" s="28"/>
      <c r="SK75" s="28"/>
      <c r="SL75" s="28"/>
      <c r="SM75" s="28"/>
      <c r="SN75" s="28"/>
      <c r="SO75" s="28"/>
      <c r="SP75" s="28"/>
      <c r="SQ75" s="28"/>
      <c r="SR75" s="28"/>
      <c r="SS75" s="28"/>
      <c r="ST75" s="28"/>
      <c r="SU75" s="28"/>
      <c r="SV75" s="28"/>
      <c r="SW75" s="28"/>
      <c r="SX75" s="28"/>
      <c r="SY75" s="28"/>
      <c r="SZ75" s="28"/>
      <c r="TA75" s="28"/>
      <c r="TB75" s="28"/>
      <c r="TC75" s="28"/>
      <c r="TD75" s="28"/>
      <c r="TE75" s="28"/>
      <c r="TF75" s="28"/>
      <c r="TG75" s="28"/>
      <c r="TH75" s="28"/>
      <c r="TI75" s="28"/>
      <c r="TJ75" s="28"/>
      <c r="TK75" s="28"/>
      <c r="TL75" s="28"/>
      <c r="TM75" s="32"/>
      <c r="TN75" s="28"/>
      <c r="TO75" s="28"/>
      <c r="TP75" s="28"/>
      <c r="TQ75" s="28"/>
      <c r="TR75" s="28"/>
      <c r="TS75" s="28"/>
      <c r="TT75" s="28"/>
      <c r="TU75" s="28"/>
      <c r="TV75" s="28"/>
      <c r="TW75" s="28"/>
      <c r="TX75" s="28"/>
      <c r="TY75" s="28"/>
      <c r="TZ75" s="28"/>
      <c r="UA75" s="28"/>
      <c r="UB75" s="28"/>
      <c r="UC75" s="28"/>
      <c r="UD75" s="28"/>
      <c r="UE75" s="28"/>
      <c r="UF75" s="28"/>
      <c r="UG75" s="28"/>
      <c r="UH75" s="28"/>
      <c r="UI75" s="28"/>
      <c r="UJ75" s="28"/>
      <c r="UK75" s="28"/>
      <c r="UL75" s="28"/>
      <c r="UM75" s="28"/>
      <c r="UN75" s="28"/>
      <c r="UO75" s="28"/>
      <c r="UP75" s="28"/>
      <c r="UQ75" s="28"/>
      <c r="UR75" s="28"/>
      <c r="US75" s="28"/>
      <c r="UT75" s="28"/>
      <c r="UU75" s="28"/>
      <c r="UV75" s="28"/>
      <c r="UW75" s="28"/>
      <c r="UX75" s="28"/>
      <c r="UY75" s="28"/>
      <c r="UZ75" s="28"/>
      <c r="VA75" s="28"/>
      <c r="VB75" s="28"/>
      <c r="VC75" s="28"/>
      <c r="VD75" s="28"/>
      <c r="VE75" s="28"/>
      <c r="VF75" s="28"/>
      <c r="VG75" s="28"/>
      <c r="VH75" s="28"/>
      <c r="VI75" s="28"/>
      <c r="VJ75" s="28"/>
      <c r="VK75" s="28"/>
      <c r="VL75" s="28"/>
      <c r="VM75" s="28"/>
      <c r="VN75" s="28"/>
      <c r="VO75" s="28"/>
      <c r="VP75" s="28"/>
      <c r="VQ75" s="28"/>
      <c r="VR75" s="28"/>
      <c r="VS75" s="28"/>
      <c r="VT75" s="28"/>
      <c r="VU75" s="28"/>
      <c r="VV75" s="32"/>
      <c r="VW75" s="32"/>
      <c r="VX75" s="32"/>
      <c r="VY75" s="32"/>
      <c r="VZ75" s="32"/>
      <c r="WA75" s="32"/>
      <c r="WB75" s="32"/>
      <c r="WC75" s="32"/>
      <c r="WD75" s="32"/>
      <c r="WE75" s="32"/>
      <c r="WF75" s="32"/>
      <c r="WG75" s="32"/>
      <c r="WH75" s="32"/>
      <c r="WI75" s="32"/>
      <c r="WJ75" s="32"/>
      <c r="WK75" s="32"/>
      <c r="WL75" s="32"/>
      <c r="WM75" s="32"/>
      <c r="WN75" s="32"/>
      <c r="WO75" s="32"/>
      <c r="WP75" s="32"/>
      <c r="WQ75" s="32"/>
      <c r="WR75" s="32"/>
      <c r="WS75" s="32"/>
      <c r="WT75" s="32"/>
      <c r="WU75" s="32"/>
      <c r="WV75" s="32"/>
      <c r="WW75" s="32"/>
      <c r="WX75" s="32"/>
      <c r="WY75" s="32"/>
      <c r="WZ75" s="32"/>
      <c r="XA75" s="32"/>
      <c r="XB75" s="32"/>
      <c r="XC75" s="32"/>
      <c r="XD75" s="32"/>
      <c r="XE75" s="32"/>
      <c r="XF75" s="32"/>
      <c r="XG75" s="32"/>
      <c r="XH75" s="32"/>
      <c r="XI75" s="32"/>
      <c r="XJ75" s="32"/>
      <c r="XK75" s="32"/>
      <c r="XL75" s="32"/>
      <c r="XM75" s="32"/>
      <c r="XN75" s="32"/>
      <c r="XO75" s="32"/>
      <c r="XP75" s="32"/>
      <c r="XQ75" s="32"/>
      <c r="XR75" s="32"/>
      <c r="XS75" s="32"/>
      <c r="XT75" s="32"/>
      <c r="XU75" s="32"/>
      <c r="XV75" s="32"/>
      <c r="XW75" s="32"/>
      <c r="XX75" s="32"/>
      <c r="XY75" s="32"/>
      <c r="XZ75" s="32"/>
      <c r="YA75" s="32"/>
      <c r="YB75" s="32"/>
      <c r="YC75" s="32"/>
      <c r="YD75" s="32"/>
      <c r="YE75" s="32"/>
      <c r="YF75" s="32"/>
      <c r="YG75" s="32"/>
      <c r="YH75" s="32"/>
      <c r="YI75" s="32"/>
      <c r="YJ75" s="32"/>
      <c r="YK75" s="32"/>
      <c r="YL75" s="32"/>
      <c r="YM75" s="32"/>
      <c r="YN75" s="32"/>
      <c r="YO75" s="32"/>
      <c r="YP75" s="32"/>
      <c r="YQ75" s="32"/>
      <c r="YR75" s="32"/>
      <c r="YS75" s="32"/>
      <c r="YT75" s="32"/>
      <c r="YU75" s="32"/>
      <c r="YV75" s="32"/>
      <c r="YW75" s="32"/>
      <c r="YX75" s="32"/>
      <c r="YY75" s="32"/>
      <c r="YZ75" s="32"/>
      <c r="ZA75" s="32"/>
      <c r="ZB75" s="32"/>
      <c r="ZC75" s="32"/>
      <c r="ZD75" s="32"/>
      <c r="ZE75" s="32"/>
      <c r="ZF75" s="32"/>
      <c r="ZG75" s="32"/>
      <c r="ZH75" s="32"/>
      <c r="ZI75" s="32"/>
      <c r="ZJ75" s="32"/>
      <c r="ZK75" s="32"/>
      <c r="ZL75" s="32"/>
      <c r="ZM75" s="32"/>
      <c r="ZN75" s="32"/>
      <c r="ZO75" s="32"/>
      <c r="ZP75" s="32"/>
      <c r="ZQ75" s="32"/>
      <c r="ZR75" s="32"/>
      <c r="ZS75" s="32"/>
      <c r="ZT75" s="32"/>
      <c r="ZU75" s="32"/>
      <c r="ZV75" s="32"/>
      <c r="ZW75" s="32"/>
      <c r="ZX75" s="32"/>
      <c r="ZY75" s="32"/>
      <c r="ZZ75" s="32"/>
      <c r="AAA75" s="32"/>
      <c r="AAB75" s="32"/>
      <c r="AAC75" s="32"/>
      <c r="AAD75" s="32"/>
      <c r="AAE75" s="32"/>
      <c r="AAF75" s="32"/>
      <c r="AAG75" s="32"/>
      <c r="AAH75" s="32"/>
      <c r="AAI75" s="32"/>
      <c r="AAJ75" s="32"/>
      <c r="AAK75" s="32"/>
      <c r="AAL75" s="32"/>
      <c r="AAM75" s="32"/>
      <c r="AAN75" s="32"/>
      <c r="AAO75" s="32"/>
      <c r="AAP75" s="32"/>
      <c r="AAQ75" s="32"/>
      <c r="AAR75" s="32"/>
      <c r="AAS75" s="32"/>
      <c r="AAT75" s="32"/>
      <c r="AAU75" s="32"/>
      <c r="AAV75" s="32"/>
      <c r="AAW75" s="32"/>
      <c r="AAX75" s="32"/>
      <c r="AAY75" s="32"/>
      <c r="AAZ75" s="32"/>
      <c r="ABA75" s="32"/>
      <c r="ABB75" s="32"/>
      <c r="ABC75" s="32"/>
      <c r="ABD75" s="32"/>
      <c r="ABE75" s="32"/>
      <c r="ABF75" s="32"/>
      <c r="ABG75" s="32"/>
      <c r="ABH75" s="32"/>
      <c r="ABI75" s="32"/>
      <c r="ABJ75" s="32"/>
      <c r="ABK75" s="32"/>
      <c r="ABL75" s="32"/>
      <c r="ABM75" s="32"/>
      <c r="ABN75" s="32"/>
      <c r="ABO75" s="32"/>
      <c r="ABP75" s="32"/>
      <c r="ABQ75" s="32"/>
      <c r="ABR75" s="32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/>
      <c r="ASM75"/>
      <c r="ASN75"/>
      <c r="ASO75"/>
      <c r="ASP75"/>
      <c r="ASQ75"/>
      <c r="ASR75"/>
      <c r="ASS75"/>
      <c r="AST75"/>
      <c r="ASU75"/>
      <c r="ASV75"/>
      <c r="ASW75"/>
      <c r="ASX75"/>
      <c r="ASY75"/>
      <c r="ASZ75"/>
      <c r="ATA75"/>
      <c r="ATB75"/>
      <c r="ATC75"/>
      <c r="ATD75"/>
      <c r="ATE75"/>
      <c r="ATF75"/>
      <c r="ATG75"/>
      <c r="ATH75"/>
      <c r="ATI75"/>
      <c r="ATJ75"/>
      <c r="ATK75"/>
      <c r="ATL75"/>
      <c r="ATM75"/>
      <c r="ATN75"/>
      <c r="ATO75"/>
      <c r="ATP75"/>
      <c r="ATQ75"/>
      <c r="ATR75"/>
      <c r="ATS75"/>
      <c r="ATT75"/>
      <c r="ATU75"/>
      <c r="ATV75"/>
      <c r="ATW75"/>
      <c r="ATX75"/>
      <c r="ATY75"/>
      <c r="ATZ75"/>
      <c r="AUA75"/>
      <c r="AUB75"/>
      <c r="AUC75"/>
      <c r="AUD75"/>
      <c r="AUE75"/>
      <c r="AUF75"/>
      <c r="AUG75"/>
      <c r="AUH75"/>
      <c r="AUI75"/>
      <c r="AUJ75"/>
      <c r="AUK75"/>
      <c r="AUL75"/>
      <c r="AUM75"/>
      <c r="AUN75"/>
      <c r="AUO75"/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/>
      <c r="AVG75"/>
      <c r="AVH75"/>
      <c r="AVI75"/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/>
      <c r="BHW75"/>
      <c r="BHX75"/>
      <c r="BHY75"/>
      <c r="BHZ75"/>
      <c r="BIA75"/>
      <c r="BIB75"/>
      <c r="BIC75"/>
      <c r="BID75"/>
      <c r="BIE75"/>
      <c r="BIF75"/>
      <c r="BIG75"/>
      <c r="BIH75"/>
      <c r="BII75"/>
      <c r="BIJ75"/>
      <c r="BIK75"/>
      <c r="BIL75"/>
      <c r="BIM75"/>
      <c r="BIN75"/>
      <c r="BIO75"/>
      <c r="BIP75"/>
      <c r="BIQ75"/>
      <c r="BIR75"/>
      <c r="BIS75"/>
      <c r="BIT75"/>
      <c r="BIU75"/>
      <c r="BIV75"/>
      <c r="BIW75"/>
      <c r="BIX75"/>
      <c r="BIY75"/>
      <c r="BIZ75"/>
      <c r="BJA75"/>
      <c r="BJB75"/>
      <c r="BJC75"/>
      <c r="BJD75"/>
      <c r="BJE75"/>
      <c r="BJF75"/>
      <c r="BJG75"/>
      <c r="BJH75"/>
      <c r="BJI75"/>
      <c r="BJJ75"/>
      <c r="BJK75"/>
      <c r="BJL75"/>
      <c r="BJM75"/>
      <c r="BJN75"/>
      <c r="BJO75"/>
      <c r="BJP75"/>
      <c r="BJQ75"/>
      <c r="BJR75"/>
      <c r="BJS75"/>
      <c r="BJT75"/>
      <c r="BJU75"/>
      <c r="BJV75"/>
      <c r="BJW75"/>
      <c r="BJX75"/>
      <c r="BJY75"/>
      <c r="BJZ75"/>
      <c r="BKA75"/>
      <c r="BKB75"/>
      <c r="BKC75"/>
      <c r="BKD75"/>
      <c r="BKE75"/>
      <c r="BKF75"/>
      <c r="BKG75"/>
      <c r="BKH75"/>
      <c r="BKI75"/>
      <c r="BKJ75"/>
      <c r="BKK75"/>
      <c r="BKL75"/>
      <c r="BKM75"/>
      <c r="BKN75"/>
      <c r="BKO75"/>
      <c r="BKP75"/>
      <c r="BKQ75"/>
      <c r="BKR75"/>
      <c r="BKS75"/>
      <c r="BKT75"/>
      <c r="BKU75"/>
      <c r="BKV75"/>
      <c r="BKW75"/>
      <c r="BKX75"/>
      <c r="BKY75"/>
      <c r="BKZ75"/>
      <c r="BLA75"/>
      <c r="BLB75"/>
      <c r="BLC75"/>
      <c r="BLD75"/>
      <c r="BLE75"/>
      <c r="BLF75"/>
      <c r="BLG75"/>
      <c r="BLH75"/>
      <c r="BLI75"/>
      <c r="BLJ75"/>
      <c r="BLK75"/>
      <c r="BLL75"/>
      <c r="BLM75"/>
      <c r="BLN75"/>
      <c r="BLO75"/>
      <c r="BLP75"/>
      <c r="BLQ75"/>
      <c r="BLR75"/>
      <c r="BLS75"/>
      <c r="BLT75"/>
      <c r="BLU75"/>
      <c r="BLV75"/>
      <c r="BLW75"/>
      <c r="BLX75"/>
      <c r="BLY75"/>
      <c r="BLZ75"/>
      <c r="BMA75"/>
      <c r="BMB75"/>
      <c r="BMC75"/>
      <c r="BMD75"/>
      <c r="BME75"/>
      <c r="BMF75"/>
      <c r="BMG75"/>
      <c r="BMH75"/>
      <c r="BMI75"/>
      <c r="BMJ75"/>
      <c r="BMK75"/>
      <c r="BML75"/>
      <c r="BMM75"/>
      <c r="BMN75"/>
      <c r="BMO75"/>
      <c r="BMP75"/>
      <c r="BMQ75"/>
      <c r="BMR75"/>
      <c r="BMS75"/>
      <c r="BMT75"/>
      <c r="BMU75"/>
      <c r="BMV75"/>
      <c r="BMW75"/>
      <c r="BMX75"/>
      <c r="BMY75"/>
      <c r="BMZ75"/>
      <c r="BNA75"/>
      <c r="BNB75"/>
      <c r="BNC75"/>
      <c r="BND75"/>
      <c r="BNE75"/>
      <c r="BNF75"/>
      <c r="BNG75"/>
      <c r="BNH75"/>
      <c r="BNI75"/>
      <c r="BNJ75"/>
      <c r="BNK75"/>
      <c r="BNL75"/>
      <c r="BNM75"/>
      <c r="BNN75"/>
      <c r="BNO75"/>
      <c r="BNP75"/>
      <c r="BNQ75"/>
      <c r="BNR75"/>
      <c r="BNS75"/>
      <c r="BNT75"/>
      <c r="BNU75"/>
      <c r="BNV75"/>
      <c r="BNW75"/>
      <c r="BNX75"/>
      <c r="BNY75"/>
      <c r="BNZ75"/>
      <c r="BOA75"/>
      <c r="BOB75"/>
      <c r="BOC75"/>
      <c r="BOD75"/>
      <c r="BOE75"/>
      <c r="BOF75"/>
      <c r="BOG75"/>
      <c r="BOH75"/>
      <c r="BOI75"/>
      <c r="BOJ75"/>
      <c r="BOK75"/>
      <c r="BOL75"/>
      <c r="BOM75"/>
      <c r="BON75"/>
      <c r="BOO75"/>
      <c r="BOP75"/>
      <c r="BOQ75"/>
      <c r="BOR75"/>
      <c r="BOS75"/>
      <c r="BOT75"/>
      <c r="BOU75"/>
      <c r="BOV75"/>
      <c r="BOW75"/>
      <c r="BOX75"/>
      <c r="BOY75"/>
      <c r="BOZ75"/>
      <c r="BPA75"/>
      <c r="BPB75"/>
      <c r="BPC75"/>
      <c r="BPD75"/>
      <c r="BPE75"/>
      <c r="BPF75"/>
      <c r="BPG75"/>
      <c r="BPH75"/>
      <c r="BPI75"/>
      <c r="BPJ75"/>
      <c r="BPK75"/>
      <c r="BPL75"/>
      <c r="BPM75"/>
      <c r="BPN75"/>
      <c r="BPO75"/>
      <c r="BPP75"/>
      <c r="BPQ75"/>
      <c r="BPR75"/>
      <c r="BPS75"/>
      <c r="BPT75"/>
      <c r="BPU75"/>
      <c r="BPV75"/>
      <c r="BPW75"/>
      <c r="BPX75"/>
      <c r="BPY75"/>
      <c r="BPZ75"/>
      <c r="BQA75"/>
      <c r="BQB75"/>
      <c r="BQC75"/>
      <c r="BQD75"/>
      <c r="BQE75"/>
      <c r="BQF75"/>
      <c r="BQG75"/>
      <c r="BQH75"/>
      <c r="BQI75"/>
      <c r="BQJ75"/>
      <c r="BQK75"/>
      <c r="BQL75"/>
      <c r="BQM75"/>
      <c r="BQN75"/>
      <c r="BQO75"/>
      <c r="BQP75"/>
      <c r="BQQ75"/>
      <c r="BQR75"/>
      <c r="BQS75"/>
      <c r="BQT75"/>
      <c r="BQU75"/>
      <c r="BQV75"/>
      <c r="BQW75"/>
      <c r="BQX75"/>
      <c r="BQY75"/>
      <c r="BQZ75"/>
      <c r="BRA75"/>
      <c r="BRB75"/>
    </row>
    <row r="76" spans="1:1822" s="38" customFormat="1" x14ac:dyDescent="0.3">
      <c r="A76" s="2"/>
      <c r="B76" s="2"/>
      <c r="C76" s="37"/>
      <c r="D76" s="37"/>
      <c r="E76" s="37"/>
      <c r="F76" s="37"/>
      <c r="G76" s="37"/>
      <c r="H76" s="37"/>
      <c r="I76" s="37"/>
      <c r="J76" s="87"/>
      <c r="K76" s="87"/>
      <c r="L76" s="87"/>
      <c r="M76" s="87"/>
      <c r="N76" s="87"/>
      <c r="O76" s="87"/>
      <c r="P76" s="29"/>
      <c r="Q76" s="37"/>
      <c r="R76" s="37"/>
      <c r="S76" s="37"/>
      <c r="T76" s="37"/>
      <c r="U76" s="37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28"/>
      <c r="HV76" s="28"/>
      <c r="HW76" s="28"/>
      <c r="HX76" s="28"/>
      <c r="HY76" s="28"/>
      <c r="HZ76" s="28"/>
      <c r="IA76" s="28"/>
      <c r="IB76" s="28"/>
      <c r="IC76" s="28"/>
      <c r="ID76" s="28"/>
      <c r="IE76" s="28"/>
      <c r="IF76" s="28"/>
      <c r="IG76" s="28"/>
      <c r="IH76" s="28"/>
      <c r="II76" s="28"/>
      <c r="IJ76" s="28"/>
      <c r="IK76" s="28"/>
      <c r="IL76" s="28"/>
      <c r="IM76" s="28"/>
      <c r="IN76" s="28"/>
      <c r="IO76" s="28"/>
      <c r="IP76" s="28"/>
      <c r="IQ76" s="28"/>
      <c r="IR76" s="28"/>
      <c r="IS76" s="28"/>
      <c r="IT76" s="28"/>
      <c r="IU76" s="28"/>
      <c r="IV76" s="28"/>
      <c r="IW76" s="28"/>
      <c r="IX76" s="28"/>
      <c r="IY76" s="28"/>
      <c r="IZ76" s="28"/>
      <c r="JA76" s="28"/>
      <c r="JB76" s="28"/>
      <c r="JC76" s="28"/>
      <c r="JD76" s="28"/>
      <c r="JE76" s="28"/>
      <c r="JF76" s="28"/>
      <c r="JG76" s="28"/>
      <c r="JH76" s="28"/>
      <c r="JI76" s="28"/>
      <c r="JJ76" s="28"/>
      <c r="JK76" s="28"/>
      <c r="JL76" s="28"/>
      <c r="JM76" s="28"/>
      <c r="JN76" s="28"/>
      <c r="JO76" s="28"/>
      <c r="JP76" s="28"/>
      <c r="JQ76" s="28"/>
      <c r="JR76" s="28"/>
      <c r="JS76" s="28"/>
      <c r="JT76" s="28"/>
      <c r="JU76" s="28"/>
      <c r="JV76" s="28"/>
      <c r="JW76" s="28"/>
      <c r="JX76" s="28"/>
      <c r="JY76" s="28"/>
      <c r="JZ76" s="28"/>
      <c r="KA76" s="28"/>
      <c r="KB76" s="28"/>
      <c r="KC76" s="28"/>
      <c r="KD76" s="28"/>
      <c r="KE76" s="28"/>
      <c r="KF76" s="28"/>
      <c r="KG76" s="28"/>
      <c r="KH76" s="28"/>
      <c r="KI76" s="28"/>
      <c r="KJ76" s="28"/>
      <c r="KK76" s="28"/>
      <c r="KL76" s="28"/>
      <c r="KM76" s="28"/>
      <c r="KN76" s="28"/>
      <c r="KO76" s="28"/>
      <c r="KP76" s="28"/>
      <c r="KQ76" s="28"/>
      <c r="KR76" s="28"/>
      <c r="KS76" s="28"/>
      <c r="KT76" s="28"/>
      <c r="KU76" s="28"/>
      <c r="KV76" s="28"/>
      <c r="KW76" s="28"/>
      <c r="KX76" s="28"/>
      <c r="KY76" s="28"/>
      <c r="KZ76" s="28"/>
      <c r="LA76" s="28"/>
      <c r="LB76" s="28"/>
      <c r="LC76" s="28"/>
      <c r="LD76" s="28"/>
      <c r="LE76" s="28"/>
      <c r="LF76" s="28"/>
      <c r="LG76" s="28"/>
      <c r="LH76" s="28"/>
      <c r="LI76" s="28"/>
      <c r="LJ76" s="28"/>
      <c r="LK76" s="28"/>
      <c r="LL76" s="28"/>
      <c r="LM76" s="28"/>
      <c r="LN76" s="28"/>
      <c r="LO76" s="28"/>
      <c r="LP76" s="28"/>
      <c r="LQ76" s="28"/>
      <c r="LR76" s="28"/>
      <c r="LS76" s="28"/>
      <c r="LT76" s="28"/>
      <c r="LU76" s="28"/>
      <c r="LV76" s="28"/>
      <c r="LW76" s="28"/>
      <c r="LX76" s="28"/>
      <c r="LY76" s="28"/>
      <c r="LZ76" s="28"/>
      <c r="MA76" s="28"/>
      <c r="MB76" s="28"/>
      <c r="MC76" s="28"/>
      <c r="MD76" s="28"/>
      <c r="ME76" s="28"/>
      <c r="MF76" s="28"/>
      <c r="MG76" s="28"/>
      <c r="MH76" s="28"/>
      <c r="MI76" s="28"/>
      <c r="MJ76" s="28"/>
      <c r="MK76" s="28"/>
      <c r="ML76" s="28"/>
      <c r="MM76" s="28"/>
      <c r="MN76" s="28"/>
      <c r="MO76" s="28"/>
      <c r="MP76" s="28"/>
      <c r="MQ76" s="28"/>
      <c r="MR76" s="28"/>
      <c r="MS76" s="28"/>
      <c r="MT76" s="28"/>
      <c r="MU76" s="28"/>
      <c r="MV76" s="28"/>
      <c r="MW76" s="28"/>
      <c r="MX76" s="28"/>
      <c r="MY76" s="28"/>
      <c r="MZ76" s="28"/>
      <c r="NA76" s="28"/>
      <c r="NB76" s="28"/>
      <c r="NC76" s="28"/>
      <c r="ND76" s="28"/>
      <c r="NE76" s="28"/>
      <c r="NF76" s="28"/>
      <c r="NG76" s="28"/>
      <c r="NH76" s="28"/>
      <c r="NI76" s="28"/>
      <c r="NJ76" s="28"/>
      <c r="NK76" s="28"/>
      <c r="NL76" s="28"/>
      <c r="NM76" s="28"/>
      <c r="NN76" s="28"/>
      <c r="NO76" s="28"/>
      <c r="NP76" s="28"/>
      <c r="NQ76" s="28"/>
      <c r="NR76" s="28"/>
      <c r="NS76" s="28"/>
      <c r="NT76" s="28"/>
      <c r="NU76" s="28"/>
      <c r="NV76" s="28"/>
      <c r="NW76" s="28"/>
      <c r="NX76" s="28"/>
      <c r="NY76" s="28"/>
      <c r="NZ76" s="28"/>
      <c r="OA76" s="28"/>
      <c r="OB76" s="28"/>
      <c r="OC76" s="28"/>
      <c r="OD76" s="28"/>
      <c r="OE76" s="28"/>
      <c r="OF76" s="28"/>
      <c r="OG76" s="28"/>
      <c r="OH76" s="28"/>
      <c r="OI76" s="28"/>
      <c r="OJ76" s="28"/>
      <c r="OK76" s="28"/>
      <c r="OL76" s="28"/>
      <c r="OM76" s="28"/>
      <c r="ON76" s="28"/>
      <c r="OO76" s="28"/>
      <c r="OP76" s="28"/>
      <c r="OQ76" s="28"/>
      <c r="OR76" s="28"/>
      <c r="OS76" s="28"/>
      <c r="OT76" s="28"/>
      <c r="OU76" s="28"/>
      <c r="OV76" s="28"/>
      <c r="OW76" s="28"/>
      <c r="OX76" s="28"/>
      <c r="OY76" s="28"/>
      <c r="OZ76" s="28"/>
      <c r="PA76" s="28"/>
      <c r="PB76" s="28"/>
      <c r="PC76" s="28"/>
      <c r="PD76" s="28"/>
      <c r="PE76" s="28"/>
      <c r="PF76" s="28"/>
      <c r="PG76" s="28"/>
      <c r="PH76" s="28"/>
      <c r="PI76" s="28"/>
      <c r="PJ76" s="28"/>
      <c r="PK76" s="28"/>
      <c r="PL76" s="28"/>
      <c r="PM76" s="28"/>
      <c r="PN76" s="28"/>
      <c r="PO76" s="28"/>
      <c r="PP76" s="28"/>
      <c r="PQ76" s="28"/>
      <c r="PR76" s="28"/>
      <c r="PS76" s="28"/>
      <c r="PT76" s="28"/>
      <c r="PU76" s="28"/>
      <c r="PV76" s="28"/>
      <c r="PW76" s="28"/>
      <c r="PX76" s="28"/>
      <c r="PY76" s="28"/>
      <c r="PZ76" s="28"/>
      <c r="QA76" s="28"/>
      <c r="QB76" s="28"/>
      <c r="QC76" s="28"/>
      <c r="QD76" s="28"/>
      <c r="QE76" s="28"/>
      <c r="QF76" s="28"/>
      <c r="QG76" s="28"/>
      <c r="QH76" s="28"/>
      <c r="QI76" s="28"/>
      <c r="QJ76" s="28"/>
      <c r="QK76" s="28"/>
      <c r="QL76" s="28"/>
      <c r="QM76" s="28"/>
      <c r="QN76" s="28"/>
      <c r="QO76" s="28"/>
      <c r="QP76" s="28"/>
      <c r="QQ76" s="28"/>
      <c r="QR76" s="28"/>
      <c r="QS76" s="28"/>
      <c r="QT76" s="28"/>
      <c r="QU76" s="28"/>
      <c r="QV76" s="28"/>
      <c r="QW76" s="28"/>
      <c r="QX76" s="28"/>
      <c r="QY76" s="28"/>
      <c r="QZ76" s="28"/>
      <c r="RA76" s="28"/>
      <c r="RB76" s="28"/>
      <c r="RC76" s="28"/>
      <c r="RD76" s="28"/>
      <c r="RE76" s="28"/>
      <c r="RF76" s="28"/>
      <c r="RG76" s="28"/>
      <c r="RH76" s="28"/>
      <c r="RI76" s="28"/>
      <c r="RJ76" s="28"/>
      <c r="RK76" s="28"/>
      <c r="RL76" s="28"/>
      <c r="RM76" s="28"/>
      <c r="RN76" s="28"/>
      <c r="RO76" s="28"/>
      <c r="RP76" s="28"/>
      <c r="RQ76" s="28"/>
      <c r="RR76" s="28"/>
      <c r="RS76" s="28"/>
      <c r="RT76" s="28"/>
      <c r="RU76" s="28"/>
      <c r="RV76" s="28"/>
      <c r="RW76" s="28"/>
      <c r="RX76" s="28"/>
      <c r="RY76" s="28"/>
      <c r="RZ76" s="28"/>
      <c r="SA76" s="28"/>
      <c r="SB76" s="28"/>
      <c r="SC76" s="28"/>
      <c r="SD76" s="28"/>
      <c r="SE76" s="28"/>
      <c r="SF76" s="28"/>
      <c r="SG76" s="28"/>
      <c r="SH76" s="28"/>
      <c r="SI76" s="28"/>
      <c r="SJ76" s="28"/>
      <c r="SK76" s="28"/>
      <c r="SL76" s="28"/>
      <c r="SM76" s="28"/>
      <c r="SN76" s="28"/>
      <c r="SO76" s="28"/>
      <c r="SP76" s="28"/>
      <c r="SQ76" s="28"/>
      <c r="SR76" s="28"/>
      <c r="SS76" s="28"/>
      <c r="ST76" s="28"/>
      <c r="SU76" s="28"/>
      <c r="SV76" s="28"/>
      <c r="SW76" s="28"/>
      <c r="SX76" s="28"/>
      <c r="SY76" s="28"/>
      <c r="SZ76" s="28"/>
      <c r="TA76" s="28"/>
      <c r="TB76" s="28"/>
      <c r="TC76" s="28"/>
      <c r="TD76" s="28"/>
      <c r="TE76" s="28"/>
      <c r="TF76" s="28"/>
      <c r="TG76" s="28"/>
      <c r="TH76" s="28"/>
      <c r="TI76" s="28"/>
      <c r="TJ76" s="28"/>
      <c r="TK76" s="28"/>
      <c r="TL76" s="28"/>
      <c r="TM76" s="28"/>
      <c r="TN76" s="28"/>
      <c r="TO76" s="28"/>
      <c r="TP76" s="28"/>
      <c r="TQ76" s="28"/>
      <c r="TR76" s="28"/>
      <c r="TS76" s="28"/>
      <c r="TT76" s="28"/>
      <c r="TU76" s="28"/>
      <c r="TV76" s="28"/>
      <c r="TW76" s="28"/>
      <c r="TX76" s="28"/>
      <c r="TY76" s="28"/>
      <c r="TZ76" s="28"/>
      <c r="UA76" s="28"/>
      <c r="UB76" s="28"/>
      <c r="UC76" s="28"/>
      <c r="UD76" s="28"/>
      <c r="UE76" s="28"/>
      <c r="UF76" s="28"/>
      <c r="UG76" s="28"/>
      <c r="UH76" s="28"/>
      <c r="UI76" s="28"/>
      <c r="UJ76" s="28"/>
      <c r="UK76" s="28"/>
      <c r="UL76" s="28"/>
      <c r="UM76" s="28"/>
      <c r="UN76" s="28"/>
      <c r="UO76" s="28"/>
      <c r="UP76" s="28"/>
      <c r="UQ76" s="28"/>
      <c r="UR76" s="28"/>
      <c r="US76" s="28"/>
      <c r="UT76" s="28"/>
      <c r="UU76" s="28"/>
      <c r="UV76" s="28"/>
      <c r="UW76" s="28"/>
      <c r="UX76" s="28"/>
      <c r="UY76" s="28"/>
      <c r="UZ76" s="28"/>
      <c r="VA76" s="28"/>
      <c r="VB76" s="28"/>
      <c r="VC76" s="28"/>
      <c r="VD76" s="28"/>
      <c r="VE76" s="28"/>
      <c r="VF76" s="28"/>
      <c r="VG76" s="28"/>
      <c r="VH76" s="28"/>
      <c r="VI76" s="28"/>
      <c r="VJ76" s="28"/>
      <c r="VK76" s="28"/>
      <c r="VL76" s="28"/>
      <c r="VM76" s="28"/>
      <c r="VN76" s="28"/>
      <c r="VO76" s="28"/>
      <c r="VP76" s="28"/>
      <c r="VQ76" s="28"/>
      <c r="VR76" s="28"/>
      <c r="VS76" s="28"/>
      <c r="VT76" s="28"/>
      <c r="VU76" s="28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T76" s="113"/>
      <c r="ABU76" s="113"/>
      <c r="ABV76" s="113"/>
      <c r="ABW76" s="113"/>
      <c r="ABX76" s="113"/>
      <c r="ABY76" s="113"/>
      <c r="ABZ76" s="113"/>
      <c r="ACA76" s="113"/>
      <c r="ACB76" s="113"/>
      <c r="ACC76" s="113"/>
      <c r="ACD76" s="113"/>
      <c r="ACE76" s="113"/>
      <c r="ACF76" s="113"/>
      <c r="ACG76" s="113"/>
      <c r="ACH76" s="113"/>
      <c r="ACI76" s="113"/>
      <c r="ACJ76" s="113"/>
      <c r="ACK76" s="113"/>
      <c r="ACL76" s="113"/>
      <c r="ACM76" s="113"/>
      <c r="ACN76" s="113"/>
      <c r="ACO76" s="113"/>
      <c r="ACP76" s="113"/>
      <c r="ACQ76" s="113"/>
      <c r="ACR76" s="113"/>
      <c r="ACS76" s="113"/>
      <c r="ACT76" s="113"/>
      <c r="ACU76" s="113"/>
      <c r="ACV76" s="113"/>
      <c r="ACW76" s="113"/>
      <c r="ACX76" s="113"/>
      <c r="ACY76" s="113"/>
      <c r="ACZ76" s="113"/>
      <c r="ADA76" s="113"/>
      <c r="ADB76" s="113"/>
      <c r="ADC76" s="113"/>
      <c r="ADD76" s="113"/>
      <c r="ADE76" s="113"/>
      <c r="ADF76" s="113"/>
      <c r="ADG76" s="113"/>
      <c r="ADH76" s="113"/>
      <c r="ADI76" s="113"/>
      <c r="ADJ76" s="113"/>
      <c r="ADK76" s="113"/>
      <c r="ADL76" s="113"/>
      <c r="ADM76" s="113"/>
      <c r="ADN76" s="113"/>
      <c r="ADO76" s="113"/>
      <c r="ADP76" s="113"/>
      <c r="ADQ76" s="113"/>
      <c r="ADR76" s="113"/>
      <c r="ADS76" s="113"/>
      <c r="ADT76" s="113"/>
      <c r="ADU76" s="113"/>
      <c r="ADV76" s="113"/>
      <c r="ADW76" s="113"/>
      <c r="ADX76" s="113"/>
      <c r="ADY76" s="113"/>
      <c r="ADZ76" s="113"/>
      <c r="AEA76" s="113"/>
      <c r="AEB76" s="113"/>
      <c r="AEC76" s="113"/>
      <c r="AED76" s="113"/>
      <c r="AEE76" s="113"/>
      <c r="AEF76" s="113"/>
      <c r="AEG76" s="113"/>
      <c r="AEH76" s="113"/>
      <c r="AEI76" s="113"/>
      <c r="AEJ76" s="113"/>
      <c r="AEK76" s="113"/>
      <c r="AEL76" s="113"/>
      <c r="AEM76" s="113"/>
      <c r="AEN76" s="113"/>
      <c r="AEO76" s="113"/>
      <c r="AEP76" s="113"/>
      <c r="AEQ76" s="113"/>
      <c r="AER76" s="113"/>
      <c r="AES76" s="113"/>
      <c r="AET76" s="113"/>
      <c r="AEU76" s="113"/>
      <c r="AEV76" s="113"/>
      <c r="AEW76" s="113"/>
      <c r="AEX76" s="113"/>
      <c r="AEY76" s="113"/>
      <c r="AEZ76" s="113"/>
      <c r="AFA76" s="113"/>
      <c r="AFB76" s="113"/>
      <c r="AFC76" s="113"/>
      <c r="AFD76" s="113"/>
      <c r="AFE76" s="113"/>
      <c r="AFF76" s="113"/>
      <c r="AFG76" s="113"/>
      <c r="AFH76" s="113"/>
      <c r="AFI76" s="113"/>
      <c r="AFJ76" s="113"/>
      <c r="AFK76" s="113"/>
      <c r="AFL76" s="113"/>
      <c r="AFM76" s="113"/>
      <c r="AFN76" s="113"/>
      <c r="AFO76" s="113"/>
      <c r="AFP76" s="113"/>
      <c r="AFQ76" s="113"/>
      <c r="AFR76" s="113"/>
      <c r="AFS76" s="113"/>
      <c r="AFT76" s="113"/>
      <c r="AFU76" s="113"/>
      <c r="AFV76" s="113"/>
      <c r="AFW76" s="113"/>
      <c r="AFX76" s="113"/>
      <c r="AFY76" s="113"/>
      <c r="AFZ76" s="113"/>
      <c r="AGA76" s="113"/>
      <c r="AGB76" s="113"/>
      <c r="AGC76" s="113"/>
      <c r="AGD76" s="113"/>
      <c r="AGE76" s="113"/>
      <c r="AGF76" s="113"/>
      <c r="AGG76" s="113"/>
      <c r="AGH76" s="113"/>
      <c r="AGI76" s="113"/>
      <c r="AGJ76" s="113"/>
      <c r="AGK76" s="113"/>
      <c r="AGL76" s="113"/>
      <c r="AGM76" s="113"/>
      <c r="AGN76" s="113"/>
      <c r="AGO76" s="113"/>
      <c r="AGP76" s="113"/>
      <c r="AGQ76" s="113"/>
      <c r="AGR76" s="113"/>
      <c r="AGS76" s="113"/>
      <c r="AGT76" s="113"/>
      <c r="AGU76" s="113"/>
      <c r="AGV76" s="113"/>
      <c r="AGW76" s="113"/>
      <c r="AGX76" s="113"/>
      <c r="AGY76" s="113"/>
      <c r="AGZ76" s="113"/>
      <c r="AHA76" s="113"/>
      <c r="AHB76" s="113"/>
      <c r="AHC76" s="113"/>
      <c r="AHD76" s="113"/>
      <c r="AHE76" s="113"/>
      <c r="AHF76" s="113"/>
      <c r="AHG76" s="113"/>
      <c r="AHH76" s="113"/>
      <c r="AHI76" s="113"/>
      <c r="AHJ76" s="113"/>
      <c r="AHK76" s="113"/>
      <c r="AHL76" s="113"/>
      <c r="AHM76" s="113"/>
      <c r="AHN76" s="113"/>
      <c r="AHO76" s="113"/>
      <c r="AHP76" s="113"/>
      <c r="AHQ76" s="113"/>
      <c r="AHR76" s="113"/>
      <c r="AHS76" s="113"/>
      <c r="AHT76" s="113"/>
      <c r="AHU76" s="113"/>
      <c r="AHV76" s="113"/>
      <c r="AHW76" s="113"/>
      <c r="AHX76" s="113"/>
      <c r="AHY76" s="113"/>
      <c r="AHZ76" s="113"/>
      <c r="AIA76" s="113"/>
      <c r="AIB76" s="113"/>
      <c r="AIC76" s="113"/>
      <c r="AID76" s="113"/>
      <c r="AIE76" s="113"/>
      <c r="AIF76" s="113"/>
      <c r="AIG76" s="113"/>
      <c r="AIH76" s="113"/>
      <c r="AII76" s="113"/>
      <c r="AIJ76" s="113"/>
      <c r="AIK76" s="113"/>
      <c r="AIL76" s="113"/>
      <c r="AIM76" s="113"/>
      <c r="AIN76" s="113"/>
      <c r="AIO76" s="113"/>
      <c r="AIP76" s="113"/>
      <c r="AIQ76" s="113"/>
      <c r="AIR76" s="113"/>
      <c r="AIS76" s="113"/>
      <c r="AIT76" s="113"/>
      <c r="AIU76" s="113"/>
      <c r="AIV76" s="113"/>
      <c r="AIW76" s="113"/>
      <c r="AIX76" s="113"/>
      <c r="AIY76" s="113"/>
      <c r="AIZ76" s="113"/>
      <c r="AJA76" s="113"/>
      <c r="AJB76" s="113"/>
      <c r="AJC76" s="113"/>
      <c r="AJD76" s="113"/>
      <c r="AJE76" s="113"/>
      <c r="AJF76" s="113"/>
      <c r="AJG76" s="113"/>
      <c r="AJH76" s="113"/>
      <c r="AJI76" s="113"/>
      <c r="AJJ76" s="113"/>
      <c r="AJK76" s="113"/>
      <c r="AJL76" s="113"/>
      <c r="AJM76" s="113"/>
      <c r="AJN76" s="113"/>
      <c r="AJO76" s="113"/>
      <c r="AJP76" s="113"/>
      <c r="AJQ76" s="113"/>
      <c r="AJR76" s="113"/>
      <c r="AJS76" s="113"/>
      <c r="AJT76" s="113"/>
      <c r="AJU76" s="113"/>
      <c r="AJV76" s="113"/>
      <c r="AJW76" s="113"/>
      <c r="AJX76" s="113"/>
      <c r="AJY76" s="113"/>
      <c r="AJZ76" s="113"/>
      <c r="AKA76" s="113"/>
      <c r="AKB76" s="113"/>
      <c r="AKC76" s="113"/>
      <c r="AKD76" s="113"/>
      <c r="AKE76" s="113"/>
      <c r="AKF76" s="113"/>
      <c r="AKG76" s="113"/>
      <c r="AKH76" s="113"/>
      <c r="AKI76" s="113"/>
      <c r="AKJ76" s="113"/>
      <c r="AKK76" s="113"/>
      <c r="AKL76" s="113"/>
      <c r="AKM76" s="113"/>
      <c r="AKN76" s="113"/>
      <c r="AKO76" s="113"/>
      <c r="AKP76" s="113"/>
      <c r="AKQ76" s="113"/>
      <c r="AKR76" s="113"/>
      <c r="AKS76" s="113"/>
      <c r="AKT76" s="113"/>
      <c r="AKU76" s="113"/>
      <c r="AKV76" s="113"/>
      <c r="AKW76" s="113"/>
      <c r="AKX76" s="113"/>
      <c r="AKY76" s="113"/>
      <c r="AKZ76" s="113"/>
      <c r="ALA76" s="113"/>
      <c r="ALB76" s="113"/>
      <c r="ALC76" s="113"/>
      <c r="ALD76" s="113"/>
      <c r="ALE76" s="113"/>
      <c r="ALF76" s="113"/>
      <c r="ALG76" s="113"/>
      <c r="ALH76" s="113"/>
      <c r="ALI76" s="113"/>
      <c r="ALJ76" s="113"/>
      <c r="ALK76" s="113"/>
      <c r="ALL76" s="113"/>
      <c r="ALM76" s="113"/>
      <c r="ALN76" s="113"/>
      <c r="ALO76" s="113"/>
      <c r="ALP76" s="113"/>
      <c r="ALQ76" s="113"/>
      <c r="ALR76" s="113"/>
      <c r="ALS76" s="113"/>
      <c r="ALT76" s="113"/>
      <c r="ALU76" s="113"/>
      <c r="ALV76" s="113"/>
      <c r="ALW76" s="113"/>
      <c r="ALX76" s="113"/>
      <c r="ALY76" s="113"/>
      <c r="ALZ76" s="113"/>
      <c r="AMA76" s="113"/>
      <c r="AMB76" s="113"/>
      <c r="AMC76" s="113"/>
      <c r="AMD76" s="113"/>
      <c r="AME76" s="113"/>
      <c r="AMF76" s="113"/>
      <c r="AMG76" s="113"/>
      <c r="AMH76" s="113"/>
      <c r="AMI76" s="113"/>
      <c r="AMJ76" s="113"/>
      <c r="AMK76" s="113"/>
      <c r="AML76" s="113"/>
      <c r="AMM76" s="113"/>
      <c r="AMN76" s="113"/>
      <c r="AMO76" s="113"/>
      <c r="AMP76" s="113"/>
      <c r="AMQ76" s="113"/>
      <c r="AMR76" s="113"/>
      <c r="AMS76" s="113"/>
      <c r="AMT76" s="113"/>
      <c r="AMU76" s="113"/>
      <c r="AMV76" s="113"/>
      <c r="AMW76" s="113"/>
      <c r="AMX76" s="113"/>
      <c r="AMY76" s="113"/>
      <c r="AMZ76" s="113"/>
      <c r="ANA76" s="113"/>
      <c r="ANB76" s="113"/>
      <c r="ANC76" s="113"/>
      <c r="AND76" s="113"/>
      <c r="ANE76" s="113"/>
      <c r="ANF76" s="113"/>
      <c r="ANG76" s="113"/>
      <c r="ANH76" s="113"/>
      <c r="ANI76" s="113"/>
      <c r="ANJ76" s="113"/>
      <c r="ANK76" s="113"/>
      <c r="ANL76" s="113"/>
      <c r="ANM76" s="113"/>
      <c r="ANN76" s="113"/>
      <c r="ANO76" s="113"/>
      <c r="ANP76" s="113"/>
      <c r="ANQ76" s="113"/>
      <c r="ANR76" s="113"/>
      <c r="ANS76" s="113"/>
      <c r="ANT76" s="113"/>
      <c r="ANU76" s="113"/>
      <c r="ANV76" s="113"/>
      <c r="ANW76" s="113"/>
      <c r="ANX76" s="113"/>
      <c r="ANY76" s="113"/>
      <c r="ANZ76" s="113"/>
      <c r="AOA76" s="113"/>
      <c r="AOB76" s="113"/>
      <c r="AOC76" s="113"/>
      <c r="AOD76" s="113"/>
      <c r="AOE76" s="113"/>
      <c r="AOF76" s="113"/>
      <c r="AOG76" s="113"/>
      <c r="AOH76" s="113"/>
      <c r="AOI76" s="113"/>
      <c r="AOJ76" s="113"/>
      <c r="AOK76" s="113"/>
      <c r="AOL76" s="113"/>
      <c r="AOM76" s="113"/>
      <c r="AON76" s="113"/>
      <c r="AOO76" s="113"/>
      <c r="AOP76" s="113"/>
      <c r="AOQ76" s="113"/>
      <c r="AOR76" s="113"/>
      <c r="AOS76" s="113"/>
      <c r="AOT76" s="113"/>
      <c r="AOU76" s="113"/>
      <c r="AOV76" s="113"/>
      <c r="AOW76" s="113"/>
      <c r="AOX76" s="113"/>
      <c r="AOY76" s="113"/>
      <c r="AOZ76" s="113"/>
      <c r="APA76" s="113"/>
      <c r="APB76" s="113"/>
      <c r="APC76" s="113"/>
      <c r="APD76" s="113"/>
      <c r="APE76" s="113"/>
      <c r="APF76" s="113"/>
      <c r="APG76" s="113"/>
      <c r="APH76" s="113"/>
      <c r="API76" s="113"/>
      <c r="APJ76" s="113"/>
      <c r="APK76" s="113"/>
      <c r="APL76" s="113"/>
      <c r="APM76" s="113"/>
      <c r="APN76" s="113"/>
      <c r="APO76" s="113"/>
      <c r="APP76" s="113"/>
      <c r="APQ76" s="113"/>
      <c r="APR76" s="113"/>
      <c r="APS76" s="113"/>
      <c r="APT76" s="113"/>
      <c r="APU76" s="113"/>
      <c r="APV76" s="113"/>
      <c r="APW76" s="113"/>
      <c r="APX76" s="113"/>
      <c r="APY76" s="113"/>
      <c r="APZ76" s="113"/>
      <c r="AQA76" s="113"/>
      <c r="AQB76" s="113"/>
      <c r="AQC76" s="113"/>
      <c r="AQD76" s="113"/>
      <c r="AQE76" s="113"/>
      <c r="AQF76" s="113"/>
      <c r="AQG76" s="113"/>
      <c r="AQH76" s="113"/>
      <c r="AQI76" s="113"/>
      <c r="AQJ76" s="113"/>
      <c r="AQK76" s="113"/>
      <c r="AQL76" s="113"/>
      <c r="AQM76" s="113"/>
      <c r="AQN76" s="113"/>
      <c r="AQO76" s="113"/>
      <c r="AQP76" s="113"/>
      <c r="AQQ76" s="113"/>
      <c r="AQR76" s="113"/>
      <c r="AQS76" s="113"/>
      <c r="AQT76" s="113"/>
      <c r="AQU76" s="113"/>
      <c r="AQV76" s="113"/>
      <c r="AQW76" s="113"/>
      <c r="AQX76" s="113"/>
      <c r="AQY76" s="113"/>
      <c r="AQZ76" s="113"/>
      <c r="ARA76" s="113"/>
      <c r="ARB76" s="113"/>
      <c r="ARC76" s="113"/>
      <c r="ARD76" s="113"/>
      <c r="ARE76" s="113"/>
      <c r="ARF76" s="113"/>
      <c r="ARG76" s="113"/>
      <c r="ARH76" s="113"/>
      <c r="ARI76" s="113"/>
      <c r="ARJ76" s="113"/>
      <c r="ARK76" s="113"/>
      <c r="ARL76" s="113"/>
      <c r="ARM76" s="113"/>
      <c r="ARN76" s="113"/>
      <c r="ARO76" s="113"/>
      <c r="ARP76" s="113"/>
      <c r="ARQ76" s="113"/>
      <c r="ARR76" s="113"/>
      <c r="ARS76" s="113"/>
      <c r="ART76" s="113"/>
      <c r="ARU76" s="113"/>
      <c r="ARV76" s="113"/>
      <c r="ARW76" s="113"/>
      <c r="ARX76" s="113"/>
      <c r="ARY76" s="113"/>
      <c r="ARZ76" s="113"/>
      <c r="ASA76" s="113"/>
      <c r="ASB76" s="113"/>
      <c r="ASC76" s="113"/>
      <c r="ASD76" s="113"/>
      <c r="ASE76" s="113"/>
      <c r="ASF76" s="113"/>
      <c r="ASG76" s="113"/>
      <c r="ASH76" s="113"/>
      <c r="ASI76" s="113"/>
      <c r="ASJ76" s="113"/>
      <c r="ASK76" s="113"/>
      <c r="ASL76" s="113"/>
      <c r="ASM76" s="113"/>
      <c r="ASN76" s="113"/>
      <c r="ASO76" s="113"/>
      <c r="ASP76" s="113"/>
      <c r="ASQ76" s="113"/>
      <c r="ASR76" s="113"/>
      <c r="ASS76" s="113"/>
      <c r="AST76" s="113"/>
      <c r="ASU76" s="113"/>
      <c r="ASV76" s="113"/>
      <c r="ASW76" s="113"/>
      <c r="ASX76" s="113"/>
      <c r="ASY76" s="113"/>
      <c r="ASZ76" s="113"/>
      <c r="ATA76" s="113"/>
      <c r="ATB76" s="113"/>
      <c r="ATC76" s="113"/>
      <c r="ATD76" s="113"/>
      <c r="ATE76" s="113"/>
      <c r="ATF76" s="113"/>
      <c r="ATG76" s="113"/>
      <c r="ATH76" s="113"/>
      <c r="ATI76" s="113"/>
      <c r="ATJ76" s="113"/>
      <c r="ATK76" s="113"/>
      <c r="ATL76" s="113"/>
      <c r="ATM76" s="113"/>
      <c r="ATN76" s="113"/>
      <c r="ATO76" s="113"/>
      <c r="ATP76" s="113"/>
      <c r="ATQ76" s="113"/>
      <c r="ATR76" s="113"/>
      <c r="ATS76" s="113"/>
      <c r="ATT76" s="113"/>
      <c r="ATU76" s="113"/>
      <c r="ATV76" s="113"/>
      <c r="ATW76" s="113"/>
      <c r="ATX76" s="113"/>
      <c r="ATY76" s="113"/>
      <c r="ATZ76" s="113"/>
      <c r="AUA76" s="113"/>
      <c r="AUB76" s="113"/>
      <c r="AUC76" s="113"/>
      <c r="AUD76" s="113"/>
      <c r="AUE76" s="113"/>
      <c r="AUF76" s="113"/>
      <c r="AUG76" s="113"/>
      <c r="AUH76" s="113"/>
      <c r="AUI76" s="113"/>
      <c r="AUJ76" s="113"/>
      <c r="AUK76" s="113"/>
      <c r="AUL76" s="113"/>
      <c r="AUM76" s="113"/>
      <c r="AUN76" s="113"/>
      <c r="AUO76" s="113"/>
      <c r="AUP76" s="113"/>
      <c r="AUQ76" s="113"/>
      <c r="AUR76" s="113"/>
      <c r="AUS76" s="113"/>
      <c r="AUT76" s="113"/>
      <c r="AUU76" s="113"/>
      <c r="AUV76" s="113"/>
      <c r="AUW76" s="113"/>
      <c r="AUX76" s="113"/>
      <c r="AUY76" s="113"/>
      <c r="AUZ76" s="113"/>
      <c r="AVA76" s="113"/>
      <c r="AVB76" s="113"/>
      <c r="AVC76" s="113"/>
      <c r="AVD76" s="113"/>
      <c r="AVE76" s="113"/>
      <c r="AVF76" s="113"/>
      <c r="AVG76" s="113"/>
      <c r="AVH76" s="113"/>
      <c r="AVI76" s="113"/>
      <c r="AVJ76" s="113"/>
      <c r="AVK76" s="113"/>
      <c r="AVL76" s="113"/>
      <c r="AVM76" s="113"/>
      <c r="AVN76" s="113"/>
      <c r="AVO76" s="113"/>
      <c r="AVP76" s="113"/>
      <c r="AVQ76" s="113"/>
      <c r="AVR76" s="113"/>
      <c r="AVS76" s="113"/>
      <c r="AVT76" s="113"/>
      <c r="AVU76" s="113"/>
      <c r="AVV76" s="113"/>
      <c r="AVW76" s="113"/>
      <c r="AVX76" s="113"/>
      <c r="AVY76" s="113"/>
      <c r="AVZ76" s="113"/>
      <c r="AWA76" s="113"/>
      <c r="AWB76" s="113"/>
      <c r="AWC76" s="113"/>
      <c r="AWD76" s="113"/>
      <c r="AWE76" s="113"/>
      <c r="AWF76" s="113"/>
      <c r="AWG76" s="113"/>
      <c r="AWH76" s="113"/>
      <c r="AWI76" s="113"/>
      <c r="AWJ76" s="113"/>
      <c r="AWK76" s="113"/>
      <c r="AWL76" s="113"/>
      <c r="AWM76" s="113"/>
      <c r="AWN76" s="113"/>
      <c r="AWO76" s="113"/>
      <c r="AWP76" s="113"/>
      <c r="AWQ76" s="113"/>
      <c r="AWR76" s="113"/>
      <c r="AWS76" s="113"/>
      <c r="AWT76" s="113"/>
      <c r="AWU76" s="113"/>
      <c r="AWV76" s="113"/>
      <c r="AWW76" s="113"/>
      <c r="AWX76" s="113"/>
      <c r="AWY76" s="113"/>
      <c r="AWZ76" s="113"/>
      <c r="AXA76" s="113"/>
      <c r="AXB76" s="113"/>
      <c r="AXC76" s="113"/>
      <c r="AXD76" s="113"/>
      <c r="AXE76" s="113"/>
      <c r="AXF76" s="113"/>
      <c r="AXG76" s="113"/>
      <c r="AXH76" s="113"/>
      <c r="AXI76" s="113"/>
      <c r="AXJ76" s="113"/>
      <c r="AXK76" s="113"/>
      <c r="AXL76" s="113"/>
      <c r="AXM76" s="113"/>
      <c r="AXN76" s="113"/>
      <c r="AXO76" s="113"/>
      <c r="AXP76" s="113"/>
      <c r="AXQ76" s="113"/>
      <c r="AXR76" s="113"/>
      <c r="AXS76" s="113"/>
      <c r="AXT76" s="113"/>
      <c r="AXU76" s="113"/>
      <c r="AXV76" s="113"/>
      <c r="AXW76" s="113"/>
      <c r="AXX76" s="113"/>
      <c r="AXY76" s="113"/>
      <c r="AXZ76" s="113"/>
      <c r="AYA76" s="113"/>
      <c r="AYB76" s="113"/>
      <c r="AYC76" s="113"/>
      <c r="AYD76" s="113"/>
      <c r="AYE76" s="113"/>
      <c r="AYF76" s="113"/>
      <c r="AYG76" s="113"/>
      <c r="AYH76" s="113"/>
      <c r="AYI76" s="113"/>
      <c r="AYJ76" s="113"/>
      <c r="AYK76" s="113"/>
      <c r="AYL76" s="113"/>
      <c r="AYM76" s="113"/>
      <c r="AYN76" s="113"/>
      <c r="AYO76" s="113"/>
      <c r="AYP76" s="113"/>
      <c r="AYQ76" s="113"/>
      <c r="AYR76" s="113"/>
      <c r="AYS76" s="113"/>
      <c r="AYT76" s="113"/>
      <c r="AYU76" s="113"/>
      <c r="AYV76" s="113"/>
      <c r="AYW76" s="113"/>
      <c r="AYX76" s="113"/>
      <c r="AYY76" s="113"/>
      <c r="AYZ76" s="113"/>
      <c r="AZA76" s="113"/>
      <c r="AZB76" s="113"/>
      <c r="AZC76" s="113"/>
      <c r="AZD76" s="113"/>
      <c r="AZE76" s="113"/>
      <c r="AZF76" s="113"/>
      <c r="AZG76" s="113"/>
      <c r="AZH76" s="113"/>
      <c r="AZI76" s="113"/>
      <c r="AZJ76" s="113"/>
      <c r="AZK76" s="113"/>
      <c r="AZL76" s="113"/>
      <c r="AZM76" s="113"/>
      <c r="AZN76" s="113"/>
      <c r="AZO76" s="113"/>
      <c r="AZP76" s="113"/>
      <c r="AZQ76" s="113"/>
      <c r="AZR76" s="113"/>
      <c r="AZS76" s="113"/>
      <c r="AZT76" s="113"/>
      <c r="AZU76" s="113"/>
      <c r="AZV76" s="113"/>
      <c r="AZW76" s="113"/>
      <c r="AZX76" s="113"/>
      <c r="AZY76" s="113"/>
      <c r="AZZ76" s="113"/>
      <c r="BAA76" s="113"/>
      <c r="BAB76" s="113"/>
      <c r="BAC76" s="113"/>
      <c r="BAD76" s="113"/>
      <c r="BAE76" s="113"/>
      <c r="BAF76" s="113"/>
      <c r="BAG76" s="113"/>
      <c r="BAH76" s="113"/>
      <c r="BAI76" s="113"/>
      <c r="BAJ76" s="113"/>
      <c r="BAK76" s="113"/>
      <c r="BAL76" s="113"/>
      <c r="BAM76" s="113"/>
      <c r="BAN76" s="113"/>
      <c r="BAO76" s="113"/>
      <c r="BAP76" s="113"/>
      <c r="BAQ76" s="113"/>
      <c r="BAR76" s="113"/>
      <c r="BAS76" s="113"/>
      <c r="BAT76" s="113"/>
      <c r="BAU76" s="113"/>
      <c r="BAV76" s="113"/>
      <c r="BAW76" s="113"/>
      <c r="BAX76" s="113"/>
      <c r="BAY76" s="113"/>
      <c r="BAZ76" s="113"/>
      <c r="BBA76" s="113"/>
      <c r="BBB76" s="113"/>
      <c r="BBC76" s="113"/>
      <c r="BBD76" s="113"/>
      <c r="BBE76" s="113"/>
      <c r="BBF76" s="113"/>
      <c r="BBG76" s="113"/>
      <c r="BBH76" s="113"/>
      <c r="BBI76" s="113"/>
      <c r="BBJ76" s="113"/>
      <c r="BBK76" s="113"/>
      <c r="BBL76" s="113"/>
      <c r="BBM76" s="113"/>
      <c r="BBN76" s="113"/>
      <c r="BBO76" s="113"/>
      <c r="BBP76" s="113"/>
      <c r="BBQ76" s="113"/>
      <c r="BBR76" s="113"/>
      <c r="BBS76" s="113"/>
      <c r="BBT76" s="113"/>
      <c r="BBU76" s="113"/>
      <c r="BBV76" s="113"/>
      <c r="BBW76" s="113"/>
      <c r="BBX76" s="113"/>
      <c r="BBY76" s="113"/>
      <c r="BBZ76" s="113"/>
      <c r="BCA76" s="113"/>
      <c r="BCB76" s="113"/>
      <c r="BCC76" s="113"/>
      <c r="BCD76" s="113"/>
      <c r="BCE76" s="113"/>
      <c r="BCF76" s="113"/>
      <c r="BCG76" s="113"/>
      <c r="BCH76" s="113"/>
      <c r="BCI76" s="113"/>
      <c r="BCJ76" s="113"/>
      <c r="BCK76" s="113"/>
      <c r="BCL76" s="113"/>
      <c r="BCM76" s="113"/>
      <c r="BCN76" s="113"/>
      <c r="BCO76" s="113"/>
      <c r="BCP76" s="113"/>
      <c r="BCQ76" s="113"/>
      <c r="BCR76" s="113"/>
      <c r="BCS76" s="113"/>
      <c r="BCT76" s="113"/>
      <c r="BCU76" s="113"/>
      <c r="BCV76" s="113"/>
      <c r="BCW76" s="113"/>
      <c r="BCX76" s="113"/>
      <c r="BCY76" s="113"/>
      <c r="BCZ76" s="113"/>
      <c r="BDA76" s="113"/>
      <c r="BDB76" s="113"/>
      <c r="BDC76" s="113"/>
      <c r="BDD76" s="113"/>
      <c r="BDE76" s="113"/>
      <c r="BDF76" s="113"/>
      <c r="BDG76" s="113"/>
      <c r="BDH76" s="113"/>
      <c r="BDI76" s="113"/>
      <c r="BDJ76" s="113"/>
      <c r="BDK76" s="113"/>
      <c r="BDL76" s="113"/>
      <c r="BDM76" s="113"/>
      <c r="BDN76" s="113"/>
      <c r="BDO76" s="113"/>
      <c r="BDP76" s="113"/>
      <c r="BDQ76" s="113"/>
      <c r="BDR76" s="113"/>
      <c r="BDS76" s="113"/>
      <c r="BDT76" s="113"/>
      <c r="BDU76" s="113"/>
      <c r="BDV76" s="113"/>
      <c r="BDW76" s="113"/>
      <c r="BDX76" s="113"/>
      <c r="BDY76" s="113"/>
      <c r="BDZ76" s="113"/>
      <c r="BEA76" s="113"/>
      <c r="BEB76" s="113"/>
      <c r="BEC76" s="113"/>
      <c r="BED76" s="113"/>
      <c r="BEE76" s="113"/>
      <c r="BEF76" s="113"/>
      <c r="BEG76" s="113"/>
      <c r="BEH76" s="113"/>
      <c r="BEI76" s="113"/>
      <c r="BEJ76" s="113"/>
      <c r="BEK76" s="113"/>
      <c r="BEL76" s="113"/>
      <c r="BEM76" s="113"/>
      <c r="BEN76" s="113"/>
      <c r="BEO76" s="113"/>
      <c r="BEP76" s="113"/>
      <c r="BEQ76" s="113"/>
      <c r="BER76" s="113"/>
      <c r="BES76" s="113"/>
      <c r="BET76" s="113"/>
      <c r="BEU76" s="113"/>
      <c r="BEV76" s="113"/>
      <c r="BEW76" s="113"/>
      <c r="BEX76" s="113"/>
      <c r="BEY76" s="113"/>
      <c r="BEZ76" s="113"/>
      <c r="BFA76" s="113"/>
      <c r="BFB76" s="113"/>
      <c r="BFC76" s="113"/>
      <c r="BFD76" s="113"/>
      <c r="BFE76" s="113"/>
      <c r="BFF76" s="113"/>
      <c r="BFG76" s="113"/>
      <c r="BFH76" s="113"/>
      <c r="BFI76" s="113"/>
      <c r="BFJ76" s="113"/>
      <c r="BFK76" s="113"/>
      <c r="BFL76" s="113"/>
      <c r="BFM76" s="113"/>
      <c r="BFN76" s="113"/>
      <c r="BFO76" s="113"/>
      <c r="BFP76" s="113"/>
      <c r="BFQ76" s="113"/>
      <c r="BFR76" s="113"/>
      <c r="BFS76" s="113"/>
      <c r="BFT76" s="113"/>
      <c r="BFU76" s="113"/>
      <c r="BFV76" s="113"/>
      <c r="BFW76" s="113"/>
      <c r="BFX76" s="113"/>
      <c r="BFY76" s="113"/>
      <c r="BFZ76" s="113"/>
      <c r="BGA76" s="113"/>
      <c r="BGB76" s="113"/>
      <c r="BGC76" s="113"/>
      <c r="BGD76" s="113"/>
      <c r="BGE76" s="113"/>
      <c r="BGF76" s="113"/>
      <c r="BGG76" s="113"/>
      <c r="BGH76" s="113"/>
      <c r="BGI76" s="113"/>
      <c r="BGJ76" s="113"/>
      <c r="BGK76" s="113"/>
      <c r="BGL76" s="113"/>
      <c r="BGM76" s="113"/>
      <c r="BGN76" s="113"/>
      <c r="BGO76" s="113"/>
      <c r="BGP76" s="113"/>
      <c r="BGQ76" s="113"/>
      <c r="BGR76" s="113"/>
      <c r="BGS76" s="113"/>
      <c r="BGT76" s="113"/>
      <c r="BGU76" s="113"/>
      <c r="BGV76" s="113"/>
      <c r="BGW76" s="113"/>
      <c r="BGX76" s="113"/>
      <c r="BGY76" s="113"/>
      <c r="BGZ76" s="113"/>
      <c r="BHA76" s="113"/>
      <c r="BHB76" s="113"/>
      <c r="BHC76" s="113"/>
      <c r="BHD76" s="113"/>
      <c r="BHE76" s="113"/>
      <c r="BHF76" s="113"/>
      <c r="BHG76" s="113"/>
      <c r="BHH76" s="113"/>
      <c r="BHI76" s="113"/>
      <c r="BHJ76" s="113"/>
      <c r="BHK76" s="113"/>
      <c r="BHL76" s="113"/>
      <c r="BHM76" s="113"/>
      <c r="BHN76" s="113"/>
      <c r="BHO76" s="113"/>
      <c r="BHP76" s="113"/>
      <c r="BHQ76" s="113"/>
      <c r="BHR76" s="113"/>
      <c r="BHS76" s="113"/>
      <c r="BHT76" s="113"/>
      <c r="BHU76" s="113"/>
      <c r="BHV76" s="113"/>
      <c r="BHW76" s="113"/>
      <c r="BHX76" s="113"/>
      <c r="BHY76" s="113"/>
      <c r="BHZ76" s="113"/>
      <c r="BIA76" s="113"/>
      <c r="BIB76" s="113"/>
      <c r="BIC76" s="113"/>
      <c r="BID76" s="113"/>
      <c r="BIE76" s="113"/>
      <c r="BIF76" s="113"/>
      <c r="BIG76" s="113"/>
      <c r="BIH76" s="113"/>
      <c r="BII76" s="113"/>
      <c r="BIJ76" s="113"/>
      <c r="BIK76" s="113"/>
      <c r="BIL76" s="113"/>
      <c r="BIM76" s="113"/>
      <c r="BIN76" s="113"/>
      <c r="BIO76" s="113"/>
      <c r="BIP76" s="113"/>
      <c r="BIQ76" s="113"/>
      <c r="BIR76" s="113"/>
      <c r="BIS76" s="113"/>
      <c r="BIT76" s="113"/>
      <c r="BIU76" s="113"/>
      <c r="BIV76" s="113"/>
      <c r="BIW76" s="113"/>
      <c r="BIX76" s="113"/>
      <c r="BIY76" s="113"/>
      <c r="BIZ76" s="113"/>
      <c r="BJA76" s="113"/>
      <c r="BJB76" s="113"/>
      <c r="BJC76" s="113"/>
      <c r="BJD76" s="113"/>
      <c r="BJE76" s="113"/>
      <c r="BJF76" s="113"/>
      <c r="BJG76" s="113"/>
      <c r="BJH76" s="113"/>
      <c r="BJI76" s="113"/>
      <c r="BJJ76" s="113"/>
      <c r="BJK76" s="113"/>
      <c r="BJL76" s="113"/>
      <c r="BJM76" s="113"/>
      <c r="BJN76" s="113"/>
      <c r="BJO76" s="113"/>
      <c r="BJP76" s="113"/>
      <c r="BJQ76" s="113"/>
      <c r="BJR76" s="113"/>
      <c r="BJS76" s="113"/>
      <c r="BJT76" s="113"/>
      <c r="BJU76" s="113"/>
      <c r="BJV76" s="113"/>
      <c r="BJW76" s="113"/>
      <c r="BJX76" s="113"/>
      <c r="BJY76" s="113"/>
      <c r="BJZ76" s="113"/>
      <c r="BKA76" s="113"/>
      <c r="BKB76" s="113"/>
      <c r="BKC76" s="113"/>
      <c r="BKD76" s="113"/>
      <c r="BKE76" s="113"/>
      <c r="BKF76" s="113"/>
      <c r="BKG76" s="113"/>
      <c r="BKH76" s="113"/>
      <c r="BKI76" s="113"/>
      <c r="BKJ76" s="113"/>
      <c r="BKK76" s="113"/>
      <c r="BKL76" s="113"/>
      <c r="BKM76" s="113"/>
      <c r="BKN76" s="113"/>
      <c r="BKO76" s="113"/>
      <c r="BKP76" s="113"/>
      <c r="BKQ76" s="113"/>
      <c r="BKR76" s="113"/>
      <c r="BKS76" s="113"/>
      <c r="BKT76" s="113"/>
      <c r="BKU76" s="113"/>
      <c r="BKV76" s="113"/>
      <c r="BKW76" s="113"/>
      <c r="BKX76" s="113"/>
      <c r="BKY76" s="113"/>
      <c r="BKZ76" s="113"/>
      <c r="BLA76" s="113"/>
      <c r="BLB76" s="113"/>
      <c r="BLC76" s="113"/>
      <c r="BLD76" s="113"/>
      <c r="BLE76" s="113"/>
      <c r="BLF76" s="113"/>
      <c r="BLG76" s="113"/>
      <c r="BLH76" s="113"/>
      <c r="BLI76" s="113"/>
      <c r="BLJ76" s="113"/>
      <c r="BLK76" s="113"/>
      <c r="BLL76" s="113"/>
      <c r="BLM76" s="113"/>
      <c r="BLN76" s="113"/>
      <c r="BLO76" s="113"/>
      <c r="BLP76" s="113"/>
      <c r="BLQ76" s="113"/>
      <c r="BLR76" s="113"/>
      <c r="BLS76" s="113"/>
      <c r="BLT76" s="113"/>
      <c r="BLU76" s="113"/>
      <c r="BLV76" s="113"/>
      <c r="BLW76" s="113"/>
      <c r="BLX76" s="113"/>
      <c r="BLY76" s="113"/>
      <c r="BLZ76" s="113"/>
      <c r="BMA76" s="113"/>
      <c r="BMB76" s="113"/>
      <c r="BMC76" s="113"/>
      <c r="BMD76" s="113"/>
      <c r="BME76" s="113"/>
      <c r="BMF76" s="113"/>
      <c r="BMG76" s="113"/>
      <c r="BMH76" s="113"/>
      <c r="BMI76" s="113"/>
      <c r="BMJ76" s="113"/>
      <c r="BMK76" s="113"/>
      <c r="BML76" s="113"/>
      <c r="BMM76" s="113"/>
      <c r="BMN76" s="113"/>
      <c r="BMO76" s="113"/>
      <c r="BMP76" s="113"/>
      <c r="BMQ76" s="113"/>
      <c r="BMR76" s="113"/>
      <c r="BMS76" s="113"/>
      <c r="BMT76" s="113"/>
      <c r="BMU76" s="113"/>
      <c r="BMV76" s="113"/>
      <c r="BMW76" s="113"/>
      <c r="BMX76" s="113"/>
      <c r="BMY76" s="113"/>
      <c r="BMZ76" s="113"/>
      <c r="BNA76" s="113"/>
      <c r="BNB76" s="113"/>
      <c r="BNC76" s="113"/>
      <c r="BND76" s="113"/>
      <c r="BNE76" s="113"/>
      <c r="BNF76" s="113"/>
      <c r="BNG76" s="113"/>
      <c r="BNH76" s="113"/>
      <c r="BNI76" s="113"/>
      <c r="BNJ76" s="113"/>
      <c r="BNK76" s="113"/>
      <c r="BNL76" s="113"/>
      <c r="BNM76" s="113"/>
      <c r="BNN76" s="113"/>
      <c r="BNO76" s="113"/>
      <c r="BNP76" s="113"/>
      <c r="BNQ76" s="113"/>
      <c r="BNR76" s="113"/>
      <c r="BNS76" s="113"/>
      <c r="BNT76" s="113"/>
      <c r="BNU76" s="113"/>
      <c r="BNV76" s="113"/>
      <c r="BNW76" s="113"/>
      <c r="BNX76" s="113"/>
      <c r="BNY76" s="113"/>
      <c r="BNZ76" s="113"/>
      <c r="BOA76" s="113"/>
      <c r="BOB76" s="113"/>
      <c r="BOC76" s="113"/>
      <c r="BOD76" s="113"/>
      <c r="BOE76" s="113"/>
      <c r="BOF76" s="113"/>
      <c r="BOG76" s="113"/>
      <c r="BOH76" s="113"/>
      <c r="BOI76" s="113"/>
      <c r="BOJ76" s="113"/>
      <c r="BOK76" s="113"/>
      <c r="BOL76" s="113"/>
      <c r="BOM76" s="113"/>
      <c r="BON76" s="113"/>
      <c r="BOO76" s="113"/>
      <c r="BOP76" s="113"/>
      <c r="BOQ76" s="113"/>
      <c r="BOR76" s="113"/>
      <c r="BOS76" s="113"/>
      <c r="BOT76" s="113"/>
      <c r="BOU76" s="113"/>
      <c r="BOV76" s="113"/>
      <c r="BOW76" s="113"/>
      <c r="BOX76" s="113"/>
      <c r="BOY76" s="113"/>
      <c r="BOZ76" s="113"/>
      <c r="BPA76" s="113"/>
      <c r="BPB76" s="113"/>
      <c r="BPC76" s="113"/>
      <c r="BPD76" s="113"/>
      <c r="BPE76" s="113"/>
      <c r="BPF76" s="113"/>
      <c r="BPG76" s="113"/>
      <c r="BPH76" s="113"/>
      <c r="BPI76" s="113"/>
      <c r="BPJ76" s="113"/>
      <c r="BPK76" s="113"/>
      <c r="BPL76" s="113"/>
      <c r="BPM76" s="113"/>
      <c r="BPN76" s="113"/>
      <c r="BPO76" s="113"/>
      <c r="BPP76" s="113"/>
      <c r="BPQ76" s="113"/>
      <c r="BPR76" s="113"/>
      <c r="BPS76" s="113"/>
      <c r="BPT76" s="113"/>
      <c r="BPU76" s="113"/>
      <c r="BPV76" s="113"/>
      <c r="BPW76" s="113"/>
      <c r="BPX76" s="113"/>
      <c r="BPY76" s="113"/>
      <c r="BPZ76" s="113"/>
      <c r="BQA76" s="113"/>
      <c r="BQB76" s="113"/>
      <c r="BQC76" s="113"/>
      <c r="BQD76" s="113"/>
      <c r="BQE76" s="113"/>
      <c r="BQF76" s="113"/>
      <c r="BQG76" s="113"/>
      <c r="BQH76" s="113"/>
      <c r="BQI76" s="113"/>
      <c r="BQJ76" s="113"/>
      <c r="BQK76" s="113"/>
      <c r="BQL76" s="113"/>
      <c r="BQM76" s="113"/>
      <c r="BQN76" s="113"/>
      <c r="BQO76" s="113"/>
      <c r="BQP76" s="113"/>
      <c r="BQQ76" s="113"/>
      <c r="BQR76" s="113"/>
      <c r="BQS76" s="113"/>
      <c r="BQT76" s="113"/>
      <c r="BQU76" s="113"/>
      <c r="BQV76" s="113"/>
      <c r="BQW76" s="113"/>
      <c r="BQX76" s="113"/>
      <c r="BQY76" s="113"/>
      <c r="BQZ76" s="113"/>
      <c r="BRA76" s="113"/>
      <c r="BRB76" s="113"/>
    </row>
    <row r="77" spans="1:1822" s="38" customFormat="1" x14ac:dyDescent="0.3">
      <c r="A77" s="2"/>
      <c r="B77" s="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161"/>
      <c r="O77" s="161"/>
      <c r="P77" s="23"/>
      <c r="Q77" s="162">
        <f>SUM(Q64:Q75)</f>
        <v>0</v>
      </c>
      <c r="R77" s="162">
        <f t="shared" ref="R77:CC77" si="66">SUM(R72:R75)</f>
        <v>0</v>
      </c>
      <c r="S77" s="162">
        <f t="shared" si="66"/>
        <v>0</v>
      </c>
      <c r="T77" s="162">
        <f t="shared" si="66"/>
        <v>0</v>
      </c>
      <c r="U77" s="162">
        <f t="shared" si="66"/>
        <v>0</v>
      </c>
      <c r="V77" s="162">
        <f t="shared" si="66"/>
        <v>0</v>
      </c>
      <c r="W77" s="162">
        <f t="shared" si="66"/>
        <v>0</v>
      </c>
      <c r="X77" s="162">
        <f t="shared" si="66"/>
        <v>0</v>
      </c>
      <c r="Y77" s="162">
        <f t="shared" si="66"/>
        <v>0</v>
      </c>
      <c r="Z77" s="162">
        <f t="shared" si="66"/>
        <v>0</v>
      </c>
      <c r="AA77" s="162">
        <f t="shared" si="66"/>
        <v>0</v>
      </c>
      <c r="AB77" s="162">
        <f t="shared" si="66"/>
        <v>0</v>
      </c>
      <c r="AC77" s="162">
        <f t="shared" si="66"/>
        <v>0</v>
      </c>
      <c r="AD77" s="162">
        <f t="shared" si="66"/>
        <v>0</v>
      </c>
      <c r="AE77" s="162">
        <f t="shared" si="66"/>
        <v>0</v>
      </c>
      <c r="AF77" s="162">
        <f t="shared" si="66"/>
        <v>0</v>
      </c>
      <c r="AG77" s="162">
        <f t="shared" si="66"/>
        <v>0</v>
      </c>
      <c r="AH77" s="162">
        <f t="shared" si="66"/>
        <v>0</v>
      </c>
      <c r="AI77" s="162">
        <f t="shared" si="66"/>
        <v>0</v>
      </c>
      <c r="AJ77" s="162">
        <f t="shared" si="66"/>
        <v>0</v>
      </c>
      <c r="AK77" s="162">
        <f t="shared" si="66"/>
        <v>0</v>
      </c>
      <c r="AL77" s="162">
        <f t="shared" si="66"/>
        <v>0</v>
      </c>
      <c r="AM77" s="162">
        <f t="shared" si="66"/>
        <v>0</v>
      </c>
      <c r="AN77" s="162">
        <f t="shared" si="66"/>
        <v>0</v>
      </c>
      <c r="AO77" s="162">
        <f t="shared" si="66"/>
        <v>0</v>
      </c>
      <c r="AP77" s="162">
        <f t="shared" si="66"/>
        <v>0</v>
      </c>
      <c r="AQ77" s="162">
        <f t="shared" si="66"/>
        <v>0</v>
      </c>
      <c r="AR77" s="162">
        <f t="shared" si="66"/>
        <v>0</v>
      </c>
      <c r="AS77" s="162">
        <f t="shared" si="66"/>
        <v>0</v>
      </c>
      <c r="AT77" s="162">
        <f t="shared" si="66"/>
        <v>0</v>
      </c>
      <c r="AU77" s="162">
        <f t="shared" si="66"/>
        <v>0</v>
      </c>
      <c r="AV77" s="162">
        <f t="shared" si="66"/>
        <v>0</v>
      </c>
      <c r="AW77" s="162">
        <f t="shared" si="66"/>
        <v>0</v>
      </c>
      <c r="AX77" s="162">
        <f t="shared" si="66"/>
        <v>0</v>
      </c>
      <c r="AY77" s="162">
        <f t="shared" si="66"/>
        <v>0</v>
      </c>
      <c r="AZ77" s="162">
        <f t="shared" si="66"/>
        <v>0</v>
      </c>
      <c r="BA77" s="162">
        <f t="shared" si="66"/>
        <v>0</v>
      </c>
      <c r="BB77" s="162">
        <f t="shared" si="66"/>
        <v>0</v>
      </c>
      <c r="BC77" s="162">
        <f t="shared" si="66"/>
        <v>0</v>
      </c>
      <c r="BD77" s="162">
        <f t="shared" si="66"/>
        <v>0</v>
      </c>
      <c r="BE77" s="162">
        <f t="shared" si="66"/>
        <v>0</v>
      </c>
      <c r="BF77" s="162">
        <f t="shared" si="66"/>
        <v>0</v>
      </c>
      <c r="BG77" s="162">
        <f t="shared" si="66"/>
        <v>0</v>
      </c>
      <c r="BH77" s="162">
        <f t="shared" si="66"/>
        <v>0</v>
      </c>
      <c r="BI77" s="162">
        <f t="shared" si="66"/>
        <v>0</v>
      </c>
      <c r="BJ77" s="162">
        <f t="shared" si="66"/>
        <v>0</v>
      </c>
      <c r="BK77" s="162">
        <f t="shared" si="66"/>
        <v>0</v>
      </c>
      <c r="BL77" s="162">
        <f t="shared" si="66"/>
        <v>0</v>
      </c>
      <c r="BM77" s="162">
        <f t="shared" si="66"/>
        <v>0</v>
      </c>
      <c r="BN77" s="162">
        <f t="shared" si="66"/>
        <v>0</v>
      </c>
      <c r="BO77" s="162">
        <f t="shared" si="66"/>
        <v>0</v>
      </c>
      <c r="BP77" s="162">
        <f t="shared" si="66"/>
        <v>0</v>
      </c>
      <c r="BQ77" s="162">
        <f t="shared" si="66"/>
        <v>0</v>
      </c>
      <c r="BR77" s="162">
        <f t="shared" si="66"/>
        <v>0</v>
      </c>
      <c r="BS77" s="162">
        <f t="shared" si="66"/>
        <v>0</v>
      </c>
      <c r="BT77" s="162">
        <f t="shared" si="66"/>
        <v>0</v>
      </c>
      <c r="BU77" s="162">
        <f t="shared" si="66"/>
        <v>0</v>
      </c>
      <c r="BV77" s="162">
        <f t="shared" si="66"/>
        <v>0</v>
      </c>
      <c r="BW77" s="162">
        <f t="shared" si="66"/>
        <v>0</v>
      </c>
      <c r="BX77" s="162">
        <f t="shared" si="66"/>
        <v>0</v>
      </c>
      <c r="BY77" s="162">
        <f t="shared" si="66"/>
        <v>0</v>
      </c>
      <c r="BZ77" s="162">
        <f t="shared" si="66"/>
        <v>0</v>
      </c>
      <c r="CA77" s="162">
        <f t="shared" si="66"/>
        <v>0</v>
      </c>
      <c r="CB77" s="162">
        <f t="shared" si="66"/>
        <v>0</v>
      </c>
      <c r="CC77" s="162">
        <f t="shared" si="66"/>
        <v>0</v>
      </c>
      <c r="CD77" s="162">
        <f t="shared" ref="CD77:EO77" si="67">SUM(CD72:CD75)</f>
        <v>0</v>
      </c>
      <c r="CE77" s="162">
        <f t="shared" si="67"/>
        <v>0</v>
      </c>
      <c r="CF77" s="162">
        <f t="shared" si="67"/>
        <v>0</v>
      </c>
      <c r="CG77" s="162">
        <f t="shared" si="67"/>
        <v>0</v>
      </c>
      <c r="CH77" s="162">
        <f t="shared" si="67"/>
        <v>0</v>
      </c>
      <c r="CI77" s="162">
        <f t="shared" si="67"/>
        <v>0</v>
      </c>
      <c r="CJ77" s="162">
        <f t="shared" si="67"/>
        <v>0</v>
      </c>
      <c r="CK77" s="162">
        <f t="shared" si="67"/>
        <v>0</v>
      </c>
      <c r="CL77" s="162">
        <f t="shared" si="67"/>
        <v>0</v>
      </c>
      <c r="CM77" s="162">
        <f t="shared" si="67"/>
        <v>0</v>
      </c>
      <c r="CN77" s="162">
        <f t="shared" si="67"/>
        <v>0</v>
      </c>
      <c r="CO77" s="162">
        <f t="shared" si="67"/>
        <v>0</v>
      </c>
      <c r="CP77" s="162">
        <f t="shared" si="67"/>
        <v>0</v>
      </c>
      <c r="CQ77" s="162">
        <f t="shared" si="67"/>
        <v>0</v>
      </c>
      <c r="CR77" s="162">
        <f t="shared" si="67"/>
        <v>0</v>
      </c>
      <c r="CS77" s="162">
        <f t="shared" si="67"/>
        <v>0</v>
      </c>
      <c r="CT77" s="162">
        <f t="shared" si="67"/>
        <v>0</v>
      </c>
      <c r="CU77" s="162">
        <f t="shared" si="67"/>
        <v>0</v>
      </c>
      <c r="CV77" s="162">
        <f t="shared" si="67"/>
        <v>0</v>
      </c>
      <c r="CW77" s="162">
        <f t="shared" si="67"/>
        <v>0</v>
      </c>
      <c r="CX77" s="162">
        <f t="shared" si="67"/>
        <v>0</v>
      </c>
      <c r="CY77" s="162">
        <f t="shared" si="67"/>
        <v>0</v>
      </c>
      <c r="CZ77" s="162">
        <f t="shared" si="67"/>
        <v>0</v>
      </c>
      <c r="DA77" s="162">
        <f t="shared" si="67"/>
        <v>0</v>
      </c>
      <c r="DB77" s="162">
        <f t="shared" si="67"/>
        <v>0</v>
      </c>
      <c r="DC77" s="162">
        <f t="shared" si="67"/>
        <v>0</v>
      </c>
      <c r="DD77" s="162">
        <f t="shared" si="67"/>
        <v>0</v>
      </c>
      <c r="DE77" s="162">
        <f t="shared" si="67"/>
        <v>0</v>
      </c>
      <c r="DF77" s="162">
        <f t="shared" si="67"/>
        <v>0</v>
      </c>
      <c r="DG77" s="162">
        <f t="shared" si="67"/>
        <v>0</v>
      </c>
      <c r="DH77" s="162">
        <f t="shared" si="67"/>
        <v>0</v>
      </c>
      <c r="DI77" s="162">
        <f t="shared" si="67"/>
        <v>0</v>
      </c>
      <c r="DJ77" s="162">
        <f t="shared" si="67"/>
        <v>0</v>
      </c>
      <c r="DK77" s="162">
        <f t="shared" si="67"/>
        <v>0</v>
      </c>
      <c r="DL77" s="162">
        <f t="shared" si="67"/>
        <v>0</v>
      </c>
      <c r="DM77" s="162">
        <f t="shared" si="67"/>
        <v>0</v>
      </c>
      <c r="DN77" s="162">
        <f t="shared" si="67"/>
        <v>0</v>
      </c>
      <c r="DO77" s="162">
        <f t="shared" si="67"/>
        <v>0</v>
      </c>
      <c r="DP77" s="162">
        <f t="shared" si="67"/>
        <v>0</v>
      </c>
      <c r="DQ77" s="162">
        <f t="shared" si="67"/>
        <v>0</v>
      </c>
      <c r="DR77" s="162">
        <f t="shared" si="67"/>
        <v>0</v>
      </c>
      <c r="DS77" s="162">
        <f t="shared" si="67"/>
        <v>0</v>
      </c>
      <c r="DT77" s="162">
        <f t="shared" si="67"/>
        <v>0</v>
      </c>
      <c r="DU77" s="162">
        <f t="shared" si="67"/>
        <v>0</v>
      </c>
      <c r="DV77" s="162">
        <f t="shared" si="67"/>
        <v>0</v>
      </c>
      <c r="DW77" s="162">
        <f t="shared" si="67"/>
        <v>0</v>
      </c>
      <c r="DX77" s="162">
        <f t="shared" si="67"/>
        <v>0</v>
      </c>
      <c r="DY77" s="162">
        <f t="shared" si="67"/>
        <v>0</v>
      </c>
      <c r="DZ77" s="162">
        <f t="shared" si="67"/>
        <v>0</v>
      </c>
      <c r="EA77" s="162">
        <f t="shared" si="67"/>
        <v>0</v>
      </c>
      <c r="EB77" s="162">
        <f t="shared" si="67"/>
        <v>0</v>
      </c>
      <c r="EC77" s="162">
        <f t="shared" si="67"/>
        <v>0</v>
      </c>
      <c r="ED77" s="162">
        <f t="shared" si="67"/>
        <v>0</v>
      </c>
      <c r="EE77" s="162">
        <f t="shared" si="67"/>
        <v>0</v>
      </c>
      <c r="EF77" s="162">
        <f t="shared" si="67"/>
        <v>0</v>
      </c>
      <c r="EG77" s="162">
        <f t="shared" si="67"/>
        <v>0</v>
      </c>
      <c r="EH77" s="162">
        <f t="shared" si="67"/>
        <v>0</v>
      </c>
      <c r="EI77" s="162">
        <f t="shared" si="67"/>
        <v>0</v>
      </c>
      <c r="EJ77" s="162">
        <f t="shared" si="67"/>
        <v>0</v>
      </c>
      <c r="EK77" s="162">
        <f t="shared" si="67"/>
        <v>0</v>
      </c>
      <c r="EL77" s="162">
        <f t="shared" si="67"/>
        <v>0</v>
      </c>
      <c r="EM77" s="162">
        <f t="shared" si="67"/>
        <v>0</v>
      </c>
      <c r="EN77" s="162">
        <f t="shared" si="67"/>
        <v>0</v>
      </c>
      <c r="EO77" s="162">
        <f t="shared" si="67"/>
        <v>0</v>
      </c>
      <c r="EP77" s="162">
        <f t="shared" ref="EP77:HA77" si="68">SUM(EP72:EP75)</f>
        <v>0</v>
      </c>
      <c r="EQ77" s="162">
        <f t="shared" si="68"/>
        <v>0</v>
      </c>
      <c r="ER77" s="162">
        <f t="shared" si="68"/>
        <v>0</v>
      </c>
      <c r="ES77" s="162">
        <f t="shared" si="68"/>
        <v>0</v>
      </c>
      <c r="ET77" s="162">
        <f t="shared" si="68"/>
        <v>0</v>
      </c>
      <c r="EU77" s="162">
        <f t="shared" si="68"/>
        <v>0</v>
      </c>
      <c r="EV77" s="162">
        <f t="shared" si="68"/>
        <v>0</v>
      </c>
      <c r="EW77" s="162">
        <f t="shared" si="68"/>
        <v>0</v>
      </c>
      <c r="EX77" s="162">
        <f t="shared" si="68"/>
        <v>0</v>
      </c>
      <c r="EY77" s="162">
        <f t="shared" si="68"/>
        <v>0</v>
      </c>
      <c r="EZ77" s="162">
        <f t="shared" si="68"/>
        <v>0</v>
      </c>
      <c r="FA77" s="162">
        <f t="shared" si="68"/>
        <v>0</v>
      </c>
      <c r="FB77" s="162">
        <f t="shared" si="68"/>
        <v>0</v>
      </c>
      <c r="FC77" s="162">
        <f t="shared" si="68"/>
        <v>0</v>
      </c>
      <c r="FD77" s="162">
        <f t="shared" si="68"/>
        <v>0</v>
      </c>
      <c r="FE77" s="162">
        <f t="shared" si="68"/>
        <v>0</v>
      </c>
      <c r="FF77" s="162">
        <f t="shared" si="68"/>
        <v>0</v>
      </c>
      <c r="FG77" s="162">
        <f t="shared" si="68"/>
        <v>0</v>
      </c>
      <c r="FH77" s="162">
        <f t="shared" si="68"/>
        <v>0</v>
      </c>
      <c r="FI77" s="162">
        <f t="shared" si="68"/>
        <v>0</v>
      </c>
      <c r="FJ77" s="162">
        <f t="shared" si="68"/>
        <v>0</v>
      </c>
      <c r="FK77" s="162">
        <f t="shared" si="68"/>
        <v>0</v>
      </c>
      <c r="FL77" s="162">
        <f t="shared" si="68"/>
        <v>0</v>
      </c>
      <c r="FM77" s="162">
        <f t="shared" si="68"/>
        <v>0</v>
      </c>
      <c r="FN77" s="162">
        <f t="shared" si="68"/>
        <v>0</v>
      </c>
      <c r="FO77" s="162">
        <f t="shared" si="68"/>
        <v>0</v>
      </c>
      <c r="FP77" s="162">
        <f t="shared" si="68"/>
        <v>0</v>
      </c>
      <c r="FQ77" s="162">
        <f t="shared" si="68"/>
        <v>0</v>
      </c>
      <c r="FR77" s="162">
        <f t="shared" si="68"/>
        <v>0</v>
      </c>
      <c r="FS77" s="162">
        <f t="shared" si="68"/>
        <v>0</v>
      </c>
      <c r="FT77" s="162">
        <f t="shared" si="68"/>
        <v>0</v>
      </c>
      <c r="FU77" s="162">
        <f t="shared" si="68"/>
        <v>0</v>
      </c>
      <c r="FV77" s="162">
        <f t="shared" si="68"/>
        <v>0</v>
      </c>
      <c r="FW77" s="162">
        <f t="shared" si="68"/>
        <v>0</v>
      </c>
      <c r="FX77" s="162">
        <f t="shared" si="68"/>
        <v>0</v>
      </c>
      <c r="FY77" s="162">
        <f t="shared" si="68"/>
        <v>0</v>
      </c>
      <c r="FZ77" s="162">
        <f t="shared" si="68"/>
        <v>0</v>
      </c>
      <c r="GA77" s="162">
        <f t="shared" si="68"/>
        <v>0</v>
      </c>
      <c r="GB77" s="162">
        <f t="shared" si="68"/>
        <v>0</v>
      </c>
      <c r="GC77" s="162">
        <f t="shared" si="68"/>
        <v>0</v>
      </c>
      <c r="GD77" s="162">
        <f t="shared" si="68"/>
        <v>0</v>
      </c>
      <c r="GE77" s="162">
        <f t="shared" si="68"/>
        <v>0</v>
      </c>
      <c r="GF77" s="162">
        <f t="shared" si="68"/>
        <v>0</v>
      </c>
      <c r="GG77" s="162">
        <f t="shared" si="68"/>
        <v>0</v>
      </c>
      <c r="GH77" s="162">
        <f t="shared" si="68"/>
        <v>0</v>
      </c>
      <c r="GI77" s="162">
        <f t="shared" si="68"/>
        <v>0</v>
      </c>
      <c r="GJ77" s="162">
        <f t="shared" si="68"/>
        <v>0</v>
      </c>
      <c r="GK77" s="162">
        <f t="shared" si="68"/>
        <v>0</v>
      </c>
      <c r="GL77" s="162">
        <f t="shared" si="68"/>
        <v>0</v>
      </c>
      <c r="GM77" s="162">
        <f t="shared" si="68"/>
        <v>0</v>
      </c>
      <c r="GN77" s="162">
        <f t="shared" si="68"/>
        <v>0</v>
      </c>
      <c r="GO77" s="162">
        <f t="shared" si="68"/>
        <v>0</v>
      </c>
      <c r="GP77" s="162">
        <f t="shared" si="68"/>
        <v>0</v>
      </c>
      <c r="GQ77" s="162">
        <f t="shared" si="68"/>
        <v>0</v>
      </c>
      <c r="GR77" s="162">
        <f t="shared" si="68"/>
        <v>0</v>
      </c>
      <c r="GS77" s="162">
        <f t="shared" si="68"/>
        <v>0</v>
      </c>
      <c r="GT77" s="162">
        <f t="shared" si="68"/>
        <v>0</v>
      </c>
      <c r="GU77" s="162">
        <f t="shared" si="68"/>
        <v>0</v>
      </c>
      <c r="GV77" s="162">
        <f t="shared" si="68"/>
        <v>0</v>
      </c>
      <c r="GW77" s="162">
        <f t="shared" si="68"/>
        <v>0</v>
      </c>
      <c r="GX77" s="162">
        <f t="shared" si="68"/>
        <v>0</v>
      </c>
      <c r="GY77" s="162">
        <f t="shared" si="68"/>
        <v>0</v>
      </c>
      <c r="GZ77" s="162">
        <f t="shared" si="68"/>
        <v>0</v>
      </c>
      <c r="HA77" s="162">
        <f t="shared" si="68"/>
        <v>0</v>
      </c>
      <c r="HB77" s="162">
        <f t="shared" ref="HB77:JM77" si="69">SUM(HB72:HB75)</f>
        <v>0</v>
      </c>
      <c r="HC77" s="162">
        <f t="shared" si="69"/>
        <v>0</v>
      </c>
      <c r="HD77" s="162">
        <f t="shared" si="69"/>
        <v>0</v>
      </c>
      <c r="HE77" s="162">
        <f t="shared" si="69"/>
        <v>0</v>
      </c>
      <c r="HF77" s="162">
        <f t="shared" si="69"/>
        <v>0</v>
      </c>
      <c r="HG77" s="162">
        <f t="shared" si="69"/>
        <v>0</v>
      </c>
      <c r="HH77" s="162">
        <f t="shared" si="69"/>
        <v>0</v>
      </c>
      <c r="HI77" s="162">
        <f t="shared" si="69"/>
        <v>0</v>
      </c>
      <c r="HJ77" s="162">
        <f t="shared" si="69"/>
        <v>0</v>
      </c>
      <c r="HK77" s="162">
        <f t="shared" si="69"/>
        <v>0</v>
      </c>
      <c r="HL77" s="162">
        <f t="shared" si="69"/>
        <v>0</v>
      </c>
      <c r="HM77" s="162">
        <f t="shared" si="69"/>
        <v>0</v>
      </c>
      <c r="HN77" s="162">
        <f t="shared" si="69"/>
        <v>0</v>
      </c>
      <c r="HO77" s="162">
        <f t="shared" si="69"/>
        <v>0</v>
      </c>
      <c r="HP77" s="162">
        <f t="shared" si="69"/>
        <v>0</v>
      </c>
      <c r="HQ77" s="162">
        <f t="shared" si="69"/>
        <v>0</v>
      </c>
      <c r="HR77" s="162">
        <f t="shared" si="69"/>
        <v>0</v>
      </c>
      <c r="HS77" s="162">
        <f t="shared" si="69"/>
        <v>0</v>
      </c>
      <c r="HT77" s="162">
        <f t="shared" si="69"/>
        <v>0</v>
      </c>
      <c r="HU77" s="162">
        <f t="shared" si="69"/>
        <v>0</v>
      </c>
      <c r="HV77" s="162">
        <f t="shared" si="69"/>
        <v>0</v>
      </c>
      <c r="HW77" s="162">
        <f t="shared" si="69"/>
        <v>0</v>
      </c>
      <c r="HX77" s="162">
        <f t="shared" si="69"/>
        <v>0</v>
      </c>
      <c r="HY77" s="162">
        <f t="shared" si="69"/>
        <v>0</v>
      </c>
      <c r="HZ77" s="162">
        <f t="shared" si="69"/>
        <v>0</v>
      </c>
      <c r="IA77" s="162">
        <f t="shared" si="69"/>
        <v>0</v>
      </c>
      <c r="IB77" s="162">
        <f t="shared" si="69"/>
        <v>0</v>
      </c>
      <c r="IC77" s="162">
        <f t="shared" si="69"/>
        <v>0</v>
      </c>
      <c r="ID77" s="162">
        <f t="shared" si="69"/>
        <v>0</v>
      </c>
      <c r="IE77" s="162">
        <f t="shared" si="69"/>
        <v>0</v>
      </c>
      <c r="IF77" s="162">
        <f t="shared" si="69"/>
        <v>0</v>
      </c>
      <c r="IG77" s="162">
        <f t="shared" si="69"/>
        <v>0</v>
      </c>
      <c r="IH77" s="162">
        <f t="shared" si="69"/>
        <v>0</v>
      </c>
      <c r="II77" s="162">
        <f t="shared" si="69"/>
        <v>0</v>
      </c>
      <c r="IJ77" s="162">
        <f t="shared" si="69"/>
        <v>0</v>
      </c>
      <c r="IK77" s="162">
        <f t="shared" si="69"/>
        <v>0</v>
      </c>
      <c r="IL77" s="162">
        <f t="shared" si="69"/>
        <v>0</v>
      </c>
      <c r="IM77" s="162">
        <f t="shared" si="69"/>
        <v>0</v>
      </c>
      <c r="IN77" s="162">
        <f t="shared" si="69"/>
        <v>0</v>
      </c>
      <c r="IO77" s="162">
        <f t="shared" si="69"/>
        <v>0</v>
      </c>
      <c r="IP77" s="162">
        <f t="shared" si="69"/>
        <v>0</v>
      </c>
      <c r="IQ77" s="162">
        <f t="shared" si="69"/>
        <v>0</v>
      </c>
      <c r="IR77" s="162">
        <f t="shared" si="69"/>
        <v>0</v>
      </c>
      <c r="IS77" s="162">
        <f t="shared" si="69"/>
        <v>0</v>
      </c>
      <c r="IT77" s="162">
        <f t="shared" si="69"/>
        <v>0</v>
      </c>
      <c r="IU77" s="162">
        <f t="shared" si="69"/>
        <v>0</v>
      </c>
      <c r="IV77" s="162">
        <f t="shared" si="69"/>
        <v>0</v>
      </c>
      <c r="IW77" s="162">
        <f t="shared" si="69"/>
        <v>0</v>
      </c>
      <c r="IX77" s="162">
        <f t="shared" si="69"/>
        <v>0</v>
      </c>
      <c r="IY77" s="162">
        <f t="shared" si="69"/>
        <v>0</v>
      </c>
      <c r="IZ77" s="162">
        <f t="shared" si="69"/>
        <v>0</v>
      </c>
      <c r="JA77" s="162">
        <f t="shared" si="69"/>
        <v>0</v>
      </c>
      <c r="JB77" s="162">
        <f t="shared" si="69"/>
        <v>0</v>
      </c>
      <c r="JC77" s="162">
        <f t="shared" si="69"/>
        <v>0</v>
      </c>
      <c r="JD77" s="162">
        <f t="shared" si="69"/>
        <v>0</v>
      </c>
      <c r="JE77" s="162">
        <f t="shared" si="69"/>
        <v>0</v>
      </c>
      <c r="JF77" s="162">
        <f t="shared" si="69"/>
        <v>0</v>
      </c>
      <c r="JG77" s="162">
        <f t="shared" si="69"/>
        <v>0</v>
      </c>
      <c r="JH77" s="162">
        <f t="shared" si="69"/>
        <v>0</v>
      </c>
      <c r="JI77" s="162">
        <f t="shared" si="69"/>
        <v>0</v>
      </c>
      <c r="JJ77" s="162">
        <f t="shared" si="69"/>
        <v>0</v>
      </c>
      <c r="JK77" s="162">
        <f t="shared" si="69"/>
        <v>0</v>
      </c>
      <c r="JL77" s="162">
        <f t="shared" si="69"/>
        <v>0</v>
      </c>
      <c r="JM77" s="162">
        <f t="shared" si="69"/>
        <v>0</v>
      </c>
      <c r="JN77" s="162">
        <f t="shared" ref="JN77:LH77" si="70">SUM(JN72:JN75)</f>
        <v>0</v>
      </c>
      <c r="JO77" s="162">
        <f t="shared" si="70"/>
        <v>0</v>
      </c>
      <c r="JP77" s="162">
        <f t="shared" si="70"/>
        <v>0</v>
      </c>
      <c r="JQ77" s="162">
        <f t="shared" si="70"/>
        <v>0</v>
      </c>
      <c r="JR77" s="162">
        <f t="shared" si="70"/>
        <v>0</v>
      </c>
      <c r="JS77" s="162">
        <f t="shared" si="70"/>
        <v>0</v>
      </c>
      <c r="JT77" s="162">
        <f t="shared" si="70"/>
        <v>0</v>
      </c>
      <c r="JU77" s="162">
        <f t="shared" si="70"/>
        <v>0</v>
      </c>
      <c r="JV77" s="162">
        <f t="shared" si="70"/>
        <v>0</v>
      </c>
      <c r="JW77" s="162">
        <f t="shared" si="70"/>
        <v>0</v>
      </c>
      <c r="JX77" s="162">
        <f t="shared" si="70"/>
        <v>0</v>
      </c>
      <c r="JY77" s="162">
        <f t="shared" si="70"/>
        <v>0</v>
      </c>
      <c r="JZ77" s="162">
        <f t="shared" si="70"/>
        <v>0</v>
      </c>
      <c r="KA77" s="162">
        <f t="shared" si="70"/>
        <v>0</v>
      </c>
      <c r="KB77" s="162">
        <f t="shared" si="70"/>
        <v>0</v>
      </c>
      <c r="KC77" s="162">
        <f t="shared" si="70"/>
        <v>0</v>
      </c>
      <c r="KD77" s="162">
        <f t="shared" si="70"/>
        <v>0</v>
      </c>
      <c r="KE77" s="162">
        <f t="shared" si="70"/>
        <v>0</v>
      </c>
      <c r="KF77" s="162">
        <f t="shared" si="70"/>
        <v>0</v>
      </c>
      <c r="KG77" s="162">
        <f t="shared" si="70"/>
        <v>0</v>
      </c>
      <c r="KH77" s="162">
        <f t="shared" si="70"/>
        <v>0</v>
      </c>
      <c r="KI77" s="162">
        <f t="shared" si="70"/>
        <v>0</v>
      </c>
      <c r="KJ77" s="162">
        <f t="shared" si="70"/>
        <v>0</v>
      </c>
      <c r="KK77" s="162">
        <f t="shared" si="70"/>
        <v>0</v>
      </c>
      <c r="KL77" s="162">
        <f t="shared" si="70"/>
        <v>0</v>
      </c>
      <c r="KM77" s="162">
        <f t="shared" si="70"/>
        <v>0</v>
      </c>
      <c r="KN77" s="162">
        <f t="shared" si="70"/>
        <v>0</v>
      </c>
      <c r="KO77" s="162">
        <f t="shared" si="70"/>
        <v>0</v>
      </c>
      <c r="KP77" s="162">
        <f t="shared" si="70"/>
        <v>0</v>
      </c>
      <c r="KQ77" s="162">
        <f t="shared" si="70"/>
        <v>0</v>
      </c>
      <c r="KR77" s="162">
        <f t="shared" si="70"/>
        <v>0</v>
      </c>
      <c r="KS77" s="162">
        <f t="shared" si="70"/>
        <v>0</v>
      </c>
      <c r="KT77" s="162">
        <f t="shared" si="70"/>
        <v>0</v>
      </c>
      <c r="KU77" s="162">
        <f t="shared" si="70"/>
        <v>0</v>
      </c>
      <c r="KV77" s="162">
        <f t="shared" si="70"/>
        <v>0</v>
      </c>
      <c r="KW77" s="162">
        <f t="shared" si="70"/>
        <v>0</v>
      </c>
      <c r="KX77" s="162">
        <f t="shared" si="70"/>
        <v>0</v>
      </c>
      <c r="KY77" s="162">
        <f t="shared" si="70"/>
        <v>0</v>
      </c>
      <c r="KZ77" s="162">
        <f t="shared" si="70"/>
        <v>0</v>
      </c>
      <c r="LA77" s="162">
        <f t="shared" si="70"/>
        <v>0</v>
      </c>
      <c r="LB77" s="162">
        <f t="shared" si="70"/>
        <v>0</v>
      </c>
      <c r="LC77" s="162">
        <f t="shared" si="70"/>
        <v>0</v>
      </c>
      <c r="LD77" s="162">
        <f t="shared" si="70"/>
        <v>0</v>
      </c>
      <c r="LE77" s="162">
        <f t="shared" si="70"/>
        <v>0</v>
      </c>
      <c r="LF77" s="162">
        <f t="shared" si="70"/>
        <v>0</v>
      </c>
      <c r="LG77" s="162">
        <f t="shared" si="70"/>
        <v>0</v>
      </c>
      <c r="LH77" s="162">
        <f t="shared" si="70"/>
        <v>0</v>
      </c>
      <c r="LI77" s="162">
        <f t="shared" ref="LI77:MK77" si="71">SUM(LI64:LI75)</f>
        <v>0</v>
      </c>
      <c r="LJ77" s="162">
        <f t="shared" si="71"/>
        <v>0</v>
      </c>
      <c r="LK77" s="162">
        <f t="shared" si="71"/>
        <v>0</v>
      </c>
      <c r="LL77" s="162">
        <f t="shared" si="71"/>
        <v>0</v>
      </c>
      <c r="LM77" s="162">
        <f t="shared" si="71"/>
        <v>0</v>
      </c>
      <c r="LN77" s="162">
        <f t="shared" si="71"/>
        <v>0</v>
      </c>
      <c r="LO77" s="162">
        <f t="shared" si="71"/>
        <v>0</v>
      </c>
      <c r="LP77" s="162">
        <f t="shared" si="71"/>
        <v>0</v>
      </c>
      <c r="LQ77" s="162">
        <f t="shared" si="71"/>
        <v>0</v>
      </c>
      <c r="LR77" s="162">
        <f t="shared" si="71"/>
        <v>0</v>
      </c>
      <c r="LS77" s="162">
        <f t="shared" si="71"/>
        <v>0</v>
      </c>
      <c r="LT77" s="162">
        <f t="shared" si="71"/>
        <v>0</v>
      </c>
      <c r="LU77" s="162">
        <f t="shared" si="71"/>
        <v>0</v>
      </c>
      <c r="LV77" s="162">
        <f t="shared" si="71"/>
        <v>0</v>
      </c>
      <c r="LW77" s="162">
        <f t="shared" si="71"/>
        <v>0</v>
      </c>
      <c r="LX77" s="162">
        <f t="shared" si="71"/>
        <v>0</v>
      </c>
      <c r="LY77" s="162">
        <f t="shared" si="71"/>
        <v>0</v>
      </c>
      <c r="LZ77" s="162">
        <f t="shared" si="71"/>
        <v>0</v>
      </c>
      <c r="MA77" s="162">
        <f t="shared" si="71"/>
        <v>0</v>
      </c>
      <c r="MB77" s="162">
        <f t="shared" si="71"/>
        <v>0</v>
      </c>
      <c r="MC77" s="162">
        <f t="shared" si="71"/>
        <v>0</v>
      </c>
      <c r="MD77" s="162">
        <f t="shared" si="71"/>
        <v>0</v>
      </c>
      <c r="ME77" s="162">
        <f t="shared" si="71"/>
        <v>0</v>
      </c>
      <c r="MF77" s="162">
        <f t="shared" si="71"/>
        <v>0</v>
      </c>
      <c r="MG77" s="162">
        <f t="shared" si="71"/>
        <v>0</v>
      </c>
      <c r="MH77" s="162">
        <f t="shared" si="71"/>
        <v>0</v>
      </c>
      <c r="MI77" s="162">
        <f t="shared" si="71"/>
        <v>0</v>
      </c>
      <c r="MJ77" s="162">
        <f t="shared" si="71"/>
        <v>0</v>
      </c>
      <c r="MK77" s="162">
        <f t="shared" si="71"/>
        <v>0</v>
      </c>
      <c r="ML77" s="162">
        <f t="shared" ref="ML77:OW77" si="72">SUM(ML72:ML75)</f>
        <v>0</v>
      </c>
      <c r="MM77" s="162">
        <f t="shared" si="72"/>
        <v>0</v>
      </c>
      <c r="MN77" s="162">
        <f t="shared" si="72"/>
        <v>0</v>
      </c>
      <c r="MO77" s="162">
        <f t="shared" si="72"/>
        <v>0</v>
      </c>
      <c r="MP77" s="162">
        <f t="shared" si="72"/>
        <v>0</v>
      </c>
      <c r="MQ77" s="162">
        <f t="shared" si="72"/>
        <v>0</v>
      </c>
      <c r="MR77" s="162">
        <f t="shared" si="72"/>
        <v>0</v>
      </c>
      <c r="MS77" s="162">
        <f t="shared" si="72"/>
        <v>0</v>
      </c>
      <c r="MT77" s="162">
        <f t="shared" si="72"/>
        <v>0</v>
      </c>
      <c r="MU77" s="162">
        <f t="shared" si="72"/>
        <v>0</v>
      </c>
      <c r="MV77" s="162">
        <f t="shared" si="72"/>
        <v>0</v>
      </c>
      <c r="MW77" s="162">
        <f t="shared" si="72"/>
        <v>0</v>
      </c>
      <c r="MX77" s="162">
        <f t="shared" si="72"/>
        <v>0</v>
      </c>
      <c r="MY77" s="162">
        <f t="shared" si="72"/>
        <v>0</v>
      </c>
      <c r="MZ77" s="162">
        <f t="shared" si="72"/>
        <v>0</v>
      </c>
      <c r="NA77" s="162">
        <f t="shared" si="72"/>
        <v>0</v>
      </c>
      <c r="NB77" s="162">
        <f t="shared" si="72"/>
        <v>0</v>
      </c>
      <c r="NC77" s="162">
        <f t="shared" si="72"/>
        <v>0</v>
      </c>
      <c r="ND77" s="162">
        <f t="shared" si="72"/>
        <v>0</v>
      </c>
      <c r="NE77" s="162">
        <f t="shared" si="72"/>
        <v>0</v>
      </c>
      <c r="NF77" s="162">
        <f t="shared" si="72"/>
        <v>0</v>
      </c>
      <c r="NG77" s="162">
        <f t="shared" si="72"/>
        <v>0</v>
      </c>
      <c r="NH77" s="162">
        <f t="shared" si="72"/>
        <v>0</v>
      </c>
      <c r="NI77" s="162">
        <f t="shared" si="72"/>
        <v>0</v>
      </c>
      <c r="NJ77" s="162">
        <f t="shared" si="72"/>
        <v>0</v>
      </c>
      <c r="NK77" s="162">
        <f t="shared" si="72"/>
        <v>0</v>
      </c>
      <c r="NL77" s="162">
        <f t="shared" si="72"/>
        <v>0</v>
      </c>
      <c r="NM77" s="162">
        <f t="shared" si="72"/>
        <v>0</v>
      </c>
      <c r="NN77" s="162">
        <f t="shared" si="72"/>
        <v>0</v>
      </c>
      <c r="NO77" s="162">
        <f t="shared" si="72"/>
        <v>0</v>
      </c>
      <c r="NP77" s="162">
        <f t="shared" si="72"/>
        <v>0</v>
      </c>
      <c r="NQ77" s="162">
        <f t="shared" si="72"/>
        <v>0</v>
      </c>
      <c r="NR77" s="162">
        <f t="shared" si="72"/>
        <v>0</v>
      </c>
      <c r="NS77" s="162">
        <f t="shared" si="72"/>
        <v>0</v>
      </c>
      <c r="NT77" s="162">
        <f t="shared" si="72"/>
        <v>0</v>
      </c>
      <c r="NU77" s="162">
        <f t="shared" si="72"/>
        <v>0</v>
      </c>
      <c r="NV77" s="162">
        <f t="shared" si="72"/>
        <v>0</v>
      </c>
      <c r="NW77" s="162">
        <f t="shared" si="72"/>
        <v>0</v>
      </c>
      <c r="NX77" s="162">
        <f t="shared" si="72"/>
        <v>0</v>
      </c>
      <c r="NY77" s="162">
        <f t="shared" si="72"/>
        <v>0</v>
      </c>
      <c r="NZ77" s="162">
        <f t="shared" si="72"/>
        <v>0</v>
      </c>
      <c r="OA77" s="162">
        <f t="shared" si="72"/>
        <v>0</v>
      </c>
      <c r="OB77" s="162">
        <f t="shared" si="72"/>
        <v>0</v>
      </c>
      <c r="OC77" s="162">
        <f t="shared" si="72"/>
        <v>0</v>
      </c>
      <c r="OD77" s="162">
        <f t="shared" si="72"/>
        <v>0</v>
      </c>
      <c r="OE77" s="162">
        <f t="shared" si="72"/>
        <v>0</v>
      </c>
      <c r="OF77" s="162">
        <f t="shared" si="72"/>
        <v>0</v>
      </c>
      <c r="OG77" s="162">
        <f t="shared" si="72"/>
        <v>0</v>
      </c>
      <c r="OH77" s="162">
        <f t="shared" si="72"/>
        <v>0</v>
      </c>
      <c r="OI77" s="162">
        <f t="shared" si="72"/>
        <v>0</v>
      </c>
      <c r="OJ77" s="162">
        <f t="shared" si="72"/>
        <v>0</v>
      </c>
      <c r="OK77" s="162">
        <f t="shared" si="72"/>
        <v>0</v>
      </c>
      <c r="OL77" s="162">
        <f t="shared" si="72"/>
        <v>0</v>
      </c>
      <c r="OM77" s="162">
        <f t="shared" si="72"/>
        <v>0</v>
      </c>
      <c r="ON77" s="162">
        <f t="shared" si="72"/>
        <v>0</v>
      </c>
      <c r="OO77" s="162">
        <f t="shared" si="72"/>
        <v>0</v>
      </c>
      <c r="OP77" s="162">
        <f t="shared" si="72"/>
        <v>0</v>
      </c>
      <c r="OQ77" s="162">
        <f t="shared" si="72"/>
        <v>0</v>
      </c>
      <c r="OR77" s="162">
        <f t="shared" si="72"/>
        <v>0</v>
      </c>
      <c r="OS77" s="162">
        <f t="shared" si="72"/>
        <v>0</v>
      </c>
      <c r="OT77" s="162">
        <f t="shared" si="72"/>
        <v>0</v>
      </c>
      <c r="OU77" s="162">
        <f t="shared" si="72"/>
        <v>0</v>
      </c>
      <c r="OV77" s="162">
        <f t="shared" si="72"/>
        <v>0</v>
      </c>
      <c r="OW77" s="162">
        <f t="shared" si="72"/>
        <v>0</v>
      </c>
      <c r="OX77" s="162">
        <f t="shared" ref="OX77:RI77" si="73">SUM(OX72:OX75)</f>
        <v>0</v>
      </c>
      <c r="OY77" s="162">
        <f t="shared" si="73"/>
        <v>0</v>
      </c>
      <c r="OZ77" s="162">
        <f t="shared" si="73"/>
        <v>0</v>
      </c>
      <c r="PA77" s="162">
        <f t="shared" si="73"/>
        <v>0</v>
      </c>
      <c r="PB77" s="162">
        <f t="shared" si="73"/>
        <v>0</v>
      </c>
      <c r="PC77" s="162">
        <f t="shared" si="73"/>
        <v>0</v>
      </c>
      <c r="PD77" s="162">
        <f t="shared" si="73"/>
        <v>0</v>
      </c>
      <c r="PE77" s="162">
        <f t="shared" si="73"/>
        <v>0</v>
      </c>
      <c r="PF77" s="162">
        <f t="shared" si="73"/>
        <v>0</v>
      </c>
      <c r="PG77" s="162">
        <f t="shared" si="73"/>
        <v>0</v>
      </c>
      <c r="PH77" s="162">
        <f t="shared" si="73"/>
        <v>0</v>
      </c>
      <c r="PI77" s="162">
        <f t="shared" si="73"/>
        <v>0</v>
      </c>
      <c r="PJ77" s="162">
        <f t="shared" si="73"/>
        <v>0</v>
      </c>
      <c r="PK77" s="162">
        <f t="shared" si="73"/>
        <v>0</v>
      </c>
      <c r="PL77" s="162">
        <f t="shared" si="73"/>
        <v>0</v>
      </c>
      <c r="PM77" s="162">
        <f t="shared" si="73"/>
        <v>0</v>
      </c>
      <c r="PN77" s="162">
        <f t="shared" si="73"/>
        <v>0</v>
      </c>
      <c r="PO77" s="162">
        <f t="shared" si="73"/>
        <v>0</v>
      </c>
      <c r="PP77" s="162">
        <f t="shared" si="73"/>
        <v>0</v>
      </c>
      <c r="PQ77" s="162">
        <f t="shared" si="73"/>
        <v>0</v>
      </c>
      <c r="PR77" s="162">
        <f t="shared" si="73"/>
        <v>0</v>
      </c>
      <c r="PS77" s="162">
        <f t="shared" si="73"/>
        <v>0</v>
      </c>
      <c r="PT77" s="162">
        <f t="shared" si="73"/>
        <v>0</v>
      </c>
      <c r="PU77" s="162">
        <f t="shared" si="73"/>
        <v>0</v>
      </c>
      <c r="PV77" s="162">
        <f t="shared" si="73"/>
        <v>0</v>
      </c>
      <c r="PW77" s="162">
        <f t="shared" si="73"/>
        <v>0</v>
      </c>
      <c r="PX77" s="162">
        <f t="shared" si="73"/>
        <v>0</v>
      </c>
      <c r="PY77" s="162">
        <f t="shared" si="73"/>
        <v>0</v>
      </c>
      <c r="PZ77" s="162">
        <f t="shared" si="73"/>
        <v>0</v>
      </c>
      <c r="QA77" s="162">
        <f t="shared" si="73"/>
        <v>0</v>
      </c>
      <c r="QB77" s="162">
        <f t="shared" si="73"/>
        <v>0</v>
      </c>
      <c r="QC77" s="162">
        <f t="shared" si="73"/>
        <v>0</v>
      </c>
      <c r="QD77" s="162">
        <f t="shared" si="73"/>
        <v>0</v>
      </c>
      <c r="QE77" s="162">
        <f t="shared" si="73"/>
        <v>0</v>
      </c>
      <c r="QF77" s="162">
        <f t="shared" si="73"/>
        <v>0</v>
      </c>
      <c r="QG77" s="162">
        <f t="shared" si="73"/>
        <v>0</v>
      </c>
      <c r="QH77" s="162">
        <f t="shared" si="73"/>
        <v>0</v>
      </c>
      <c r="QI77" s="162">
        <f t="shared" si="73"/>
        <v>0</v>
      </c>
      <c r="QJ77" s="162">
        <f t="shared" si="73"/>
        <v>0</v>
      </c>
      <c r="QK77" s="162">
        <f t="shared" si="73"/>
        <v>0</v>
      </c>
      <c r="QL77" s="162">
        <f t="shared" si="73"/>
        <v>0</v>
      </c>
      <c r="QM77" s="162">
        <f t="shared" si="73"/>
        <v>0</v>
      </c>
      <c r="QN77" s="162">
        <f t="shared" si="73"/>
        <v>0</v>
      </c>
      <c r="QO77" s="162">
        <f t="shared" si="73"/>
        <v>0</v>
      </c>
      <c r="QP77" s="162">
        <f t="shared" si="73"/>
        <v>0</v>
      </c>
      <c r="QQ77" s="162">
        <f t="shared" si="73"/>
        <v>0</v>
      </c>
      <c r="QR77" s="162">
        <f t="shared" si="73"/>
        <v>0</v>
      </c>
      <c r="QS77" s="162">
        <f t="shared" si="73"/>
        <v>0</v>
      </c>
      <c r="QT77" s="162">
        <f t="shared" si="73"/>
        <v>0</v>
      </c>
      <c r="QU77" s="162">
        <f t="shared" si="73"/>
        <v>0</v>
      </c>
      <c r="QV77" s="162">
        <f t="shared" si="73"/>
        <v>0</v>
      </c>
      <c r="QW77" s="162">
        <f t="shared" si="73"/>
        <v>0</v>
      </c>
      <c r="QX77" s="162">
        <f t="shared" si="73"/>
        <v>0</v>
      </c>
      <c r="QY77" s="162">
        <f t="shared" si="73"/>
        <v>0</v>
      </c>
      <c r="QZ77" s="162">
        <f t="shared" si="73"/>
        <v>0</v>
      </c>
      <c r="RA77" s="162">
        <f t="shared" si="73"/>
        <v>0</v>
      </c>
      <c r="RB77" s="162">
        <f t="shared" si="73"/>
        <v>0</v>
      </c>
      <c r="RC77" s="162">
        <f t="shared" si="73"/>
        <v>0</v>
      </c>
      <c r="RD77" s="162">
        <f t="shared" si="73"/>
        <v>0</v>
      </c>
      <c r="RE77" s="162">
        <f t="shared" si="73"/>
        <v>0</v>
      </c>
      <c r="RF77" s="162">
        <f t="shared" si="73"/>
        <v>0</v>
      </c>
      <c r="RG77" s="162">
        <f t="shared" si="73"/>
        <v>0</v>
      </c>
      <c r="RH77" s="162">
        <f t="shared" si="73"/>
        <v>0</v>
      </c>
      <c r="RI77" s="162">
        <f t="shared" si="73"/>
        <v>0</v>
      </c>
      <c r="RJ77" s="162">
        <f t="shared" ref="RJ77:TU77" si="74">SUM(RJ72:RJ75)</f>
        <v>0</v>
      </c>
      <c r="RK77" s="162">
        <f t="shared" si="74"/>
        <v>0</v>
      </c>
      <c r="RL77" s="162">
        <f t="shared" si="74"/>
        <v>0</v>
      </c>
      <c r="RM77" s="162">
        <f t="shared" si="74"/>
        <v>0</v>
      </c>
      <c r="RN77" s="162">
        <f t="shared" si="74"/>
        <v>0</v>
      </c>
      <c r="RO77" s="162">
        <f t="shared" si="74"/>
        <v>0</v>
      </c>
      <c r="RP77" s="162">
        <f t="shared" si="74"/>
        <v>0</v>
      </c>
      <c r="RQ77" s="162">
        <f t="shared" si="74"/>
        <v>0</v>
      </c>
      <c r="RR77" s="162">
        <f t="shared" si="74"/>
        <v>0</v>
      </c>
      <c r="RS77" s="162">
        <f t="shared" si="74"/>
        <v>0</v>
      </c>
      <c r="RT77" s="162">
        <f t="shared" si="74"/>
        <v>0</v>
      </c>
      <c r="RU77" s="162">
        <f t="shared" si="74"/>
        <v>0</v>
      </c>
      <c r="RV77" s="162">
        <f t="shared" si="74"/>
        <v>0</v>
      </c>
      <c r="RW77" s="162">
        <f t="shared" si="74"/>
        <v>0</v>
      </c>
      <c r="RX77" s="162">
        <f t="shared" si="74"/>
        <v>0</v>
      </c>
      <c r="RY77" s="162">
        <f t="shared" si="74"/>
        <v>0</v>
      </c>
      <c r="RZ77" s="162">
        <f t="shared" si="74"/>
        <v>0</v>
      </c>
      <c r="SA77" s="162">
        <f t="shared" si="74"/>
        <v>0</v>
      </c>
      <c r="SB77" s="162">
        <f t="shared" si="74"/>
        <v>0</v>
      </c>
      <c r="SC77" s="162">
        <f t="shared" si="74"/>
        <v>0</v>
      </c>
      <c r="SD77" s="162">
        <f t="shared" si="74"/>
        <v>0</v>
      </c>
      <c r="SE77" s="162">
        <f t="shared" si="74"/>
        <v>0</v>
      </c>
      <c r="SF77" s="162">
        <f t="shared" si="74"/>
        <v>0</v>
      </c>
      <c r="SG77" s="162">
        <f t="shared" si="74"/>
        <v>0</v>
      </c>
      <c r="SH77" s="162">
        <f t="shared" si="74"/>
        <v>0</v>
      </c>
      <c r="SI77" s="162">
        <f t="shared" si="74"/>
        <v>0</v>
      </c>
      <c r="SJ77" s="162">
        <f t="shared" si="74"/>
        <v>0</v>
      </c>
      <c r="SK77" s="162">
        <f t="shared" si="74"/>
        <v>0</v>
      </c>
      <c r="SL77" s="162">
        <f t="shared" si="74"/>
        <v>0</v>
      </c>
      <c r="SM77" s="162">
        <f t="shared" si="74"/>
        <v>0</v>
      </c>
      <c r="SN77" s="162">
        <f t="shared" si="74"/>
        <v>0</v>
      </c>
      <c r="SO77" s="162">
        <f t="shared" si="74"/>
        <v>0</v>
      </c>
      <c r="SP77" s="162">
        <f t="shared" si="74"/>
        <v>0</v>
      </c>
      <c r="SQ77" s="162">
        <f t="shared" si="74"/>
        <v>0</v>
      </c>
      <c r="SR77" s="162">
        <f t="shared" si="74"/>
        <v>0</v>
      </c>
      <c r="SS77" s="162">
        <f t="shared" si="74"/>
        <v>0</v>
      </c>
      <c r="ST77" s="162">
        <f t="shared" si="74"/>
        <v>0</v>
      </c>
      <c r="SU77" s="162">
        <f t="shared" si="74"/>
        <v>0</v>
      </c>
      <c r="SV77" s="162">
        <f t="shared" si="74"/>
        <v>0</v>
      </c>
      <c r="SW77" s="162">
        <f t="shared" si="74"/>
        <v>0</v>
      </c>
      <c r="SX77" s="162">
        <f t="shared" si="74"/>
        <v>0</v>
      </c>
      <c r="SY77" s="162">
        <f t="shared" si="74"/>
        <v>0</v>
      </c>
      <c r="SZ77" s="162">
        <f t="shared" si="74"/>
        <v>0</v>
      </c>
      <c r="TA77" s="162">
        <f t="shared" si="74"/>
        <v>0</v>
      </c>
      <c r="TB77" s="162">
        <f t="shared" si="74"/>
        <v>0</v>
      </c>
      <c r="TC77" s="162">
        <f t="shared" si="74"/>
        <v>0</v>
      </c>
      <c r="TD77" s="162">
        <f t="shared" si="74"/>
        <v>0</v>
      </c>
      <c r="TE77" s="162">
        <f t="shared" si="74"/>
        <v>0</v>
      </c>
      <c r="TF77" s="162">
        <f t="shared" si="74"/>
        <v>0</v>
      </c>
      <c r="TG77" s="162">
        <f t="shared" si="74"/>
        <v>0</v>
      </c>
      <c r="TH77" s="162">
        <f t="shared" si="74"/>
        <v>0</v>
      </c>
      <c r="TI77" s="162">
        <f t="shared" si="74"/>
        <v>0</v>
      </c>
      <c r="TJ77" s="162">
        <f t="shared" si="74"/>
        <v>0</v>
      </c>
      <c r="TK77" s="162">
        <f t="shared" si="74"/>
        <v>0</v>
      </c>
      <c r="TL77" s="162">
        <f t="shared" si="74"/>
        <v>0</v>
      </c>
      <c r="TM77" s="162">
        <f t="shared" si="74"/>
        <v>0</v>
      </c>
      <c r="TN77" s="162">
        <f t="shared" si="74"/>
        <v>0</v>
      </c>
      <c r="TO77" s="162">
        <f t="shared" si="74"/>
        <v>0</v>
      </c>
      <c r="TP77" s="162">
        <f t="shared" si="74"/>
        <v>0</v>
      </c>
      <c r="TQ77" s="162">
        <f t="shared" si="74"/>
        <v>0</v>
      </c>
      <c r="TR77" s="162">
        <f t="shared" si="74"/>
        <v>0</v>
      </c>
      <c r="TS77" s="162">
        <f t="shared" si="74"/>
        <v>0</v>
      </c>
      <c r="TT77" s="162">
        <f t="shared" si="74"/>
        <v>0</v>
      </c>
      <c r="TU77" s="162">
        <f t="shared" si="74"/>
        <v>0</v>
      </c>
      <c r="TV77" s="162">
        <f t="shared" ref="TV77:WG77" si="75">SUM(TV72:TV75)</f>
        <v>0</v>
      </c>
      <c r="TW77" s="162">
        <f t="shared" si="75"/>
        <v>0</v>
      </c>
      <c r="TX77" s="162">
        <f t="shared" si="75"/>
        <v>0</v>
      </c>
      <c r="TY77" s="162">
        <f t="shared" si="75"/>
        <v>0</v>
      </c>
      <c r="TZ77" s="162">
        <f t="shared" si="75"/>
        <v>0</v>
      </c>
      <c r="UA77" s="162">
        <f t="shared" si="75"/>
        <v>0</v>
      </c>
      <c r="UB77" s="162">
        <f t="shared" si="75"/>
        <v>0</v>
      </c>
      <c r="UC77" s="162">
        <f t="shared" si="75"/>
        <v>0</v>
      </c>
      <c r="UD77" s="162">
        <f t="shared" si="75"/>
        <v>0</v>
      </c>
      <c r="UE77" s="162">
        <f t="shared" si="75"/>
        <v>0</v>
      </c>
      <c r="UF77" s="162">
        <f t="shared" si="75"/>
        <v>0</v>
      </c>
      <c r="UG77" s="162">
        <f t="shared" si="75"/>
        <v>0</v>
      </c>
      <c r="UH77" s="162">
        <f t="shared" si="75"/>
        <v>0</v>
      </c>
      <c r="UI77" s="162">
        <f t="shared" si="75"/>
        <v>0</v>
      </c>
      <c r="UJ77" s="162">
        <f t="shared" si="75"/>
        <v>0</v>
      </c>
      <c r="UK77" s="162">
        <f t="shared" si="75"/>
        <v>0</v>
      </c>
      <c r="UL77" s="162">
        <f t="shared" si="75"/>
        <v>0</v>
      </c>
      <c r="UM77" s="162">
        <f t="shared" si="75"/>
        <v>0</v>
      </c>
      <c r="UN77" s="162">
        <f t="shared" si="75"/>
        <v>0</v>
      </c>
      <c r="UO77" s="162">
        <f t="shared" si="75"/>
        <v>0</v>
      </c>
      <c r="UP77" s="162">
        <f t="shared" si="75"/>
        <v>0</v>
      </c>
      <c r="UQ77" s="162">
        <f t="shared" si="75"/>
        <v>0</v>
      </c>
      <c r="UR77" s="162">
        <f t="shared" si="75"/>
        <v>0</v>
      </c>
      <c r="US77" s="162">
        <f t="shared" si="75"/>
        <v>0</v>
      </c>
      <c r="UT77" s="162">
        <f t="shared" si="75"/>
        <v>0</v>
      </c>
      <c r="UU77" s="162">
        <f t="shared" si="75"/>
        <v>0</v>
      </c>
      <c r="UV77" s="162">
        <f t="shared" si="75"/>
        <v>0</v>
      </c>
      <c r="UW77" s="162">
        <f t="shared" si="75"/>
        <v>0</v>
      </c>
      <c r="UX77" s="162">
        <f t="shared" si="75"/>
        <v>0</v>
      </c>
      <c r="UY77" s="162">
        <f t="shared" si="75"/>
        <v>0</v>
      </c>
      <c r="UZ77" s="162">
        <f t="shared" si="75"/>
        <v>0</v>
      </c>
      <c r="VA77" s="162">
        <f t="shared" si="75"/>
        <v>0</v>
      </c>
      <c r="VB77" s="162">
        <f t="shared" si="75"/>
        <v>0</v>
      </c>
      <c r="VC77" s="162">
        <f t="shared" si="75"/>
        <v>0</v>
      </c>
      <c r="VD77" s="162">
        <f t="shared" si="75"/>
        <v>0</v>
      </c>
      <c r="VE77" s="162">
        <f t="shared" si="75"/>
        <v>0</v>
      </c>
      <c r="VF77" s="162">
        <f t="shared" si="75"/>
        <v>0</v>
      </c>
      <c r="VG77" s="162">
        <f t="shared" si="75"/>
        <v>0</v>
      </c>
      <c r="VH77" s="162">
        <f t="shared" si="75"/>
        <v>0</v>
      </c>
      <c r="VI77" s="162">
        <f t="shared" si="75"/>
        <v>0</v>
      </c>
      <c r="VJ77" s="162">
        <f t="shared" si="75"/>
        <v>0</v>
      </c>
      <c r="VK77" s="162">
        <f t="shared" si="75"/>
        <v>0</v>
      </c>
      <c r="VL77" s="162">
        <f t="shared" si="75"/>
        <v>0</v>
      </c>
      <c r="VM77" s="162">
        <f t="shared" si="75"/>
        <v>0</v>
      </c>
      <c r="VN77" s="162">
        <f t="shared" si="75"/>
        <v>0</v>
      </c>
      <c r="VO77" s="162">
        <f t="shared" si="75"/>
        <v>0</v>
      </c>
      <c r="VP77" s="162">
        <f t="shared" si="75"/>
        <v>0</v>
      </c>
      <c r="VQ77" s="162">
        <f t="shared" si="75"/>
        <v>0</v>
      </c>
      <c r="VR77" s="162">
        <f t="shared" si="75"/>
        <v>0</v>
      </c>
      <c r="VS77" s="162">
        <f t="shared" si="75"/>
        <v>0</v>
      </c>
      <c r="VT77" s="162">
        <f t="shared" si="75"/>
        <v>0</v>
      </c>
      <c r="VU77" s="162">
        <f t="shared" si="75"/>
        <v>0</v>
      </c>
      <c r="VV77" s="162">
        <f t="shared" si="75"/>
        <v>0</v>
      </c>
      <c r="VW77" s="162">
        <f t="shared" si="75"/>
        <v>0</v>
      </c>
      <c r="VX77" s="162">
        <f t="shared" si="75"/>
        <v>0</v>
      </c>
      <c r="VY77" s="162">
        <f t="shared" si="75"/>
        <v>0</v>
      </c>
      <c r="VZ77" s="162">
        <f t="shared" si="75"/>
        <v>0</v>
      </c>
      <c r="WA77" s="162">
        <f t="shared" si="75"/>
        <v>0</v>
      </c>
      <c r="WB77" s="162">
        <f t="shared" si="75"/>
        <v>0</v>
      </c>
      <c r="WC77" s="162">
        <f t="shared" si="75"/>
        <v>0</v>
      </c>
      <c r="WD77" s="162">
        <f t="shared" si="75"/>
        <v>0</v>
      </c>
      <c r="WE77" s="162">
        <f t="shared" si="75"/>
        <v>0</v>
      </c>
      <c r="WF77" s="162">
        <f t="shared" si="75"/>
        <v>0</v>
      </c>
      <c r="WG77" s="162">
        <f t="shared" si="75"/>
        <v>0</v>
      </c>
      <c r="WH77" s="162">
        <f t="shared" ref="WH77:YS77" si="76">SUM(WH72:WH75)</f>
        <v>0</v>
      </c>
      <c r="WI77" s="162">
        <f t="shared" si="76"/>
        <v>0</v>
      </c>
      <c r="WJ77" s="162">
        <f t="shared" si="76"/>
        <v>0</v>
      </c>
      <c r="WK77" s="162">
        <f t="shared" si="76"/>
        <v>0</v>
      </c>
      <c r="WL77" s="162">
        <f t="shared" si="76"/>
        <v>0</v>
      </c>
      <c r="WM77" s="162">
        <f t="shared" si="76"/>
        <v>0</v>
      </c>
      <c r="WN77" s="162">
        <f t="shared" si="76"/>
        <v>0</v>
      </c>
      <c r="WO77" s="162">
        <f t="shared" si="76"/>
        <v>0</v>
      </c>
      <c r="WP77" s="162">
        <f t="shared" si="76"/>
        <v>0</v>
      </c>
      <c r="WQ77" s="162">
        <f t="shared" si="76"/>
        <v>0</v>
      </c>
      <c r="WR77" s="162">
        <f t="shared" si="76"/>
        <v>0</v>
      </c>
      <c r="WS77" s="162">
        <f t="shared" si="76"/>
        <v>0</v>
      </c>
      <c r="WT77" s="162">
        <f t="shared" si="76"/>
        <v>0</v>
      </c>
      <c r="WU77" s="162">
        <f t="shared" si="76"/>
        <v>0</v>
      </c>
      <c r="WV77" s="162">
        <f t="shared" si="76"/>
        <v>0</v>
      </c>
      <c r="WW77" s="162">
        <f t="shared" si="76"/>
        <v>0</v>
      </c>
      <c r="WX77" s="162">
        <f t="shared" si="76"/>
        <v>0</v>
      </c>
      <c r="WY77" s="162">
        <f t="shared" si="76"/>
        <v>0</v>
      </c>
      <c r="WZ77" s="162">
        <f t="shared" si="76"/>
        <v>0</v>
      </c>
      <c r="XA77" s="162">
        <f t="shared" si="76"/>
        <v>0</v>
      </c>
      <c r="XB77" s="162">
        <f t="shared" si="76"/>
        <v>0</v>
      </c>
      <c r="XC77" s="162">
        <f t="shared" si="76"/>
        <v>0</v>
      </c>
      <c r="XD77" s="162">
        <f t="shared" si="76"/>
        <v>0</v>
      </c>
      <c r="XE77" s="162">
        <f t="shared" si="76"/>
        <v>0</v>
      </c>
      <c r="XF77" s="162">
        <f t="shared" si="76"/>
        <v>0</v>
      </c>
      <c r="XG77" s="162">
        <f t="shared" si="76"/>
        <v>0</v>
      </c>
      <c r="XH77" s="162">
        <f t="shared" si="76"/>
        <v>0</v>
      </c>
      <c r="XI77" s="162">
        <f t="shared" si="76"/>
        <v>0</v>
      </c>
      <c r="XJ77" s="162">
        <f t="shared" si="76"/>
        <v>0</v>
      </c>
      <c r="XK77" s="162">
        <f t="shared" si="76"/>
        <v>0</v>
      </c>
      <c r="XL77" s="162">
        <f t="shared" si="76"/>
        <v>0</v>
      </c>
      <c r="XM77" s="162">
        <f t="shared" si="76"/>
        <v>0</v>
      </c>
      <c r="XN77" s="162">
        <f t="shared" si="76"/>
        <v>0</v>
      </c>
      <c r="XO77" s="162">
        <f t="shared" si="76"/>
        <v>0</v>
      </c>
      <c r="XP77" s="162">
        <f t="shared" si="76"/>
        <v>0</v>
      </c>
      <c r="XQ77" s="162">
        <f t="shared" si="76"/>
        <v>0</v>
      </c>
      <c r="XR77" s="162">
        <f t="shared" si="76"/>
        <v>0</v>
      </c>
      <c r="XS77" s="162">
        <f t="shared" si="76"/>
        <v>0</v>
      </c>
      <c r="XT77" s="162">
        <f t="shared" si="76"/>
        <v>0</v>
      </c>
      <c r="XU77" s="162">
        <f t="shared" si="76"/>
        <v>0</v>
      </c>
      <c r="XV77" s="162">
        <f t="shared" si="76"/>
        <v>0</v>
      </c>
      <c r="XW77" s="162">
        <f t="shared" si="76"/>
        <v>0</v>
      </c>
      <c r="XX77" s="162">
        <f t="shared" si="76"/>
        <v>0</v>
      </c>
      <c r="XY77" s="162">
        <f t="shared" si="76"/>
        <v>0</v>
      </c>
      <c r="XZ77" s="162">
        <f t="shared" si="76"/>
        <v>0</v>
      </c>
      <c r="YA77" s="162">
        <f t="shared" si="76"/>
        <v>0</v>
      </c>
      <c r="YB77" s="162">
        <f t="shared" si="76"/>
        <v>0</v>
      </c>
      <c r="YC77" s="162">
        <f t="shared" si="76"/>
        <v>0</v>
      </c>
      <c r="YD77" s="162">
        <f t="shared" si="76"/>
        <v>0</v>
      </c>
      <c r="YE77" s="162">
        <f t="shared" si="76"/>
        <v>0</v>
      </c>
      <c r="YF77" s="162">
        <f t="shared" si="76"/>
        <v>0</v>
      </c>
      <c r="YG77" s="162">
        <f t="shared" si="76"/>
        <v>0</v>
      </c>
      <c r="YH77" s="162">
        <f t="shared" si="76"/>
        <v>0</v>
      </c>
      <c r="YI77" s="162">
        <f t="shared" si="76"/>
        <v>0</v>
      </c>
      <c r="YJ77" s="162">
        <f t="shared" si="76"/>
        <v>0</v>
      </c>
      <c r="YK77" s="162">
        <f t="shared" si="76"/>
        <v>0</v>
      </c>
      <c r="YL77" s="162">
        <f t="shared" si="76"/>
        <v>0</v>
      </c>
      <c r="YM77" s="162">
        <f t="shared" si="76"/>
        <v>0</v>
      </c>
      <c r="YN77" s="162">
        <f t="shared" si="76"/>
        <v>0</v>
      </c>
      <c r="YO77" s="162">
        <f t="shared" si="76"/>
        <v>0</v>
      </c>
      <c r="YP77" s="162">
        <f t="shared" si="76"/>
        <v>0</v>
      </c>
      <c r="YQ77" s="162">
        <f t="shared" si="76"/>
        <v>0</v>
      </c>
      <c r="YR77" s="162">
        <f t="shared" si="76"/>
        <v>0</v>
      </c>
      <c r="YS77" s="162">
        <f t="shared" si="76"/>
        <v>0</v>
      </c>
      <c r="YT77" s="162">
        <f t="shared" ref="YT77:ABE77" si="77">SUM(YT72:YT75)</f>
        <v>0</v>
      </c>
      <c r="YU77" s="162">
        <f t="shared" si="77"/>
        <v>0</v>
      </c>
      <c r="YV77" s="162">
        <f t="shared" si="77"/>
        <v>0</v>
      </c>
      <c r="YW77" s="162">
        <f t="shared" si="77"/>
        <v>0</v>
      </c>
      <c r="YX77" s="162">
        <f t="shared" si="77"/>
        <v>0</v>
      </c>
      <c r="YY77" s="162">
        <f t="shared" si="77"/>
        <v>0</v>
      </c>
      <c r="YZ77" s="162">
        <f t="shared" si="77"/>
        <v>0</v>
      </c>
      <c r="ZA77" s="162">
        <f t="shared" si="77"/>
        <v>0</v>
      </c>
      <c r="ZB77" s="162">
        <f t="shared" si="77"/>
        <v>0</v>
      </c>
      <c r="ZC77" s="162">
        <f t="shared" si="77"/>
        <v>0</v>
      </c>
      <c r="ZD77" s="162">
        <f t="shared" si="77"/>
        <v>0</v>
      </c>
      <c r="ZE77" s="162">
        <f t="shared" si="77"/>
        <v>0</v>
      </c>
      <c r="ZF77" s="162">
        <f t="shared" si="77"/>
        <v>0</v>
      </c>
      <c r="ZG77" s="162">
        <f t="shared" si="77"/>
        <v>0</v>
      </c>
      <c r="ZH77" s="162">
        <f t="shared" si="77"/>
        <v>0</v>
      </c>
      <c r="ZI77" s="162">
        <f t="shared" si="77"/>
        <v>0</v>
      </c>
      <c r="ZJ77" s="162">
        <f t="shared" si="77"/>
        <v>0</v>
      </c>
      <c r="ZK77" s="162">
        <f t="shared" si="77"/>
        <v>0</v>
      </c>
      <c r="ZL77" s="162">
        <f t="shared" si="77"/>
        <v>0</v>
      </c>
      <c r="ZM77" s="162">
        <f t="shared" si="77"/>
        <v>0</v>
      </c>
      <c r="ZN77" s="162">
        <f t="shared" si="77"/>
        <v>0</v>
      </c>
      <c r="ZO77" s="162">
        <f t="shared" si="77"/>
        <v>0</v>
      </c>
      <c r="ZP77" s="162">
        <f t="shared" si="77"/>
        <v>0</v>
      </c>
      <c r="ZQ77" s="162">
        <f t="shared" si="77"/>
        <v>0</v>
      </c>
      <c r="ZR77" s="162">
        <f t="shared" si="77"/>
        <v>0</v>
      </c>
      <c r="ZS77" s="162">
        <f t="shared" si="77"/>
        <v>0</v>
      </c>
      <c r="ZT77" s="162">
        <f t="shared" si="77"/>
        <v>0</v>
      </c>
      <c r="ZU77" s="162">
        <f t="shared" si="77"/>
        <v>0</v>
      </c>
      <c r="ZV77" s="162">
        <f t="shared" si="77"/>
        <v>0</v>
      </c>
      <c r="ZW77" s="162">
        <f t="shared" si="77"/>
        <v>0</v>
      </c>
      <c r="ZX77" s="162">
        <f t="shared" si="77"/>
        <v>0</v>
      </c>
      <c r="ZY77" s="162">
        <f t="shared" si="77"/>
        <v>0</v>
      </c>
      <c r="ZZ77" s="162">
        <f t="shared" si="77"/>
        <v>0</v>
      </c>
      <c r="AAA77" s="162">
        <f t="shared" si="77"/>
        <v>0</v>
      </c>
      <c r="AAB77" s="162">
        <f t="shared" si="77"/>
        <v>0</v>
      </c>
      <c r="AAC77" s="162">
        <f t="shared" si="77"/>
        <v>0</v>
      </c>
      <c r="AAD77" s="162">
        <f t="shared" si="77"/>
        <v>0</v>
      </c>
      <c r="AAE77" s="162">
        <f t="shared" si="77"/>
        <v>0</v>
      </c>
      <c r="AAF77" s="162">
        <f t="shared" si="77"/>
        <v>0</v>
      </c>
      <c r="AAG77" s="162">
        <f t="shared" si="77"/>
        <v>0</v>
      </c>
      <c r="AAH77" s="162">
        <f t="shared" si="77"/>
        <v>0</v>
      </c>
      <c r="AAI77" s="162">
        <f t="shared" si="77"/>
        <v>0</v>
      </c>
      <c r="AAJ77" s="162">
        <f t="shared" si="77"/>
        <v>0</v>
      </c>
      <c r="AAK77" s="162">
        <f t="shared" si="77"/>
        <v>0</v>
      </c>
      <c r="AAL77" s="162">
        <f t="shared" si="77"/>
        <v>0</v>
      </c>
      <c r="AAM77" s="162">
        <f t="shared" si="77"/>
        <v>0</v>
      </c>
      <c r="AAN77" s="162">
        <f t="shared" si="77"/>
        <v>0</v>
      </c>
      <c r="AAO77" s="162">
        <f t="shared" si="77"/>
        <v>0</v>
      </c>
      <c r="AAP77" s="162">
        <f t="shared" si="77"/>
        <v>0</v>
      </c>
      <c r="AAQ77" s="162">
        <f t="shared" si="77"/>
        <v>0</v>
      </c>
      <c r="AAR77" s="162">
        <f t="shared" si="77"/>
        <v>0</v>
      </c>
      <c r="AAS77" s="162">
        <f t="shared" si="77"/>
        <v>0</v>
      </c>
      <c r="AAT77" s="162">
        <f t="shared" si="77"/>
        <v>0</v>
      </c>
      <c r="AAU77" s="162">
        <f t="shared" si="77"/>
        <v>0</v>
      </c>
      <c r="AAV77" s="162">
        <f t="shared" si="77"/>
        <v>0</v>
      </c>
      <c r="AAW77" s="162">
        <f t="shared" si="77"/>
        <v>0</v>
      </c>
      <c r="AAX77" s="162">
        <f t="shared" si="77"/>
        <v>0</v>
      </c>
      <c r="AAY77" s="162">
        <f t="shared" si="77"/>
        <v>0</v>
      </c>
      <c r="AAZ77" s="162">
        <f t="shared" si="77"/>
        <v>0</v>
      </c>
      <c r="ABA77" s="162">
        <f t="shared" si="77"/>
        <v>0</v>
      </c>
      <c r="ABB77" s="162">
        <f t="shared" si="77"/>
        <v>0</v>
      </c>
      <c r="ABC77" s="162">
        <f t="shared" si="77"/>
        <v>0</v>
      </c>
      <c r="ABD77" s="162">
        <f t="shared" si="77"/>
        <v>0</v>
      </c>
      <c r="ABE77" s="162">
        <f t="shared" si="77"/>
        <v>0</v>
      </c>
      <c r="ABF77" s="162">
        <f t="shared" ref="ABF77:ABR77" si="78">SUM(ABF72:ABF75)</f>
        <v>0</v>
      </c>
      <c r="ABG77" s="162">
        <f t="shared" si="78"/>
        <v>0</v>
      </c>
      <c r="ABH77" s="162">
        <f t="shared" si="78"/>
        <v>0</v>
      </c>
      <c r="ABI77" s="162">
        <f t="shared" si="78"/>
        <v>0</v>
      </c>
      <c r="ABJ77" s="162">
        <f t="shared" si="78"/>
        <v>0</v>
      </c>
      <c r="ABK77" s="162">
        <f t="shared" si="78"/>
        <v>0</v>
      </c>
      <c r="ABL77" s="162">
        <f t="shared" si="78"/>
        <v>0</v>
      </c>
      <c r="ABM77" s="162">
        <f t="shared" si="78"/>
        <v>0</v>
      </c>
      <c r="ABN77" s="162">
        <f t="shared" si="78"/>
        <v>0</v>
      </c>
      <c r="ABO77" s="162">
        <f t="shared" si="78"/>
        <v>0</v>
      </c>
      <c r="ABP77" s="162">
        <f t="shared" si="78"/>
        <v>0</v>
      </c>
      <c r="ABQ77" s="162">
        <f t="shared" si="78"/>
        <v>0</v>
      </c>
      <c r="ABR77" s="162">
        <f t="shared" si="78"/>
        <v>0</v>
      </c>
      <c r="ABS77" s="163"/>
      <c r="ABT77" s="113"/>
      <c r="ABU77" s="113"/>
      <c r="ABV77" s="113"/>
      <c r="ABW77" s="113"/>
      <c r="ABX77" s="113"/>
      <c r="ABY77" s="113"/>
      <c r="ABZ77" s="113"/>
      <c r="ACA77" s="113"/>
      <c r="ACB77" s="113"/>
      <c r="ACC77" s="113"/>
      <c r="ACD77" s="113"/>
      <c r="ACE77" s="113"/>
      <c r="ACF77" s="113"/>
      <c r="ACG77" s="113"/>
      <c r="ACH77" s="113"/>
      <c r="ACI77" s="113"/>
      <c r="ACJ77" s="113"/>
      <c r="ACK77" s="113"/>
      <c r="ACL77" s="113"/>
      <c r="ACM77" s="113"/>
      <c r="ACN77" s="113"/>
      <c r="ACO77" s="113"/>
      <c r="ACP77" s="113"/>
      <c r="ACQ77" s="113"/>
      <c r="ACR77" s="113"/>
      <c r="ACS77" s="113"/>
      <c r="ACT77" s="113"/>
      <c r="ACU77" s="113"/>
      <c r="ACV77" s="113"/>
      <c r="ACW77" s="113"/>
      <c r="ACX77" s="113"/>
      <c r="ACY77" s="113"/>
      <c r="ACZ77" s="113"/>
      <c r="ADA77" s="113"/>
      <c r="ADB77" s="113"/>
      <c r="ADC77" s="113"/>
      <c r="ADD77" s="113"/>
      <c r="ADE77" s="113"/>
      <c r="ADF77" s="113"/>
      <c r="ADG77" s="113"/>
      <c r="ADH77" s="113"/>
      <c r="ADI77" s="113"/>
      <c r="ADJ77" s="113"/>
      <c r="ADK77" s="113"/>
      <c r="ADL77" s="113"/>
      <c r="ADM77" s="113"/>
      <c r="ADN77" s="113"/>
      <c r="ADO77" s="113"/>
      <c r="ADP77" s="113"/>
      <c r="ADQ77" s="113"/>
      <c r="ADR77" s="113"/>
      <c r="ADS77" s="113"/>
      <c r="ADT77" s="113"/>
      <c r="ADU77" s="113"/>
      <c r="ADV77" s="113"/>
      <c r="ADW77" s="113"/>
      <c r="ADX77" s="113"/>
      <c r="ADY77" s="113"/>
      <c r="ADZ77" s="113"/>
      <c r="AEA77" s="113"/>
      <c r="AEB77" s="113"/>
      <c r="AEC77" s="113"/>
      <c r="AED77" s="113"/>
      <c r="AEE77" s="113"/>
      <c r="AEF77" s="113"/>
      <c r="AEG77" s="113"/>
      <c r="AEH77" s="113"/>
      <c r="AEI77" s="113"/>
      <c r="AEJ77" s="113"/>
      <c r="AEK77" s="113"/>
      <c r="AEL77" s="113"/>
      <c r="AEM77" s="113"/>
      <c r="AEN77" s="113"/>
      <c r="AEO77" s="113"/>
      <c r="AEP77" s="113"/>
      <c r="AEQ77" s="113"/>
      <c r="AER77" s="113"/>
      <c r="AES77" s="113"/>
      <c r="AET77" s="113"/>
      <c r="AEU77" s="113"/>
      <c r="AEV77" s="113"/>
      <c r="AEW77" s="113"/>
      <c r="AEX77" s="113"/>
      <c r="AEY77" s="113"/>
      <c r="AEZ77" s="113"/>
      <c r="AFA77" s="113"/>
      <c r="AFB77" s="113"/>
      <c r="AFC77" s="113"/>
      <c r="AFD77" s="113"/>
      <c r="AFE77" s="113"/>
      <c r="AFF77" s="113"/>
      <c r="AFG77" s="113"/>
      <c r="AFH77" s="113"/>
      <c r="AFI77" s="113"/>
      <c r="AFJ77" s="113"/>
      <c r="AFK77" s="113"/>
      <c r="AFL77" s="113"/>
      <c r="AFM77" s="113"/>
      <c r="AFN77" s="113"/>
      <c r="AFO77" s="113"/>
      <c r="AFP77" s="113"/>
      <c r="AFQ77" s="113"/>
      <c r="AFR77" s="113"/>
      <c r="AFS77" s="113"/>
      <c r="AFT77" s="113"/>
      <c r="AFU77" s="113"/>
      <c r="AFV77" s="113"/>
      <c r="AFW77" s="113"/>
      <c r="AFX77" s="113"/>
      <c r="AFY77" s="113"/>
      <c r="AFZ77" s="113"/>
      <c r="AGA77" s="113"/>
      <c r="AGB77" s="113"/>
      <c r="AGC77" s="113"/>
      <c r="AGD77" s="113"/>
      <c r="AGE77" s="113"/>
      <c r="AGF77" s="113"/>
      <c r="AGG77" s="113"/>
      <c r="AGH77" s="113"/>
      <c r="AGI77" s="113"/>
      <c r="AGJ77" s="113"/>
      <c r="AGK77" s="113"/>
      <c r="AGL77" s="113"/>
      <c r="AGM77" s="113"/>
      <c r="AGN77" s="113"/>
      <c r="AGO77" s="113"/>
      <c r="AGP77" s="113"/>
      <c r="AGQ77" s="113"/>
      <c r="AGR77" s="113"/>
      <c r="AGS77" s="113"/>
      <c r="AGT77" s="113"/>
      <c r="AGU77" s="113"/>
      <c r="AGV77" s="113"/>
      <c r="AGW77" s="113"/>
      <c r="AGX77" s="113"/>
      <c r="AGY77" s="113"/>
      <c r="AGZ77" s="113"/>
      <c r="AHA77" s="113"/>
      <c r="AHB77" s="113"/>
      <c r="AHC77" s="113"/>
      <c r="AHD77" s="113"/>
      <c r="AHE77" s="113"/>
      <c r="AHF77" s="113"/>
      <c r="AHG77" s="113"/>
      <c r="AHH77" s="113"/>
      <c r="AHI77" s="113"/>
      <c r="AHJ77" s="113"/>
      <c r="AHK77" s="113"/>
      <c r="AHL77" s="113"/>
      <c r="AHM77" s="113"/>
      <c r="AHN77" s="113"/>
      <c r="AHO77" s="113"/>
      <c r="AHP77" s="113"/>
      <c r="AHQ77" s="113"/>
      <c r="AHR77" s="113"/>
      <c r="AHS77" s="113"/>
      <c r="AHT77" s="113"/>
      <c r="AHU77" s="113"/>
      <c r="AHV77" s="113"/>
      <c r="AHW77" s="113"/>
      <c r="AHX77" s="113"/>
      <c r="AHY77" s="113"/>
      <c r="AHZ77" s="113"/>
      <c r="AIA77" s="113"/>
      <c r="AIB77" s="113"/>
      <c r="AIC77" s="113"/>
      <c r="AID77" s="113"/>
      <c r="AIE77" s="113"/>
      <c r="AIF77" s="113"/>
      <c r="AIG77" s="113"/>
      <c r="AIH77" s="113"/>
      <c r="AII77" s="113"/>
      <c r="AIJ77" s="113"/>
      <c r="AIK77" s="113"/>
      <c r="AIL77" s="113"/>
      <c r="AIM77" s="113"/>
      <c r="AIN77" s="113"/>
      <c r="AIO77" s="113"/>
      <c r="AIP77" s="113"/>
      <c r="AIQ77" s="113"/>
      <c r="AIR77" s="113"/>
      <c r="AIS77" s="113"/>
      <c r="AIT77" s="113"/>
      <c r="AIU77" s="113"/>
      <c r="AIV77" s="113"/>
      <c r="AIW77" s="113"/>
      <c r="AIX77" s="113"/>
      <c r="AIY77" s="113"/>
      <c r="AIZ77" s="113"/>
      <c r="AJA77" s="113"/>
      <c r="AJB77" s="113"/>
      <c r="AJC77" s="113"/>
      <c r="AJD77" s="113"/>
      <c r="AJE77" s="113"/>
      <c r="AJF77" s="113"/>
      <c r="AJG77" s="113"/>
      <c r="AJH77" s="113"/>
      <c r="AJI77" s="113"/>
      <c r="AJJ77" s="113"/>
      <c r="AJK77" s="113"/>
      <c r="AJL77" s="113"/>
      <c r="AJM77" s="113"/>
      <c r="AJN77" s="113"/>
      <c r="AJO77" s="113"/>
      <c r="AJP77" s="113"/>
      <c r="AJQ77" s="113"/>
      <c r="AJR77" s="113"/>
      <c r="AJS77" s="113"/>
      <c r="AJT77" s="113"/>
      <c r="AJU77" s="113"/>
      <c r="AJV77" s="113"/>
      <c r="AJW77" s="113"/>
      <c r="AJX77" s="113"/>
      <c r="AJY77" s="113"/>
      <c r="AJZ77" s="113"/>
      <c r="AKA77" s="113"/>
      <c r="AKB77" s="113"/>
      <c r="AKC77" s="113"/>
      <c r="AKD77" s="113"/>
      <c r="AKE77" s="113"/>
      <c r="AKF77" s="113"/>
      <c r="AKG77" s="113"/>
      <c r="AKH77" s="113"/>
      <c r="AKI77" s="113"/>
      <c r="AKJ77" s="113"/>
      <c r="AKK77" s="113"/>
      <c r="AKL77" s="113"/>
      <c r="AKM77" s="113"/>
      <c r="AKN77" s="113"/>
      <c r="AKO77" s="113"/>
      <c r="AKP77" s="113"/>
      <c r="AKQ77" s="113"/>
      <c r="AKR77" s="113"/>
      <c r="AKS77" s="113"/>
      <c r="AKT77" s="113"/>
      <c r="AKU77" s="113"/>
      <c r="AKV77" s="113"/>
      <c r="AKW77" s="113"/>
      <c r="AKX77" s="113"/>
      <c r="AKY77" s="113"/>
      <c r="AKZ77" s="113"/>
      <c r="ALA77" s="113"/>
      <c r="ALB77" s="113"/>
      <c r="ALC77" s="113"/>
      <c r="ALD77" s="113"/>
      <c r="ALE77" s="113"/>
      <c r="ALF77" s="113"/>
      <c r="ALG77" s="113"/>
      <c r="ALH77" s="113"/>
      <c r="ALI77" s="113"/>
      <c r="ALJ77" s="113"/>
      <c r="ALK77" s="113"/>
      <c r="ALL77" s="113"/>
      <c r="ALM77" s="113"/>
      <c r="ALN77" s="113"/>
      <c r="ALO77" s="113"/>
      <c r="ALP77" s="113"/>
      <c r="ALQ77" s="113"/>
      <c r="ALR77" s="113"/>
      <c r="ALS77" s="113"/>
      <c r="ALT77" s="113"/>
      <c r="ALU77" s="113"/>
      <c r="ALV77" s="113"/>
      <c r="ALW77" s="113"/>
      <c r="ALX77" s="113"/>
      <c r="ALY77" s="113"/>
      <c r="ALZ77" s="113"/>
      <c r="AMA77" s="113"/>
      <c r="AMB77" s="113"/>
      <c r="AMC77" s="113"/>
      <c r="AMD77" s="113"/>
      <c r="AME77" s="113"/>
      <c r="AMF77" s="113"/>
      <c r="AMG77" s="113"/>
      <c r="AMH77" s="113"/>
      <c r="AMI77" s="113"/>
      <c r="AMJ77" s="113"/>
      <c r="AMK77" s="113"/>
      <c r="AML77" s="113"/>
      <c r="AMM77" s="113"/>
      <c r="AMN77" s="113"/>
      <c r="AMO77" s="113"/>
      <c r="AMP77" s="113"/>
      <c r="AMQ77" s="113"/>
      <c r="AMR77" s="113"/>
      <c r="AMS77" s="113"/>
      <c r="AMT77" s="113"/>
      <c r="AMU77" s="113"/>
      <c r="AMV77" s="113"/>
      <c r="AMW77" s="113"/>
      <c r="AMX77" s="113"/>
      <c r="AMY77" s="113"/>
      <c r="AMZ77" s="113"/>
      <c r="ANA77" s="113"/>
      <c r="ANB77" s="113"/>
      <c r="ANC77" s="113"/>
      <c r="AND77" s="113"/>
      <c r="ANE77" s="113"/>
      <c r="ANF77" s="113"/>
      <c r="ANG77" s="113"/>
      <c r="ANH77" s="113"/>
      <c r="ANI77" s="113"/>
      <c r="ANJ77" s="113"/>
      <c r="ANK77" s="113"/>
      <c r="ANL77" s="113"/>
      <c r="ANM77" s="113"/>
      <c r="ANN77" s="113"/>
      <c r="ANO77" s="113"/>
      <c r="ANP77" s="113"/>
      <c r="ANQ77" s="113"/>
      <c r="ANR77" s="113"/>
      <c r="ANS77" s="113"/>
      <c r="ANT77" s="113"/>
      <c r="ANU77" s="113"/>
      <c r="ANV77" s="113"/>
      <c r="ANW77" s="113"/>
      <c r="ANX77" s="113"/>
      <c r="ANY77" s="113"/>
      <c r="ANZ77" s="113"/>
      <c r="AOA77" s="113"/>
      <c r="AOB77" s="113"/>
      <c r="AOC77" s="113"/>
      <c r="AOD77" s="113"/>
      <c r="AOE77" s="113"/>
      <c r="AOF77" s="113"/>
      <c r="AOG77" s="113"/>
      <c r="AOH77" s="113"/>
      <c r="AOI77" s="113"/>
      <c r="AOJ77" s="113"/>
      <c r="AOK77" s="113"/>
      <c r="AOL77" s="113"/>
      <c r="AOM77" s="113"/>
      <c r="AON77" s="113"/>
      <c r="AOO77" s="113"/>
      <c r="AOP77" s="113"/>
      <c r="AOQ77" s="113"/>
      <c r="AOR77" s="113"/>
      <c r="AOS77" s="113"/>
      <c r="AOT77" s="113"/>
      <c r="AOU77" s="113"/>
      <c r="AOV77" s="113"/>
      <c r="AOW77" s="113"/>
      <c r="AOX77" s="113"/>
      <c r="AOY77" s="113"/>
      <c r="AOZ77" s="113"/>
      <c r="APA77" s="113"/>
      <c r="APB77" s="113"/>
      <c r="APC77" s="113"/>
      <c r="APD77" s="113"/>
      <c r="APE77" s="113"/>
      <c r="APF77" s="113"/>
      <c r="APG77" s="113"/>
      <c r="APH77" s="113"/>
      <c r="API77" s="113"/>
      <c r="APJ77" s="113"/>
      <c r="APK77" s="113"/>
      <c r="APL77" s="113"/>
      <c r="APM77" s="113"/>
      <c r="APN77" s="113"/>
      <c r="APO77" s="113"/>
      <c r="APP77" s="113"/>
      <c r="APQ77" s="113"/>
      <c r="APR77" s="113"/>
      <c r="APS77" s="113"/>
      <c r="APT77" s="113"/>
      <c r="APU77" s="113"/>
      <c r="APV77" s="113"/>
      <c r="APW77" s="113"/>
      <c r="APX77" s="113"/>
      <c r="APY77" s="113"/>
      <c r="APZ77" s="113"/>
      <c r="AQA77" s="113"/>
      <c r="AQB77" s="113"/>
      <c r="AQC77" s="113"/>
      <c r="AQD77" s="113"/>
      <c r="AQE77" s="113"/>
      <c r="AQF77" s="113"/>
      <c r="AQG77" s="113"/>
      <c r="AQH77" s="113"/>
      <c r="AQI77" s="113"/>
      <c r="AQJ77" s="113"/>
      <c r="AQK77" s="113"/>
      <c r="AQL77" s="113"/>
      <c r="AQM77" s="113"/>
      <c r="AQN77" s="113"/>
      <c r="AQO77" s="113"/>
      <c r="AQP77" s="113"/>
      <c r="AQQ77" s="113"/>
      <c r="AQR77" s="113"/>
      <c r="AQS77" s="113"/>
      <c r="AQT77" s="113"/>
      <c r="AQU77" s="113"/>
      <c r="AQV77" s="113"/>
      <c r="AQW77" s="113"/>
      <c r="AQX77" s="113"/>
      <c r="AQY77" s="113"/>
      <c r="AQZ77" s="113"/>
      <c r="ARA77" s="113"/>
      <c r="ARB77" s="113"/>
      <c r="ARC77" s="113"/>
      <c r="ARD77" s="113"/>
      <c r="ARE77" s="113"/>
      <c r="ARF77" s="113"/>
      <c r="ARG77" s="113"/>
      <c r="ARH77" s="113"/>
      <c r="ARI77" s="113"/>
      <c r="ARJ77" s="113"/>
      <c r="ARK77" s="113"/>
      <c r="ARL77" s="113"/>
      <c r="ARM77" s="113"/>
      <c r="ARN77" s="113"/>
      <c r="ARO77" s="113"/>
      <c r="ARP77" s="113"/>
      <c r="ARQ77" s="113"/>
      <c r="ARR77" s="113"/>
      <c r="ARS77" s="113"/>
      <c r="ART77" s="113"/>
      <c r="ARU77" s="113"/>
      <c r="ARV77" s="113"/>
      <c r="ARW77" s="113"/>
      <c r="ARX77" s="113"/>
      <c r="ARY77" s="113"/>
      <c r="ARZ77" s="113"/>
      <c r="ASA77" s="113"/>
      <c r="ASB77" s="113"/>
      <c r="ASC77" s="113"/>
      <c r="ASD77" s="113"/>
      <c r="ASE77" s="113"/>
      <c r="ASF77" s="113"/>
      <c r="ASG77" s="113"/>
      <c r="ASH77" s="113"/>
      <c r="ASI77" s="113"/>
      <c r="ASJ77" s="113"/>
      <c r="ASK77" s="113"/>
      <c r="ASL77" s="113"/>
      <c r="ASM77" s="113"/>
      <c r="ASN77" s="113"/>
      <c r="ASO77" s="113"/>
      <c r="ASP77" s="113"/>
      <c r="ASQ77" s="113"/>
      <c r="ASR77" s="113"/>
      <c r="ASS77" s="113"/>
      <c r="AST77" s="113"/>
      <c r="ASU77" s="113"/>
      <c r="ASV77" s="113"/>
      <c r="ASW77" s="113"/>
      <c r="ASX77" s="113"/>
      <c r="ASY77" s="113"/>
      <c r="ASZ77" s="113"/>
      <c r="ATA77" s="113"/>
      <c r="ATB77" s="113"/>
      <c r="ATC77" s="113"/>
      <c r="ATD77" s="113"/>
      <c r="ATE77" s="113"/>
      <c r="ATF77" s="113"/>
      <c r="ATG77" s="113"/>
      <c r="ATH77" s="113"/>
      <c r="ATI77" s="113"/>
      <c r="ATJ77" s="113"/>
      <c r="ATK77" s="113"/>
      <c r="ATL77" s="113"/>
      <c r="ATM77" s="113"/>
      <c r="ATN77" s="113"/>
      <c r="ATO77" s="113"/>
      <c r="ATP77" s="113"/>
      <c r="ATQ77" s="113"/>
      <c r="ATR77" s="113"/>
      <c r="ATS77" s="113"/>
      <c r="ATT77" s="113"/>
      <c r="ATU77" s="113"/>
      <c r="ATV77" s="113"/>
      <c r="ATW77" s="113"/>
      <c r="ATX77" s="113"/>
      <c r="ATY77" s="113"/>
      <c r="ATZ77" s="113"/>
      <c r="AUA77" s="113"/>
      <c r="AUB77" s="113"/>
      <c r="AUC77" s="113"/>
      <c r="AUD77" s="113"/>
      <c r="AUE77" s="113"/>
      <c r="AUF77" s="113"/>
      <c r="AUG77" s="113"/>
      <c r="AUH77" s="113"/>
      <c r="AUI77" s="113"/>
      <c r="AUJ77" s="113"/>
      <c r="AUK77" s="113"/>
      <c r="AUL77" s="113"/>
      <c r="AUM77" s="113"/>
      <c r="AUN77" s="113"/>
      <c r="AUO77" s="113"/>
      <c r="AUP77" s="113"/>
      <c r="AUQ77" s="113"/>
      <c r="AUR77" s="113"/>
      <c r="AUS77" s="113"/>
      <c r="AUT77" s="113"/>
      <c r="AUU77" s="113"/>
      <c r="AUV77" s="113"/>
      <c r="AUW77" s="113"/>
      <c r="AUX77" s="113"/>
      <c r="AUY77" s="113"/>
      <c r="AUZ77" s="113"/>
      <c r="AVA77" s="113"/>
      <c r="AVB77" s="113"/>
      <c r="AVC77" s="113"/>
      <c r="AVD77" s="113"/>
      <c r="AVE77" s="113"/>
      <c r="AVF77" s="113"/>
      <c r="AVG77" s="113"/>
      <c r="AVH77" s="113"/>
      <c r="AVI77" s="113"/>
      <c r="AVJ77" s="113"/>
      <c r="AVK77" s="113"/>
      <c r="AVL77" s="113"/>
      <c r="AVM77" s="113"/>
      <c r="AVN77" s="113"/>
      <c r="AVO77" s="113"/>
      <c r="AVP77" s="113"/>
      <c r="AVQ77" s="113"/>
      <c r="AVR77" s="113"/>
      <c r="AVS77" s="113"/>
      <c r="AVT77" s="113"/>
      <c r="AVU77" s="113"/>
      <c r="AVV77" s="113"/>
      <c r="AVW77" s="113"/>
      <c r="AVX77" s="113"/>
      <c r="AVY77" s="113"/>
      <c r="AVZ77" s="113"/>
      <c r="AWA77" s="113"/>
      <c r="AWB77" s="113"/>
      <c r="AWC77" s="113"/>
      <c r="AWD77" s="113"/>
      <c r="AWE77" s="113"/>
      <c r="AWF77" s="113"/>
      <c r="AWG77" s="113"/>
      <c r="AWH77" s="113"/>
      <c r="AWI77" s="113"/>
      <c r="AWJ77" s="113"/>
      <c r="AWK77" s="113"/>
      <c r="AWL77" s="113"/>
      <c r="AWM77" s="113"/>
      <c r="AWN77" s="113"/>
      <c r="AWO77" s="113"/>
      <c r="AWP77" s="113"/>
      <c r="AWQ77" s="113"/>
      <c r="AWR77" s="113"/>
      <c r="AWS77" s="113"/>
      <c r="AWT77" s="113"/>
      <c r="AWU77" s="113"/>
      <c r="AWV77" s="113"/>
      <c r="AWW77" s="113"/>
      <c r="AWX77" s="113"/>
      <c r="AWY77" s="113"/>
      <c r="AWZ77" s="113"/>
      <c r="AXA77" s="113"/>
      <c r="AXB77" s="113"/>
      <c r="AXC77" s="113"/>
      <c r="AXD77" s="113"/>
      <c r="AXE77" s="113"/>
      <c r="AXF77" s="113"/>
      <c r="AXG77" s="113"/>
      <c r="AXH77" s="113"/>
      <c r="AXI77" s="113"/>
      <c r="AXJ77" s="113"/>
      <c r="AXK77" s="113"/>
      <c r="AXL77" s="113"/>
      <c r="AXM77" s="113"/>
      <c r="AXN77" s="113"/>
      <c r="AXO77" s="113"/>
      <c r="AXP77" s="113"/>
      <c r="AXQ77" s="113"/>
      <c r="AXR77" s="113"/>
      <c r="AXS77" s="113"/>
      <c r="AXT77" s="113"/>
      <c r="AXU77" s="113"/>
      <c r="AXV77" s="113"/>
      <c r="AXW77" s="113"/>
      <c r="AXX77" s="113"/>
      <c r="AXY77" s="113"/>
      <c r="AXZ77" s="113"/>
      <c r="AYA77" s="113"/>
      <c r="AYB77" s="113"/>
      <c r="AYC77" s="113"/>
      <c r="AYD77" s="113"/>
      <c r="AYE77" s="113"/>
      <c r="AYF77" s="113"/>
      <c r="AYG77" s="113"/>
      <c r="AYH77" s="113"/>
      <c r="AYI77" s="113"/>
      <c r="AYJ77" s="113"/>
      <c r="AYK77" s="113"/>
      <c r="AYL77" s="113"/>
      <c r="AYM77" s="113"/>
      <c r="AYN77" s="113"/>
      <c r="AYO77" s="113"/>
      <c r="AYP77" s="113"/>
      <c r="AYQ77" s="113"/>
      <c r="AYR77" s="113"/>
      <c r="AYS77" s="113"/>
      <c r="AYT77" s="113"/>
      <c r="AYU77" s="113"/>
      <c r="AYV77" s="113"/>
      <c r="AYW77" s="113"/>
      <c r="AYX77" s="113"/>
      <c r="AYY77" s="113"/>
      <c r="AYZ77" s="113"/>
      <c r="AZA77" s="113"/>
      <c r="AZB77" s="113"/>
      <c r="AZC77" s="113"/>
      <c r="AZD77" s="113"/>
      <c r="AZE77" s="113"/>
      <c r="AZF77" s="113"/>
      <c r="AZG77" s="113"/>
      <c r="AZH77" s="113"/>
      <c r="AZI77" s="113"/>
      <c r="AZJ77" s="113"/>
      <c r="AZK77" s="113"/>
      <c r="AZL77" s="113"/>
      <c r="AZM77" s="113"/>
      <c r="AZN77" s="113"/>
      <c r="AZO77" s="113"/>
      <c r="AZP77" s="113"/>
      <c r="AZQ77" s="113"/>
      <c r="AZR77" s="113"/>
      <c r="AZS77" s="113"/>
      <c r="AZT77" s="113"/>
      <c r="AZU77" s="113"/>
      <c r="AZV77" s="113"/>
      <c r="AZW77" s="113"/>
      <c r="AZX77" s="113"/>
      <c r="AZY77" s="113"/>
      <c r="AZZ77" s="113"/>
      <c r="BAA77" s="113"/>
      <c r="BAB77" s="113"/>
      <c r="BAC77" s="113"/>
      <c r="BAD77" s="113"/>
      <c r="BAE77" s="113"/>
      <c r="BAF77" s="113"/>
      <c r="BAG77" s="113"/>
      <c r="BAH77" s="113"/>
      <c r="BAI77" s="113"/>
      <c r="BAJ77" s="113"/>
      <c r="BAK77" s="113"/>
      <c r="BAL77" s="113"/>
      <c r="BAM77" s="113"/>
      <c r="BAN77" s="113"/>
      <c r="BAO77" s="113"/>
      <c r="BAP77" s="113"/>
      <c r="BAQ77" s="113"/>
      <c r="BAR77" s="113"/>
      <c r="BAS77" s="113"/>
      <c r="BAT77" s="113"/>
      <c r="BAU77" s="113"/>
      <c r="BAV77" s="113"/>
      <c r="BAW77" s="113"/>
      <c r="BAX77" s="113"/>
      <c r="BAY77" s="113"/>
      <c r="BAZ77" s="113"/>
      <c r="BBA77" s="113"/>
      <c r="BBB77" s="113"/>
      <c r="BBC77" s="113"/>
      <c r="BBD77" s="113"/>
      <c r="BBE77" s="113"/>
      <c r="BBF77" s="113"/>
      <c r="BBG77" s="113"/>
      <c r="BBH77" s="113"/>
      <c r="BBI77" s="113"/>
      <c r="BBJ77" s="113"/>
      <c r="BBK77" s="113"/>
      <c r="BBL77" s="113"/>
      <c r="BBM77" s="113"/>
      <c r="BBN77" s="113"/>
      <c r="BBO77" s="113"/>
      <c r="BBP77" s="113"/>
      <c r="BBQ77" s="113"/>
      <c r="BBR77" s="113"/>
      <c r="BBS77" s="113"/>
      <c r="BBT77" s="113"/>
      <c r="BBU77" s="113"/>
      <c r="BBV77" s="113"/>
      <c r="BBW77" s="113"/>
      <c r="BBX77" s="113"/>
      <c r="BBY77" s="113"/>
      <c r="BBZ77" s="113"/>
      <c r="BCA77" s="113"/>
      <c r="BCB77" s="113"/>
      <c r="BCC77" s="113"/>
      <c r="BCD77" s="113"/>
      <c r="BCE77" s="113"/>
      <c r="BCF77" s="113"/>
      <c r="BCG77" s="113"/>
      <c r="BCH77" s="113"/>
      <c r="BCI77" s="113"/>
      <c r="BCJ77" s="113"/>
      <c r="BCK77" s="113"/>
      <c r="BCL77" s="113"/>
      <c r="BCM77" s="113"/>
      <c r="BCN77" s="113"/>
      <c r="BCO77" s="113"/>
      <c r="BCP77" s="113"/>
      <c r="BCQ77" s="113"/>
      <c r="BCR77" s="113"/>
      <c r="BCS77" s="113"/>
      <c r="BCT77" s="113"/>
      <c r="BCU77" s="113"/>
      <c r="BCV77" s="113"/>
      <c r="BCW77" s="113"/>
      <c r="BCX77" s="113"/>
      <c r="BCY77" s="113"/>
      <c r="BCZ77" s="113"/>
      <c r="BDA77" s="113"/>
      <c r="BDB77" s="113"/>
      <c r="BDC77" s="113"/>
      <c r="BDD77" s="113"/>
      <c r="BDE77" s="113"/>
      <c r="BDF77" s="113"/>
      <c r="BDG77" s="113"/>
      <c r="BDH77" s="113"/>
      <c r="BDI77" s="113"/>
      <c r="BDJ77" s="113"/>
      <c r="BDK77" s="113"/>
      <c r="BDL77" s="113"/>
      <c r="BDM77" s="113"/>
      <c r="BDN77" s="113"/>
      <c r="BDO77" s="113"/>
      <c r="BDP77" s="113"/>
      <c r="BDQ77" s="113"/>
      <c r="BDR77" s="113"/>
      <c r="BDS77" s="113"/>
      <c r="BDT77" s="113"/>
      <c r="BDU77" s="113"/>
      <c r="BDV77" s="113"/>
      <c r="BDW77" s="113"/>
      <c r="BDX77" s="113"/>
      <c r="BDY77" s="113"/>
      <c r="BDZ77" s="113"/>
      <c r="BEA77" s="113"/>
      <c r="BEB77" s="113"/>
      <c r="BEC77" s="113"/>
      <c r="BED77" s="113"/>
      <c r="BEE77" s="113"/>
      <c r="BEF77" s="113"/>
      <c r="BEG77" s="113"/>
      <c r="BEH77" s="113"/>
      <c r="BEI77" s="113"/>
      <c r="BEJ77" s="113"/>
      <c r="BEK77" s="113"/>
      <c r="BEL77" s="113"/>
      <c r="BEM77" s="113"/>
      <c r="BEN77" s="113"/>
      <c r="BEO77" s="113"/>
      <c r="BEP77" s="113"/>
      <c r="BEQ77" s="113"/>
      <c r="BER77" s="113"/>
      <c r="BES77" s="113"/>
      <c r="BET77" s="113"/>
      <c r="BEU77" s="113"/>
      <c r="BEV77" s="113"/>
      <c r="BEW77" s="113"/>
      <c r="BEX77" s="113"/>
      <c r="BEY77" s="113"/>
      <c r="BEZ77" s="113"/>
      <c r="BFA77" s="113"/>
      <c r="BFB77" s="113"/>
      <c r="BFC77" s="113"/>
      <c r="BFD77" s="113"/>
      <c r="BFE77" s="113"/>
      <c r="BFF77" s="113"/>
      <c r="BFG77" s="113"/>
      <c r="BFH77" s="113"/>
      <c r="BFI77" s="113"/>
      <c r="BFJ77" s="113"/>
      <c r="BFK77" s="113"/>
      <c r="BFL77" s="113"/>
      <c r="BFM77" s="113"/>
      <c r="BFN77" s="113"/>
      <c r="BFO77" s="113"/>
      <c r="BFP77" s="113"/>
      <c r="BFQ77" s="113"/>
      <c r="BFR77" s="113"/>
      <c r="BFS77" s="113"/>
      <c r="BFT77" s="113"/>
      <c r="BFU77" s="113"/>
      <c r="BFV77" s="113"/>
      <c r="BFW77" s="113"/>
      <c r="BFX77" s="113"/>
      <c r="BFY77" s="113"/>
      <c r="BFZ77" s="113"/>
      <c r="BGA77" s="113"/>
      <c r="BGB77" s="113"/>
      <c r="BGC77" s="113"/>
      <c r="BGD77" s="113"/>
      <c r="BGE77" s="113"/>
      <c r="BGF77" s="113"/>
      <c r="BGG77" s="113"/>
      <c r="BGH77" s="113"/>
      <c r="BGI77" s="113"/>
      <c r="BGJ77" s="113"/>
      <c r="BGK77" s="113"/>
      <c r="BGL77" s="113"/>
      <c r="BGM77" s="113"/>
      <c r="BGN77" s="113"/>
      <c r="BGO77" s="113"/>
      <c r="BGP77" s="113"/>
      <c r="BGQ77" s="113"/>
      <c r="BGR77" s="113"/>
      <c r="BGS77" s="113"/>
      <c r="BGT77" s="113"/>
      <c r="BGU77" s="113"/>
      <c r="BGV77" s="113"/>
      <c r="BGW77" s="113"/>
      <c r="BGX77" s="113"/>
      <c r="BGY77" s="113"/>
      <c r="BGZ77" s="113"/>
      <c r="BHA77" s="113"/>
      <c r="BHB77" s="113"/>
      <c r="BHC77" s="113"/>
      <c r="BHD77" s="113"/>
      <c r="BHE77" s="113"/>
      <c r="BHF77" s="113"/>
      <c r="BHG77" s="113"/>
      <c r="BHH77" s="113"/>
      <c r="BHI77" s="113"/>
      <c r="BHJ77" s="113"/>
      <c r="BHK77" s="113"/>
      <c r="BHL77" s="113"/>
      <c r="BHM77" s="113"/>
      <c r="BHN77" s="113"/>
      <c r="BHO77" s="113"/>
      <c r="BHP77" s="113"/>
      <c r="BHQ77" s="113"/>
      <c r="BHR77" s="113"/>
      <c r="BHS77" s="113"/>
      <c r="BHT77" s="113"/>
      <c r="BHU77" s="113"/>
      <c r="BHV77" s="113"/>
      <c r="BHW77" s="113"/>
      <c r="BHX77" s="113"/>
      <c r="BHY77" s="113"/>
      <c r="BHZ77" s="113"/>
      <c r="BIA77" s="113"/>
      <c r="BIB77" s="113"/>
      <c r="BIC77" s="113"/>
      <c r="BID77" s="113"/>
      <c r="BIE77" s="113"/>
      <c r="BIF77" s="113"/>
      <c r="BIG77" s="113"/>
      <c r="BIH77" s="113"/>
      <c r="BII77" s="113"/>
      <c r="BIJ77" s="113"/>
      <c r="BIK77" s="113"/>
      <c r="BIL77" s="113"/>
      <c r="BIM77" s="113"/>
      <c r="BIN77" s="113"/>
      <c r="BIO77" s="113"/>
      <c r="BIP77" s="113"/>
      <c r="BIQ77" s="113"/>
      <c r="BIR77" s="113"/>
      <c r="BIS77" s="113"/>
      <c r="BIT77" s="113"/>
      <c r="BIU77" s="113"/>
      <c r="BIV77" s="113"/>
      <c r="BIW77" s="113"/>
      <c r="BIX77" s="113"/>
      <c r="BIY77" s="113"/>
      <c r="BIZ77" s="113"/>
      <c r="BJA77" s="113"/>
      <c r="BJB77" s="113"/>
      <c r="BJC77" s="113"/>
      <c r="BJD77" s="113"/>
      <c r="BJE77" s="113"/>
      <c r="BJF77" s="113"/>
      <c r="BJG77" s="113"/>
      <c r="BJH77" s="113"/>
      <c r="BJI77" s="113"/>
      <c r="BJJ77" s="113"/>
      <c r="BJK77" s="113"/>
      <c r="BJL77" s="113"/>
      <c r="BJM77" s="113"/>
      <c r="BJN77" s="113"/>
      <c r="BJO77" s="113"/>
      <c r="BJP77" s="113"/>
      <c r="BJQ77" s="113"/>
      <c r="BJR77" s="113"/>
      <c r="BJS77" s="113"/>
      <c r="BJT77" s="113"/>
      <c r="BJU77" s="113"/>
      <c r="BJV77" s="113"/>
      <c r="BJW77" s="113"/>
      <c r="BJX77" s="113"/>
      <c r="BJY77" s="113"/>
      <c r="BJZ77" s="113"/>
      <c r="BKA77" s="113"/>
      <c r="BKB77" s="113"/>
      <c r="BKC77" s="113"/>
      <c r="BKD77" s="113"/>
      <c r="BKE77" s="113"/>
      <c r="BKF77" s="113"/>
      <c r="BKG77" s="113"/>
      <c r="BKH77" s="113"/>
      <c r="BKI77" s="113"/>
      <c r="BKJ77" s="113"/>
      <c r="BKK77" s="113"/>
      <c r="BKL77" s="113"/>
      <c r="BKM77" s="113"/>
      <c r="BKN77" s="113"/>
      <c r="BKO77" s="113"/>
      <c r="BKP77" s="113"/>
      <c r="BKQ77" s="113"/>
      <c r="BKR77" s="113"/>
      <c r="BKS77" s="113"/>
      <c r="BKT77" s="113"/>
      <c r="BKU77" s="113"/>
      <c r="BKV77" s="113"/>
      <c r="BKW77" s="113"/>
      <c r="BKX77" s="113"/>
      <c r="BKY77" s="113"/>
      <c r="BKZ77" s="113"/>
      <c r="BLA77" s="113"/>
      <c r="BLB77" s="113"/>
      <c r="BLC77" s="113"/>
      <c r="BLD77" s="113"/>
      <c r="BLE77" s="113"/>
      <c r="BLF77" s="113"/>
      <c r="BLG77" s="113"/>
      <c r="BLH77" s="113"/>
      <c r="BLI77" s="113"/>
      <c r="BLJ77" s="113"/>
      <c r="BLK77" s="113"/>
      <c r="BLL77" s="113"/>
      <c r="BLM77" s="113"/>
      <c r="BLN77" s="113"/>
      <c r="BLO77" s="113"/>
      <c r="BLP77" s="113"/>
      <c r="BLQ77" s="113"/>
      <c r="BLR77" s="113"/>
      <c r="BLS77" s="113"/>
      <c r="BLT77" s="113"/>
      <c r="BLU77" s="113"/>
      <c r="BLV77" s="113"/>
      <c r="BLW77" s="113"/>
      <c r="BLX77" s="113"/>
      <c r="BLY77" s="113"/>
      <c r="BLZ77" s="113"/>
      <c r="BMA77" s="113"/>
      <c r="BMB77" s="113"/>
      <c r="BMC77" s="113"/>
      <c r="BMD77" s="113"/>
      <c r="BME77" s="113"/>
      <c r="BMF77" s="113"/>
      <c r="BMG77" s="113"/>
      <c r="BMH77" s="113"/>
      <c r="BMI77" s="113"/>
      <c r="BMJ77" s="113"/>
      <c r="BMK77" s="113"/>
      <c r="BML77" s="113"/>
      <c r="BMM77" s="113"/>
      <c r="BMN77" s="113"/>
      <c r="BMO77" s="113"/>
      <c r="BMP77" s="113"/>
      <c r="BMQ77" s="113"/>
      <c r="BMR77" s="113"/>
      <c r="BMS77" s="113"/>
      <c r="BMT77" s="113"/>
      <c r="BMU77" s="113"/>
      <c r="BMV77" s="113"/>
      <c r="BMW77" s="113"/>
      <c r="BMX77" s="113"/>
      <c r="BMY77" s="113"/>
      <c r="BMZ77" s="113"/>
      <c r="BNA77" s="113"/>
      <c r="BNB77" s="113"/>
      <c r="BNC77" s="113"/>
      <c r="BND77" s="113"/>
      <c r="BNE77" s="113"/>
      <c r="BNF77" s="113"/>
      <c r="BNG77" s="113"/>
      <c r="BNH77" s="113"/>
      <c r="BNI77" s="113"/>
      <c r="BNJ77" s="113"/>
      <c r="BNK77" s="113"/>
      <c r="BNL77" s="113"/>
      <c r="BNM77" s="113"/>
      <c r="BNN77" s="113"/>
      <c r="BNO77" s="113"/>
      <c r="BNP77" s="113"/>
      <c r="BNQ77" s="113"/>
      <c r="BNR77" s="113"/>
      <c r="BNS77" s="113"/>
      <c r="BNT77" s="113"/>
      <c r="BNU77" s="113"/>
      <c r="BNV77" s="113"/>
      <c r="BNW77" s="113"/>
      <c r="BNX77" s="113"/>
      <c r="BNY77" s="113"/>
      <c r="BNZ77" s="113"/>
      <c r="BOA77" s="113"/>
      <c r="BOB77" s="113"/>
      <c r="BOC77" s="113"/>
      <c r="BOD77" s="113"/>
      <c r="BOE77" s="113"/>
      <c r="BOF77" s="113"/>
      <c r="BOG77" s="113"/>
      <c r="BOH77" s="113"/>
      <c r="BOI77" s="113"/>
      <c r="BOJ77" s="113"/>
      <c r="BOK77" s="113"/>
      <c r="BOL77" s="113"/>
      <c r="BOM77" s="113"/>
      <c r="BON77" s="113"/>
      <c r="BOO77" s="113"/>
      <c r="BOP77" s="113"/>
      <c r="BOQ77" s="113"/>
      <c r="BOR77" s="113"/>
      <c r="BOS77" s="113"/>
      <c r="BOT77" s="113"/>
      <c r="BOU77" s="113"/>
      <c r="BOV77" s="113"/>
      <c r="BOW77" s="113"/>
      <c r="BOX77" s="113"/>
      <c r="BOY77" s="113"/>
      <c r="BOZ77" s="113"/>
      <c r="BPA77" s="113"/>
      <c r="BPB77" s="113"/>
      <c r="BPC77" s="113"/>
      <c r="BPD77" s="113"/>
      <c r="BPE77" s="113"/>
      <c r="BPF77" s="113"/>
      <c r="BPG77" s="113"/>
      <c r="BPH77" s="113"/>
      <c r="BPI77" s="113"/>
      <c r="BPJ77" s="113"/>
      <c r="BPK77" s="113"/>
      <c r="BPL77" s="113"/>
      <c r="BPM77" s="113"/>
      <c r="BPN77" s="113"/>
      <c r="BPO77" s="113"/>
      <c r="BPP77" s="113"/>
      <c r="BPQ77" s="113"/>
      <c r="BPR77" s="113"/>
      <c r="BPS77" s="113"/>
      <c r="BPT77" s="113"/>
      <c r="BPU77" s="113"/>
      <c r="BPV77" s="113"/>
      <c r="BPW77" s="113"/>
      <c r="BPX77" s="113"/>
      <c r="BPY77" s="113"/>
      <c r="BPZ77" s="113"/>
      <c r="BQA77" s="113"/>
      <c r="BQB77" s="113"/>
      <c r="BQC77" s="113"/>
      <c r="BQD77" s="113"/>
      <c r="BQE77" s="113"/>
      <c r="BQF77" s="113"/>
      <c r="BQG77" s="113"/>
      <c r="BQH77" s="113"/>
      <c r="BQI77" s="113"/>
      <c r="BQJ77" s="113"/>
      <c r="BQK77" s="113"/>
      <c r="BQL77" s="113"/>
      <c r="BQM77" s="113"/>
      <c r="BQN77" s="113"/>
      <c r="BQO77" s="113"/>
      <c r="BQP77" s="113"/>
      <c r="BQQ77" s="113"/>
      <c r="BQR77" s="113"/>
      <c r="BQS77" s="113"/>
      <c r="BQT77" s="113"/>
      <c r="BQU77" s="113"/>
      <c r="BQV77" s="113"/>
      <c r="BQW77" s="113"/>
      <c r="BQX77" s="113"/>
      <c r="BQY77" s="113"/>
      <c r="BQZ77" s="113"/>
      <c r="BRA77" s="113"/>
      <c r="BRB77" s="113"/>
    </row>
    <row r="78" spans="1:1822" customFormat="1" x14ac:dyDescent="0.3">
      <c r="A78" s="2"/>
      <c r="B78" s="2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164" t="s">
        <v>100</v>
      </c>
      <c r="P78" s="165"/>
      <c r="Q78" s="23">
        <v>6</v>
      </c>
      <c r="R78" s="23">
        <v>6</v>
      </c>
      <c r="S78" s="23">
        <v>6</v>
      </c>
      <c r="T78" s="23">
        <v>6</v>
      </c>
      <c r="U78" s="23">
        <v>6</v>
      </c>
      <c r="V78" s="23">
        <v>6</v>
      </c>
      <c r="W78" s="23">
        <v>6</v>
      </c>
      <c r="X78" s="23">
        <v>6</v>
      </c>
      <c r="Y78" s="23">
        <v>6</v>
      </c>
      <c r="Z78" s="23">
        <v>6</v>
      </c>
      <c r="AA78" s="23">
        <v>6</v>
      </c>
      <c r="AB78" s="23">
        <v>6</v>
      </c>
      <c r="AC78" s="23">
        <v>6</v>
      </c>
      <c r="AD78" s="23">
        <v>6</v>
      </c>
      <c r="AE78" s="23">
        <v>6</v>
      </c>
      <c r="AF78" s="23">
        <v>6</v>
      </c>
      <c r="AG78" s="23">
        <v>6</v>
      </c>
      <c r="AH78" s="23">
        <v>6</v>
      </c>
      <c r="AI78" s="23">
        <v>6</v>
      </c>
      <c r="AJ78" s="23">
        <v>6</v>
      </c>
      <c r="AK78" s="23">
        <v>6</v>
      </c>
      <c r="AL78" s="23">
        <v>6</v>
      </c>
      <c r="AM78" s="23">
        <v>6</v>
      </c>
      <c r="AN78" s="23">
        <v>6</v>
      </c>
      <c r="AO78" s="23">
        <v>6</v>
      </c>
      <c r="AP78" s="23">
        <v>6</v>
      </c>
      <c r="AQ78" s="23">
        <v>6</v>
      </c>
      <c r="AR78" s="23">
        <v>6</v>
      </c>
      <c r="AS78" s="23">
        <v>6</v>
      </c>
      <c r="AT78" s="23">
        <v>6</v>
      </c>
      <c r="AU78" s="23">
        <v>6</v>
      </c>
      <c r="AV78" s="23">
        <v>6</v>
      </c>
      <c r="AW78" s="23">
        <v>6</v>
      </c>
      <c r="AX78" s="23">
        <v>6</v>
      </c>
      <c r="AY78" s="23">
        <v>6</v>
      </c>
      <c r="AZ78" s="23">
        <v>6</v>
      </c>
      <c r="BA78" s="23">
        <v>6</v>
      </c>
      <c r="BB78" s="23">
        <v>6</v>
      </c>
      <c r="BC78" s="23">
        <v>6</v>
      </c>
      <c r="BD78" s="23">
        <v>6</v>
      </c>
      <c r="BE78" s="23">
        <v>6</v>
      </c>
      <c r="BF78" s="23">
        <v>6</v>
      </c>
      <c r="BG78" s="23">
        <v>6</v>
      </c>
      <c r="BH78" s="23">
        <v>6</v>
      </c>
      <c r="BI78" s="23">
        <v>6</v>
      </c>
      <c r="BJ78" s="23">
        <v>6</v>
      </c>
      <c r="BK78" s="23">
        <v>6</v>
      </c>
      <c r="BL78" s="23">
        <v>6</v>
      </c>
      <c r="BM78" s="23">
        <v>6</v>
      </c>
      <c r="BN78" s="23">
        <v>6</v>
      </c>
      <c r="BO78" s="23">
        <v>6</v>
      </c>
      <c r="BP78" s="23">
        <v>6</v>
      </c>
      <c r="BQ78" s="23">
        <v>6</v>
      </c>
      <c r="BR78" s="23">
        <v>6</v>
      </c>
      <c r="BS78" s="23">
        <v>6</v>
      </c>
      <c r="BT78" s="23">
        <v>6</v>
      </c>
      <c r="BU78" s="23">
        <v>6</v>
      </c>
      <c r="BV78" s="23">
        <v>6</v>
      </c>
      <c r="BW78" s="23">
        <v>6</v>
      </c>
      <c r="BX78" s="23">
        <v>6</v>
      </c>
      <c r="BY78" s="23">
        <v>6</v>
      </c>
      <c r="BZ78" s="23">
        <v>6</v>
      </c>
      <c r="CA78" s="23">
        <v>6</v>
      </c>
      <c r="CB78" s="23">
        <v>6</v>
      </c>
      <c r="CC78" s="23">
        <v>6</v>
      </c>
      <c r="CD78" s="23">
        <v>6</v>
      </c>
      <c r="CE78" s="23">
        <v>6</v>
      </c>
      <c r="CF78" s="23">
        <v>6</v>
      </c>
      <c r="CG78" s="23">
        <v>6</v>
      </c>
      <c r="CH78" s="23">
        <v>6</v>
      </c>
      <c r="CI78" s="23">
        <v>6</v>
      </c>
      <c r="CJ78" s="23">
        <v>6</v>
      </c>
      <c r="CK78" s="23">
        <v>6</v>
      </c>
      <c r="CL78" s="23">
        <v>6</v>
      </c>
      <c r="CM78" s="23">
        <v>6</v>
      </c>
      <c r="CN78" s="23">
        <v>6</v>
      </c>
      <c r="CO78" s="23">
        <v>6</v>
      </c>
      <c r="CP78" s="23">
        <v>6</v>
      </c>
      <c r="CQ78" s="23">
        <v>6</v>
      </c>
      <c r="CR78" s="23">
        <v>6</v>
      </c>
      <c r="CS78" s="23">
        <v>6</v>
      </c>
      <c r="CT78" s="23">
        <v>6</v>
      </c>
      <c r="CU78" s="23">
        <v>6</v>
      </c>
      <c r="CV78" s="23">
        <v>6</v>
      </c>
      <c r="CW78" s="23">
        <v>6</v>
      </c>
      <c r="CX78" s="23">
        <v>6</v>
      </c>
      <c r="CY78" s="23">
        <v>6</v>
      </c>
      <c r="CZ78" s="23">
        <v>6</v>
      </c>
      <c r="DA78" s="23">
        <v>6</v>
      </c>
      <c r="DB78" s="23">
        <v>6</v>
      </c>
      <c r="DC78" s="23">
        <v>6</v>
      </c>
      <c r="DD78" s="23">
        <v>6</v>
      </c>
      <c r="DE78" s="23">
        <v>6</v>
      </c>
      <c r="DF78" s="23">
        <v>6</v>
      </c>
      <c r="DG78" s="23">
        <v>6</v>
      </c>
      <c r="DH78" s="23">
        <v>6</v>
      </c>
      <c r="DI78" s="23">
        <v>6</v>
      </c>
      <c r="DJ78" s="23">
        <v>6</v>
      </c>
      <c r="DK78" s="23">
        <v>6</v>
      </c>
      <c r="DL78" s="23">
        <v>6</v>
      </c>
      <c r="DM78" s="23">
        <v>6</v>
      </c>
      <c r="DN78" s="23">
        <v>6</v>
      </c>
      <c r="DO78" s="23">
        <v>6</v>
      </c>
      <c r="DP78" s="23">
        <v>6</v>
      </c>
      <c r="DQ78" s="23">
        <v>6</v>
      </c>
      <c r="DR78" s="23">
        <v>6</v>
      </c>
      <c r="DS78" s="23">
        <v>6</v>
      </c>
      <c r="DT78" s="23">
        <v>6</v>
      </c>
      <c r="DU78" s="23">
        <v>6</v>
      </c>
      <c r="DV78" s="23">
        <v>6</v>
      </c>
      <c r="DW78" s="23">
        <v>6</v>
      </c>
      <c r="DX78" s="23">
        <v>6</v>
      </c>
      <c r="DY78" s="23">
        <v>6</v>
      </c>
      <c r="DZ78" s="23">
        <v>6</v>
      </c>
      <c r="EA78" s="23">
        <v>6</v>
      </c>
      <c r="EB78" s="23">
        <v>6</v>
      </c>
      <c r="EC78" s="23">
        <v>6</v>
      </c>
      <c r="ED78" s="23">
        <v>6</v>
      </c>
      <c r="EE78" s="23">
        <v>6</v>
      </c>
      <c r="EF78" s="23">
        <v>6</v>
      </c>
      <c r="EG78" s="23">
        <v>6</v>
      </c>
      <c r="EH78" s="23">
        <v>6</v>
      </c>
      <c r="EI78" s="23">
        <v>6</v>
      </c>
      <c r="EJ78" s="23">
        <v>6</v>
      </c>
      <c r="EK78" s="23">
        <v>6</v>
      </c>
      <c r="EL78" s="23">
        <v>6</v>
      </c>
      <c r="EM78" s="23">
        <v>6</v>
      </c>
      <c r="EN78" s="23">
        <v>6</v>
      </c>
      <c r="EO78" s="23">
        <v>6</v>
      </c>
      <c r="EP78" s="23">
        <v>6</v>
      </c>
      <c r="EQ78" s="23">
        <v>6</v>
      </c>
      <c r="ER78" s="23">
        <v>6</v>
      </c>
      <c r="ES78" s="23">
        <v>6</v>
      </c>
      <c r="ET78" s="23">
        <v>6</v>
      </c>
      <c r="EU78" s="23">
        <v>6</v>
      </c>
      <c r="EV78" s="23">
        <v>6</v>
      </c>
      <c r="EW78" s="23">
        <v>6</v>
      </c>
      <c r="EX78" s="23">
        <v>6</v>
      </c>
      <c r="EY78" s="23">
        <v>6</v>
      </c>
      <c r="EZ78" s="23">
        <v>6</v>
      </c>
      <c r="FA78" s="23">
        <v>6</v>
      </c>
      <c r="FB78" s="23">
        <v>6</v>
      </c>
      <c r="FC78" s="23">
        <v>6</v>
      </c>
      <c r="FD78" s="23">
        <v>6</v>
      </c>
      <c r="FE78" s="23">
        <v>6</v>
      </c>
      <c r="FF78" s="23">
        <v>6</v>
      </c>
      <c r="FG78" s="23">
        <v>6</v>
      </c>
      <c r="FH78" s="23">
        <v>6</v>
      </c>
      <c r="FI78" s="23">
        <v>6</v>
      </c>
      <c r="FJ78" s="23">
        <v>6</v>
      </c>
      <c r="FK78" s="23">
        <v>6</v>
      </c>
      <c r="FL78" s="23">
        <v>6</v>
      </c>
      <c r="FM78" s="23">
        <v>6</v>
      </c>
      <c r="FN78" s="23">
        <v>6</v>
      </c>
      <c r="FO78" s="23">
        <v>6</v>
      </c>
      <c r="FP78" s="23">
        <v>6</v>
      </c>
      <c r="FQ78" s="23">
        <v>6</v>
      </c>
      <c r="FR78" s="23">
        <v>6</v>
      </c>
      <c r="FS78" s="23">
        <v>6</v>
      </c>
      <c r="FT78" s="23">
        <v>6</v>
      </c>
      <c r="FU78" s="23">
        <v>6</v>
      </c>
      <c r="FV78" s="23">
        <v>6</v>
      </c>
      <c r="FW78" s="23">
        <v>6</v>
      </c>
      <c r="FX78" s="23">
        <v>6</v>
      </c>
      <c r="FY78" s="23">
        <v>6</v>
      </c>
      <c r="FZ78" s="23">
        <v>6</v>
      </c>
      <c r="GA78" s="23">
        <v>6</v>
      </c>
      <c r="GB78" s="23">
        <v>6</v>
      </c>
      <c r="GC78" s="23">
        <v>6</v>
      </c>
      <c r="GD78" s="23">
        <v>6</v>
      </c>
      <c r="GE78" s="23">
        <v>6</v>
      </c>
      <c r="GF78" s="23">
        <v>6</v>
      </c>
      <c r="GG78" s="23">
        <v>6</v>
      </c>
      <c r="GH78" s="23">
        <v>6</v>
      </c>
      <c r="GI78" s="23">
        <v>6</v>
      </c>
      <c r="GJ78" s="23">
        <v>6</v>
      </c>
      <c r="GK78" s="23">
        <v>6</v>
      </c>
      <c r="GL78" s="23">
        <v>6</v>
      </c>
      <c r="GM78" s="23">
        <v>6</v>
      </c>
      <c r="GN78" s="23">
        <v>6</v>
      </c>
      <c r="GO78" s="23">
        <v>6</v>
      </c>
      <c r="GP78" s="23">
        <v>6</v>
      </c>
      <c r="GQ78" s="23">
        <v>6</v>
      </c>
      <c r="GR78" s="23">
        <v>6</v>
      </c>
      <c r="GS78" s="23">
        <v>6</v>
      </c>
      <c r="GT78" s="23">
        <v>6</v>
      </c>
      <c r="GU78" s="23">
        <v>6</v>
      </c>
      <c r="GV78" s="23">
        <v>6</v>
      </c>
      <c r="GW78" s="23">
        <v>6</v>
      </c>
      <c r="GX78" s="23">
        <v>6</v>
      </c>
      <c r="GY78" s="23">
        <v>6</v>
      </c>
      <c r="GZ78" s="23">
        <v>6</v>
      </c>
      <c r="HA78" s="23">
        <v>6</v>
      </c>
      <c r="HB78" s="23">
        <v>6</v>
      </c>
      <c r="HC78" s="23">
        <v>6</v>
      </c>
      <c r="HD78" s="23">
        <v>6</v>
      </c>
      <c r="HE78" s="23">
        <v>6</v>
      </c>
      <c r="HF78" s="23">
        <v>6</v>
      </c>
      <c r="HG78" s="23">
        <v>6</v>
      </c>
      <c r="HH78" s="23">
        <v>6</v>
      </c>
      <c r="HI78" s="23">
        <v>6</v>
      </c>
      <c r="HJ78" s="23">
        <v>6</v>
      </c>
      <c r="HK78" s="23">
        <v>6</v>
      </c>
      <c r="HL78" s="23">
        <v>6</v>
      </c>
      <c r="HM78" s="23">
        <v>6</v>
      </c>
      <c r="HN78" s="23">
        <v>6</v>
      </c>
      <c r="HO78" s="23">
        <v>6</v>
      </c>
      <c r="HP78" s="23">
        <v>6</v>
      </c>
      <c r="HQ78" s="23">
        <v>6</v>
      </c>
      <c r="HR78" s="23">
        <v>6</v>
      </c>
      <c r="HS78" s="23">
        <v>6</v>
      </c>
      <c r="HT78" s="23">
        <v>6</v>
      </c>
      <c r="HU78" s="23">
        <v>6</v>
      </c>
      <c r="HV78" s="23">
        <v>6</v>
      </c>
      <c r="HW78" s="23">
        <v>6</v>
      </c>
      <c r="HX78" s="23">
        <v>6</v>
      </c>
      <c r="HY78" s="23">
        <v>6</v>
      </c>
      <c r="HZ78" s="23">
        <v>6</v>
      </c>
      <c r="IA78" s="23">
        <v>6</v>
      </c>
      <c r="IB78" s="23">
        <v>6</v>
      </c>
      <c r="IC78" s="23">
        <v>6</v>
      </c>
      <c r="ID78" s="23">
        <v>6</v>
      </c>
      <c r="IE78" s="23">
        <v>6</v>
      </c>
      <c r="IF78" s="23">
        <v>6</v>
      </c>
      <c r="IG78" s="23">
        <v>6</v>
      </c>
      <c r="IH78" s="23">
        <v>6</v>
      </c>
      <c r="II78" s="23">
        <v>6</v>
      </c>
      <c r="IJ78" s="23">
        <v>6</v>
      </c>
      <c r="IK78" s="23">
        <v>6</v>
      </c>
      <c r="IL78" s="23">
        <v>6</v>
      </c>
      <c r="IM78" s="23">
        <v>6</v>
      </c>
      <c r="IN78" s="23">
        <v>6</v>
      </c>
      <c r="IO78" s="23">
        <v>6</v>
      </c>
      <c r="IP78" s="23">
        <v>6</v>
      </c>
      <c r="IQ78" s="23">
        <v>6</v>
      </c>
      <c r="IR78" s="23">
        <v>6</v>
      </c>
      <c r="IS78" s="23">
        <v>6</v>
      </c>
      <c r="IT78" s="23">
        <v>6</v>
      </c>
      <c r="IU78" s="23">
        <v>6</v>
      </c>
      <c r="IV78" s="23">
        <v>6</v>
      </c>
      <c r="IW78" s="23">
        <v>6</v>
      </c>
      <c r="IX78" s="23">
        <v>6</v>
      </c>
      <c r="IY78" s="23">
        <v>6</v>
      </c>
      <c r="IZ78" s="23">
        <v>6</v>
      </c>
      <c r="JA78" s="23">
        <v>6</v>
      </c>
      <c r="JB78" s="23">
        <v>6</v>
      </c>
      <c r="JC78" s="23">
        <v>6</v>
      </c>
      <c r="JD78" s="23">
        <v>6</v>
      </c>
      <c r="JE78" s="23">
        <v>6</v>
      </c>
      <c r="JF78" s="23">
        <v>6</v>
      </c>
      <c r="JG78" s="23">
        <v>6</v>
      </c>
      <c r="JH78" s="23">
        <v>6</v>
      </c>
      <c r="JI78" s="23">
        <v>6</v>
      </c>
      <c r="JJ78" s="23">
        <v>6</v>
      </c>
      <c r="JK78" s="23">
        <v>6</v>
      </c>
      <c r="JL78" s="23">
        <v>6</v>
      </c>
      <c r="JM78" s="23">
        <v>6</v>
      </c>
      <c r="JN78" s="23">
        <v>6</v>
      </c>
      <c r="JO78" s="23">
        <v>6</v>
      </c>
      <c r="JP78" s="23">
        <v>6</v>
      </c>
      <c r="JQ78" s="23">
        <v>6</v>
      </c>
      <c r="JR78" s="23">
        <v>6</v>
      </c>
      <c r="JS78" s="23">
        <v>6</v>
      </c>
      <c r="JT78" s="23">
        <v>6</v>
      </c>
      <c r="JU78" s="23">
        <v>6</v>
      </c>
      <c r="JV78" s="23">
        <v>6</v>
      </c>
      <c r="JW78" s="23">
        <v>6</v>
      </c>
      <c r="JX78" s="23">
        <v>6</v>
      </c>
      <c r="JY78" s="23">
        <v>6</v>
      </c>
      <c r="JZ78" s="23">
        <v>6</v>
      </c>
      <c r="KA78" s="23">
        <v>6</v>
      </c>
      <c r="KB78" s="23">
        <v>6</v>
      </c>
      <c r="KC78" s="23">
        <v>6</v>
      </c>
      <c r="KD78" s="23">
        <v>6</v>
      </c>
      <c r="KE78" s="23">
        <v>6</v>
      </c>
      <c r="KF78" s="23">
        <v>6</v>
      </c>
      <c r="KG78" s="23">
        <v>6</v>
      </c>
      <c r="KH78" s="23">
        <v>6</v>
      </c>
      <c r="KI78" s="23">
        <v>6</v>
      </c>
      <c r="KJ78" s="23">
        <v>6</v>
      </c>
      <c r="KK78" s="23">
        <v>6</v>
      </c>
      <c r="KL78" s="23">
        <v>6</v>
      </c>
      <c r="KM78" s="23">
        <v>6</v>
      </c>
      <c r="KN78" s="23">
        <v>6</v>
      </c>
      <c r="KO78" s="23">
        <v>6</v>
      </c>
      <c r="KP78" s="23">
        <v>6</v>
      </c>
      <c r="KQ78" s="23">
        <v>6</v>
      </c>
      <c r="KR78" s="23">
        <v>6</v>
      </c>
      <c r="KS78" s="23">
        <v>6</v>
      </c>
      <c r="KT78" s="23">
        <v>6</v>
      </c>
      <c r="KU78" s="23">
        <v>6</v>
      </c>
      <c r="KV78" s="23">
        <v>6</v>
      </c>
      <c r="KW78" s="23">
        <v>6</v>
      </c>
      <c r="KX78" s="23">
        <v>6</v>
      </c>
      <c r="KY78" s="23">
        <v>6</v>
      </c>
      <c r="KZ78" s="23">
        <v>6</v>
      </c>
      <c r="LA78" s="23">
        <v>6</v>
      </c>
      <c r="LB78" s="23">
        <v>6</v>
      </c>
      <c r="LC78" s="23">
        <v>6</v>
      </c>
      <c r="LD78" s="23">
        <v>6</v>
      </c>
      <c r="LE78" s="23">
        <v>6</v>
      </c>
      <c r="LF78" s="23">
        <v>6</v>
      </c>
      <c r="LG78" s="23">
        <v>6</v>
      </c>
      <c r="LH78" s="23">
        <v>6</v>
      </c>
      <c r="LI78" s="23">
        <v>6</v>
      </c>
      <c r="LJ78" s="23">
        <v>6</v>
      </c>
      <c r="LK78" s="23">
        <v>6</v>
      </c>
      <c r="LL78" s="23">
        <v>6</v>
      </c>
      <c r="LM78" s="23">
        <v>6</v>
      </c>
      <c r="LN78" s="23">
        <v>6</v>
      </c>
      <c r="LO78" s="23">
        <v>6</v>
      </c>
      <c r="LP78" s="23">
        <v>6</v>
      </c>
      <c r="LQ78" s="23">
        <v>6</v>
      </c>
      <c r="LR78" s="23">
        <v>6</v>
      </c>
      <c r="LS78" s="23">
        <v>6</v>
      </c>
      <c r="LT78" s="23">
        <v>6</v>
      </c>
      <c r="LU78" s="23">
        <v>6</v>
      </c>
      <c r="LV78" s="23">
        <v>6</v>
      </c>
      <c r="LW78" s="23">
        <v>6</v>
      </c>
      <c r="LX78" s="23">
        <v>6</v>
      </c>
      <c r="LY78" s="23">
        <v>6</v>
      </c>
      <c r="LZ78" s="23">
        <v>6</v>
      </c>
      <c r="MA78" s="23">
        <v>6</v>
      </c>
      <c r="MB78" s="23">
        <v>6</v>
      </c>
      <c r="MC78" s="23">
        <v>6</v>
      </c>
      <c r="MD78" s="23">
        <v>6</v>
      </c>
      <c r="ME78" s="23">
        <v>6</v>
      </c>
      <c r="MF78" s="23">
        <v>6</v>
      </c>
      <c r="MG78" s="23">
        <v>6</v>
      </c>
      <c r="MH78" s="23">
        <v>6</v>
      </c>
      <c r="MI78" s="23">
        <v>6</v>
      </c>
      <c r="MJ78" s="23">
        <v>6</v>
      </c>
      <c r="MK78" s="23">
        <v>6</v>
      </c>
      <c r="ML78" s="23">
        <v>6</v>
      </c>
      <c r="MM78" s="23">
        <v>6</v>
      </c>
      <c r="MN78" s="23">
        <v>6</v>
      </c>
      <c r="MO78" s="23">
        <v>6</v>
      </c>
      <c r="MP78" s="23">
        <v>6</v>
      </c>
      <c r="MQ78" s="23">
        <v>6</v>
      </c>
      <c r="MR78" s="23">
        <v>6</v>
      </c>
      <c r="MS78" s="23">
        <v>6</v>
      </c>
      <c r="MT78" s="23">
        <v>6</v>
      </c>
      <c r="MU78" s="23">
        <v>6</v>
      </c>
      <c r="MV78" s="23">
        <v>6</v>
      </c>
      <c r="MW78" s="23">
        <v>6</v>
      </c>
      <c r="MX78" s="23">
        <v>6</v>
      </c>
      <c r="MY78" s="23">
        <v>6</v>
      </c>
      <c r="MZ78" s="23">
        <v>6</v>
      </c>
      <c r="NA78" s="23">
        <v>6</v>
      </c>
      <c r="NB78" s="23">
        <v>6</v>
      </c>
      <c r="NC78" s="23">
        <v>6</v>
      </c>
      <c r="ND78" s="23">
        <v>6</v>
      </c>
      <c r="NE78" s="23">
        <v>6</v>
      </c>
      <c r="NF78" s="23">
        <v>6</v>
      </c>
      <c r="NG78" s="23">
        <v>6</v>
      </c>
      <c r="NH78" s="23">
        <v>6</v>
      </c>
      <c r="NI78" s="23">
        <v>6</v>
      </c>
      <c r="NJ78" s="23">
        <v>6</v>
      </c>
      <c r="NK78" s="23">
        <v>6</v>
      </c>
      <c r="NL78" s="23">
        <v>6</v>
      </c>
      <c r="NM78" s="23">
        <v>6</v>
      </c>
      <c r="NN78" s="23">
        <v>6</v>
      </c>
      <c r="NO78" s="23">
        <v>6</v>
      </c>
      <c r="NP78" s="23">
        <v>6</v>
      </c>
      <c r="NQ78" s="23">
        <v>6</v>
      </c>
      <c r="NR78" s="23">
        <v>6</v>
      </c>
      <c r="NS78" s="23">
        <v>6</v>
      </c>
      <c r="NT78" s="23">
        <v>6</v>
      </c>
      <c r="NU78" s="23">
        <v>6</v>
      </c>
      <c r="NV78" s="23">
        <v>6</v>
      </c>
      <c r="NW78" s="23">
        <v>6</v>
      </c>
      <c r="NX78" s="23">
        <v>6</v>
      </c>
      <c r="NY78" s="23">
        <v>6</v>
      </c>
      <c r="NZ78" s="23">
        <v>6</v>
      </c>
      <c r="OA78" s="23">
        <v>6</v>
      </c>
      <c r="OB78" s="23">
        <v>6</v>
      </c>
      <c r="OC78" s="23">
        <v>6</v>
      </c>
      <c r="OD78" s="23">
        <v>6</v>
      </c>
      <c r="OE78" s="23">
        <v>6</v>
      </c>
      <c r="OF78" s="23">
        <v>6</v>
      </c>
      <c r="OG78" s="23">
        <v>6</v>
      </c>
      <c r="OH78" s="23">
        <v>6</v>
      </c>
      <c r="OI78" s="23">
        <v>6</v>
      </c>
      <c r="OJ78" s="23">
        <v>6</v>
      </c>
      <c r="OK78" s="23">
        <v>6</v>
      </c>
      <c r="OL78" s="23">
        <v>6</v>
      </c>
      <c r="OM78" s="23">
        <v>6</v>
      </c>
      <c r="ON78" s="23">
        <v>6</v>
      </c>
      <c r="OO78" s="23">
        <v>6</v>
      </c>
      <c r="OP78" s="23">
        <v>6</v>
      </c>
      <c r="OQ78" s="23">
        <v>6</v>
      </c>
      <c r="OR78" s="23">
        <v>6</v>
      </c>
      <c r="OS78" s="23">
        <v>6</v>
      </c>
      <c r="OT78" s="23">
        <v>6</v>
      </c>
      <c r="OU78" s="23">
        <v>6</v>
      </c>
      <c r="OV78" s="23">
        <v>6</v>
      </c>
      <c r="OW78" s="23">
        <v>6</v>
      </c>
      <c r="OX78" s="23">
        <v>6</v>
      </c>
      <c r="OY78" s="23">
        <v>6</v>
      </c>
      <c r="OZ78" s="23">
        <v>6</v>
      </c>
      <c r="PA78" s="23">
        <v>6</v>
      </c>
      <c r="PB78" s="23">
        <v>6</v>
      </c>
      <c r="PC78" s="23">
        <v>6</v>
      </c>
      <c r="PD78" s="23">
        <v>6</v>
      </c>
      <c r="PE78" s="23">
        <v>6</v>
      </c>
      <c r="PF78" s="23">
        <v>6</v>
      </c>
      <c r="PG78" s="23">
        <v>6</v>
      </c>
      <c r="PH78" s="23">
        <v>6</v>
      </c>
      <c r="PI78" s="23">
        <v>6</v>
      </c>
      <c r="PJ78" s="23">
        <v>6</v>
      </c>
      <c r="PK78" s="23">
        <v>6</v>
      </c>
      <c r="PL78" s="23">
        <v>6</v>
      </c>
      <c r="PM78" s="23">
        <v>6</v>
      </c>
      <c r="PN78" s="23">
        <v>6</v>
      </c>
      <c r="PO78" s="23">
        <v>6</v>
      </c>
      <c r="PP78" s="23">
        <v>6</v>
      </c>
      <c r="PQ78" s="23">
        <v>6</v>
      </c>
      <c r="PR78" s="23">
        <v>6</v>
      </c>
      <c r="PS78" s="23">
        <v>6</v>
      </c>
      <c r="PT78" s="23">
        <v>6</v>
      </c>
      <c r="PU78" s="23">
        <v>6</v>
      </c>
      <c r="PV78" s="23">
        <v>6</v>
      </c>
      <c r="PW78" s="23">
        <v>6</v>
      </c>
      <c r="PX78" s="23">
        <v>6</v>
      </c>
      <c r="PY78" s="23">
        <v>6</v>
      </c>
      <c r="PZ78" s="23">
        <v>6</v>
      </c>
      <c r="QA78" s="23">
        <v>6</v>
      </c>
      <c r="QB78" s="23">
        <v>6</v>
      </c>
      <c r="QC78" s="23">
        <v>6</v>
      </c>
      <c r="QD78" s="23">
        <v>6</v>
      </c>
      <c r="QE78" s="23">
        <v>6</v>
      </c>
      <c r="QF78" s="23">
        <v>6</v>
      </c>
      <c r="QG78" s="23">
        <v>6</v>
      </c>
      <c r="QH78" s="23">
        <v>6</v>
      </c>
      <c r="QI78" s="23">
        <v>6</v>
      </c>
      <c r="QJ78" s="23">
        <v>6</v>
      </c>
      <c r="QK78" s="23">
        <v>6</v>
      </c>
      <c r="QL78" s="23">
        <v>6</v>
      </c>
      <c r="QM78" s="23">
        <v>6</v>
      </c>
      <c r="QN78" s="23">
        <v>6</v>
      </c>
      <c r="QO78" s="23">
        <v>6</v>
      </c>
      <c r="QP78" s="23">
        <v>6</v>
      </c>
      <c r="QQ78" s="23">
        <v>6</v>
      </c>
      <c r="QR78" s="23">
        <v>6</v>
      </c>
      <c r="QS78" s="23">
        <v>6</v>
      </c>
      <c r="QT78" s="23">
        <v>6</v>
      </c>
      <c r="QU78" s="23">
        <v>6</v>
      </c>
      <c r="QV78" s="23">
        <v>6</v>
      </c>
      <c r="QW78" s="23">
        <v>6</v>
      </c>
      <c r="QX78" s="23">
        <v>6</v>
      </c>
      <c r="QY78" s="23">
        <v>6</v>
      </c>
      <c r="QZ78" s="23">
        <v>6</v>
      </c>
      <c r="RA78" s="23">
        <v>6</v>
      </c>
      <c r="RB78" s="23">
        <v>6</v>
      </c>
      <c r="RC78" s="23">
        <v>6</v>
      </c>
      <c r="RD78" s="23">
        <v>6</v>
      </c>
      <c r="RE78" s="23">
        <v>6</v>
      </c>
      <c r="RF78" s="23">
        <v>6</v>
      </c>
      <c r="RG78" s="23">
        <v>6</v>
      </c>
      <c r="RH78" s="23">
        <v>6</v>
      </c>
      <c r="RI78" s="23">
        <v>6</v>
      </c>
      <c r="RJ78" s="23">
        <v>6</v>
      </c>
      <c r="RK78" s="23">
        <v>6</v>
      </c>
      <c r="RL78" s="23">
        <v>6</v>
      </c>
      <c r="RM78" s="23">
        <v>6</v>
      </c>
      <c r="RN78" s="23">
        <v>6</v>
      </c>
      <c r="RO78" s="23">
        <v>6</v>
      </c>
      <c r="RP78" s="23">
        <v>6</v>
      </c>
      <c r="RQ78" s="23">
        <v>6</v>
      </c>
      <c r="RR78" s="23">
        <v>6</v>
      </c>
      <c r="RS78" s="23">
        <v>6</v>
      </c>
      <c r="RT78" s="23">
        <v>6</v>
      </c>
      <c r="RU78" s="23">
        <v>6</v>
      </c>
      <c r="RV78" s="23">
        <v>6</v>
      </c>
      <c r="RW78" s="23">
        <v>6</v>
      </c>
      <c r="RX78" s="23">
        <v>6</v>
      </c>
      <c r="RY78" s="23">
        <v>6</v>
      </c>
      <c r="RZ78" s="23">
        <v>6</v>
      </c>
      <c r="SA78" s="23">
        <v>6</v>
      </c>
      <c r="SB78" s="23">
        <v>6</v>
      </c>
      <c r="SC78" s="23">
        <v>6</v>
      </c>
      <c r="SD78" s="23">
        <v>6</v>
      </c>
      <c r="SE78" s="23">
        <v>6</v>
      </c>
      <c r="SF78" s="23">
        <v>6</v>
      </c>
      <c r="SG78" s="23">
        <v>6</v>
      </c>
      <c r="SH78" s="23">
        <v>6</v>
      </c>
      <c r="SI78" s="23">
        <v>6</v>
      </c>
      <c r="SJ78" s="23">
        <v>6</v>
      </c>
      <c r="SK78" s="23">
        <v>6</v>
      </c>
      <c r="SL78" s="23">
        <v>6</v>
      </c>
      <c r="SM78" s="23">
        <v>6</v>
      </c>
      <c r="SN78" s="23">
        <v>6</v>
      </c>
      <c r="SO78" s="23">
        <v>6</v>
      </c>
      <c r="SP78" s="23">
        <v>6</v>
      </c>
      <c r="SQ78" s="23">
        <v>6</v>
      </c>
      <c r="SR78" s="23">
        <v>6</v>
      </c>
      <c r="SS78" s="23">
        <v>6</v>
      </c>
      <c r="ST78" s="23">
        <v>6</v>
      </c>
      <c r="SU78" s="23">
        <v>6</v>
      </c>
      <c r="SV78" s="23">
        <v>6</v>
      </c>
      <c r="SW78" s="23">
        <v>6</v>
      </c>
      <c r="SX78" s="23">
        <v>6</v>
      </c>
      <c r="SY78" s="23">
        <v>6</v>
      </c>
      <c r="SZ78" s="23">
        <v>6</v>
      </c>
      <c r="TA78" s="23">
        <v>6</v>
      </c>
      <c r="TB78" s="23">
        <v>6</v>
      </c>
      <c r="TC78" s="23">
        <v>6</v>
      </c>
      <c r="TD78" s="23">
        <v>6</v>
      </c>
      <c r="TE78" s="23">
        <v>6</v>
      </c>
      <c r="TF78" s="23">
        <v>6</v>
      </c>
      <c r="TG78" s="23">
        <v>6</v>
      </c>
      <c r="TH78" s="23">
        <v>6</v>
      </c>
      <c r="TI78" s="23">
        <v>6</v>
      </c>
      <c r="TJ78" s="23">
        <v>6</v>
      </c>
      <c r="TK78" s="23">
        <v>6</v>
      </c>
      <c r="TL78" s="23">
        <v>6</v>
      </c>
      <c r="TM78" s="23">
        <v>6</v>
      </c>
      <c r="TN78" s="23">
        <v>6</v>
      </c>
      <c r="TO78" s="23">
        <v>6</v>
      </c>
      <c r="TP78" s="23">
        <v>6</v>
      </c>
      <c r="TQ78" s="23">
        <v>6</v>
      </c>
      <c r="TR78" s="23">
        <v>6</v>
      </c>
      <c r="TS78" s="23">
        <v>6</v>
      </c>
      <c r="TT78" s="23">
        <v>6</v>
      </c>
      <c r="TU78" s="23">
        <v>6</v>
      </c>
      <c r="TV78" s="23">
        <v>6</v>
      </c>
      <c r="TW78" s="23">
        <v>6</v>
      </c>
      <c r="TX78" s="23">
        <v>6</v>
      </c>
      <c r="TY78" s="23">
        <v>6</v>
      </c>
      <c r="TZ78" s="23">
        <v>6</v>
      </c>
      <c r="UA78" s="23">
        <v>6</v>
      </c>
      <c r="UB78" s="23">
        <v>6</v>
      </c>
      <c r="UC78" s="23">
        <v>6</v>
      </c>
      <c r="UD78" s="23">
        <v>6</v>
      </c>
      <c r="UE78" s="23">
        <v>6</v>
      </c>
      <c r="UF78" s="23">
        <v>6</v>
      </c>
      <c r="UG78" s="23">
        <v>6</v>
      </c>
      <c r="UH78" s="23">
        <v>6</v>
      </c>
      <c r="UI78" s="23">
        <v>6</v>
      </c>
      <c r="UJ78" s="23">
        <v>6</v>
      </c>
      <c r="UK78" s="23">
        <v>6</v>
      </c>
      <c r="UL78" s="23">
        <v>6</v>
      </c>
      <c r="UM78" s="23">
        <v>6</v>
      </c>
      <c r="UN78" s="23">
        <v>6</v>
      </c>
      <c r="UO78" s="23">
        <v>6</v>
      </c>
      <c r="UP78" s="23">
        <v>6</v>
      </c>
      <c r="UQ78" s="23">
        <v>6</v>
      </c>
      <c r="UR78" s="23">
        <v>6</v>
      </c>
      <c r="US78" s="23">
        <v>6</v>
      </c>
      <c r="UT78" s="23">
        <v>6</v>
      </c>
      <c r="UU78" s="23">
        <v>6</v>
      </c>
      <c r="UV78" s="23">
        <v>6</v>
      </c>
      <c r="UW78" s="23">
        <v>6</v>
      </c>
      <c r="UX78" s="23">
        <v>6</v>
      </c>
      <c r="UY78" s="23">
        <v>6</v>
      </c>
      <c r="UZ78" s="23">
        <v>6</v>
      </c>
      <c r="VA78" s="23">
        <v>6</v>
      </c>
      <c r="VB78" s="23">
        <v>6</v>
      </c>
      <c r="VC78" s="23">
        <v>6</v>
      </c>
      <c r="VD78" s="23">
        <v>6</v>
      </c>
      <c r="VE78" s="23">
        <v>6</v>
      </c>
      <c r="VF78" s="23">
        <v>6</v>
      </c>
      <c r="VG78" s="23">
        <v>6</v>
      </c>
      <c r="VH78" s="23">
        <v>6</v>
      </c>
      <c r="VI78" s="23">
        <v>6</v>
      </c>
      <c r="VJ78" s="23">
        <v>6</v>
      </c>
      <c r="VK78" s="23">
        <v>6</v>
      </c>
      <c r="VL78" s="23">
        <v>6</v>
      </c>
      <c r="VM78" s="23">
        <v>6</v>
      </c>
      <c r="VN78" s="23">
        <v>6</v>
      </c>
      <c r="VO78" s="23">
        <v>6</v>
      </c>
      <c r="VP78" s="23">
        <v>6</v>
      </c>
      <c r="VQ78" s="23">
        <v>6</v>
      </c>
      <c r="VR78" s="23">
        <v>6</v>
      </c>
      <c r="VS78" s="23">
        <v>6</v>
      </c>
      <c r="VT78" s="23">
        <v>6</v>
      </c>
      <c r="VU78" s="23">
        <v>6</v>
      </c>
      <c r="VV78" s="23">
        <v>6</v>
      </c>
      <c r="VW78" s="23">
        <v>6</v>
      </c>
      <c r="VX78" s="23">
        <v>6</v>
      </c>
      <c r="VY78" s="23">
        <v>6</v>
      </c>
      <c r="VZ78" s="23">
        <v>6</v>
      </c>
      <c r="WA78" s="23">
        <v>6</v>
      </c>
      <c r="WB78" s="23">
        <v>6</v>
      </c>
      <c r="WC78" s="23">
        <v>6</v>
      </c>
      <c r="WD78" s="23">
        <v>6</v>
      </c>
      <c r="WE78" s="23">
        <v>6</v>
      </c>
      <c r="WF78" s="23">
        <v>6</v>
      </c>
      <c r="WG78" s="23">
        <v>6</v>
      </c>
      <c r="WH78" s="23">
        <v>6</v>
      </c>
      <c r="WI78" s="23">
        <v>6</v>
      </c>
      <c r="WJ78" s="23">
        <v>6</v>
      </c>
      <c r="WK78" s="23">
        <v>6</v>
      </c>
      <c r="WL78" s="23">
        <v>6</v>
      </c>
      <c r="WM78" s="23">
        <v>6</v>
      </c>
      <c r="WN78" s="23">
        <v>6</v>
      </c>
      <c r="WO78" s="23">
        <v>6</v>
      </c>
      <c r="WP78" s="23">
        <v>6</v>
      </c>
      <c r="WQ78" s="23">
        <v>6</v>
      </c>
      <c r="WR78" s="23">
        <v>6</v>
      </c>
      <c r="WS78" s="23">
        <v>6</v>
      </c>
      <c r="WT78" s="23">
        <v>6</v>
      </c>
      <c r="WU78" s="23">
        <v>6</v>
      </c>
      <c r="WV78" s="23">
        <v>6</v>
      </c>
      <c r="WW78" s="23">
        <v>6</v>
      </c>
      <c r="WX78" s="23">
        <v>6</v>
      </c>
      <c r="WY78" s="23">
        <v>6</v>
      </c>
      <c r="WZ78" s="23">
        <v>6</v>
      </c>
      <c r="XA78" s="23">
        <v>6</v>
      </c>
      <c r="XB78" s="23">
        <v>6</v>
      </c>
      <c r="XC78" s="23">
        <v>6</v>
      </c>
      <c r="XD78" s="23">
        <v>6</v>
      </c>
      <c r="XE78" s="23">
        <v>6</v>
      </c>
      <c r="XF78" s="23">
        <v>6</v>
      </c>
      <c r="XG78" s="23">
        <v>6</v>
      </c>
      <c r="XH78" s="23">
        <v>6</v>
      </c>
      <c r="XI78" s="23">
        <v>6</v>
      </c>
      <c r="XJ78" s="23">
        <v>6</v>
      </c>
      <c r="XK78" s="23">
        <v>6</v>
      </c>
      <c r="XL78" s="23">
        <v>6</v>
      </c>
      <c r="XM78" s="23">
        <v>6</v>
      </c>
      <c r="XN78" s="23">
        <v>6</v>
      </c>
      <c r="XO78" s="23">
        <v>6</v>
      </c>
      <c r="XP78" s="23">
        <v>6</v>
      </c>
      <c r="XQ78" s="23">
        <v>6</v>
      </c>
      <c r="XR78" s="23">
        <v>6</v>
      </c>
      <c r="XS78" s="23">
        <v>6</v>
      </c>
      <c r="XT78" s="23">
        <v>6</v>
      </c>
      <c r="XU78" s="23">
        <v>6</v>
      </c>
      <c r="XV78" s="23">
        <v>6</v>
      </c>
      <c r="XW78" s="23">
        <v>6</v>
      </c>
      <c r="XX78" s="23">
        <v>6</v>
      </c>
      <c r="XY78" s="23">
        <v>6</v>
      </c>
      <c r="XZ78" s="23">
        <v>6</v>
      </c>
      <c r="YA78" s="23">
        <v>6</v>
      </c>
      <c r="YB78" s="23">
        <v>6</v>
      </c>
      <c r="YC78" s="23">
        <v>6</v>
      </c>
      <c r="YD78" s="23">
        <v>6</v>
      </c>
      <c r="YE78" s="23">
        <v>6</v>
      </c>
      <c r="YF78" s="23">
        <v>6</v>
      </c>
      <c r="YG78" s="23">
        <v>6</v>
      </c>
      <c r="YH78" s="23">
        <v>6</v>
      </c>
      <c r="YI78" s="23">
        <v>6</v>
      </c>
      <c r="YJ78" s="23">
        <v>6</v>
      </c>
      <c r="YK78" s="23">
        <v>6</v>
      </c>
      <c r="YL78" s="23">
        <v>6</v>
      </c>
      <c r="YM78" s="23">
        <v>6</v>
      </c>
      <c r="YN78" s="23">
        <v>6</v>
      </c>
      <c r="YO78" s="23">
        <v>6</v>
      </c>
      <c r="YP78" s="23">
        <v>6</v>
      </c>
      <c r="YQ78" s="23">
        <v>6</v>
      </c>
      <c r="YR78" s="23">
        <v>6</v>
      </c>
      <c r="YS78" s="23">
        <v>6</v>
      </c>
      <c r="YT78" s="23">
        <v>6</v>
      </c>
      <c r="YU78" s="23">
        <v>6</v>
      </c>
      <c r="YV78" s="23">
        <v>6</v>
      </c>
      <c r="YW78" s="23">
        <v>6</v>
      </c>
      <c r="YX78" s="23">
        <v>6</v>
      </c>
      <c r="YY78" s="23">
        <v>6</v>
      </c>
      <c r="YZ78" s="23">
        <v>6</v>
      </c>
      <c r="ZA78" s="23">
        <v>6</v>
      </c>
      <c r="ZB78" s="23">
        <v>6</v>
      </c>
      <c r="ZC78" s="23">
        <v>6</v>
      </c>
      <c r="ZD78" s="23">
        <v>6</v>
      </c>
      <c r="ZE78" s="23">
        <v>6</v>
      </c>
      <c r="ZF78" s="23">
        <v>6</v>
      </c>
      <c r="ZG78" s="23">
        <v>6</v>
      </c>
      <c r="ZH78" s="23">
        <v>6</v>
      </c>
      <c r="ZI78" s="23">
        <v>6</v>
      </c>
      <c r="ZJ78" s="23">
        <v>6</v>
      </c>
      <c r="ZK78" s="23">
        <v>6</v>
      </c>
      <c r="ZL78" s="23">
        <v>6</v>
      </c>
      <c r="ZM78" s="23">
        <v>6</v>
      </c>
      <c r="ZN78" s="23">
        <v>6</v>
      </c>
      <c r="ZO78" s="23">
        <v>6</v>
      </c>
      <c r="ZP78" s="23">
        <v>6</v>
      </c>
      <c r="ZQ78" s="23">
        <v>6</v>
      </c>
      <c r="ZR78" s="23">
        <v>6</v>
      </c>
      <c r="ZS78" s="23">
        <v>6</v>
      </c>
      <c r="ZT78" s="23">
        <v>6</v>
      </c>
      <c r="ZU78" s="23">
        <v>6</v>
      </c>
      <c r="ZV78" s="23">
        <v>6</v>
      </c>
      <c r="ZW78" s="23">
        <v>6</v>
      </c>
      <c r="ZX78" s="23">
        <v>6</v>
      </c>
      <c r="ZY78" s="23">
        <v>6</v>
      </c>
      <c r="ZZ78" s="23">
        <v>6</v>
      </c>
      <c r="AAA78" s="23">
        <v>6</v>
      </c>
      <c r="AAB78" s="23">
        <v>6</v>
      </c>
      <c r="AAC78" s="23">
        <v>6</v>
      </c>
      <c r="AAD78" s="23">
        <v>6</v>
      </c>
      <c r="AAE78" s="23">
        <v>6</v>
      </c>
      <c r="AAF78" s="23">
        <v>6</v>
      </c>
      <c r="AAG78" s="23">
        <v>6</v>
      </c>
      <c r="AAH78" s="23">
        <v>6</v>
      </c>
      <c r="AAI78" s="23">
        <v>6</v>
      </c>
      <c r="AAJ78" s="23">
        <v>6</v>
      </c>
      <c r="AAK78" s="23">
        <v>6</v>
      </c>
      <c r="AAL78" s="23">
        <v>6</v>
      </c>
      <c r="AAM78" s="23">
        <v>6</v>
      </c>
      <c r="AAN78" s="23">
        <v>6</v>
      </c>
      <c r="AAO78" s="23">
        <v>6</v>
      </c>
      <c r="AAP78" s="23">
        <v>6</v>
      </c>
      <c r="AAQ78" s="23">
        <v>6</v>
      </c>
      <c r="AAR78" s="23">
        <v>6</v>
      </c>
      <c r="AAS78" s="23">
        <v>6</v>
      </c>
      <c r="AAT78" s="23">
        <v>6</v>
      </c>
      <c r="AAU78" s="23">
        <v>6</v>
      </c>
      <c r="AAV78" s="23">
        <v>6</v>
      </c>
      <c r="AAW78" s="23">
        <v>6</v>
      </c>
      <c r="AAX78" s="23">
        <v>6</v>
      </c>
      <c r="AAY78" s="23">
        <v>6</v>
      </c>
      <c r="AAZ78" s="23">
        <v>6</v>
      </c>
      <c r="ABA78" s="23">
        <v>6</v>
      </c>
      <c r="ABB78" s="23">
        <v>6</v>
      </c>
      <c r="ABC78" s="23">
        <v>6</v>
      </c>
      <c r="ABD78" s="23">
        <v>6</v>
      </c>
      <c r="ABE78" s="23">
        <v>6</v>
      </c>
      <c r="ABF78" s="23">
        <v>6</v>
      </c>
      <c r="ABG78" s="23">
        <v>6</v>
      </c>
      <c r="ABH78" s="23">
        <v>6</v>
      </c>
      <c r="ABI78" s="23">
        <v>6</v>
      </c>
      <c r="ABJ78" s="23">
        <v>6</v>
      </c>
      <c r="ABK78" s="23">
        <v>6</v>
      </c>
      <c r="ABL78" s="23">
        <v>6</v>
      </c>
      <c r="ABM78" s="23">
        <v>6</v>
      </c>
      <c r="ABN78" s="23">
        <v>6</v>
      </c>
      <c r="ABO78" s="23">
        <v>6</v>
      </c>
      <c r="ABP78" s="23">
        <v>6</v>
      </c>
      <c r="ABQ78" s="23">
        <v>6</v>
      </c>
      <c r="ABR78" s="23">
        <v>6</v>
      </c>
    </row>
    <row r="79" spans="1:1822" customFormat="1" x14ac:dyDescent="0.3">
      <c r="A79" s="2"/>
      <c r="B79" s="2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114" t="s">
        <v>64</v>
      </c>
      <c r="P79" s="115"/>
      <c r="Q79" s="23">
        <v>7</v>
      </c>
      <c r="R79" s="23">
        <v>7</v>
      </c>
      <c r="S79" s="23">
        <v>7</v>
      </c>
      <c r="T79" s="23">
        <v>7</v>
      </c>
      <c r="U79" s="23">
        <v>7</v>
      </c>
      <c r="V79" s="23">
        <v>7</v>
      </c>
      <c r="W79" s="23">
        <v>7</v>
      </c>
      <c r="X79" s="23">
        <v>7</v>
      </c>
      <c r="Y79" s="23">
        <v>7</v>
      </c>
      <c r="Z79" s="23">
        <v>7</v>
      </c>
      <c r="AA79" s="23">
        <v>7</v>
      </c>
      <c r="AB79" s="23">
        <v>7</v>
      </c>
      <c r="AC79" s="23">
        <v>7</v>
      </c>
      <c r="AD79" s="23">
        <v>7</v>
      </c>
      <c r="AE79" s="23">
        <v>7</v>
      </c>
      <c r="AF79" s="23">
        <v>7</v>
      </c>
      <c r="AG79" s="23">
        <v>7</v>
      </c>
      <c r="AH79" s="23">
        <v>7</v>
      </c>
      <c r="AI79" s="23">
        <v>7</v>
      </c>
      <c r="AJ79" s="23">
        <v>7</v>
      </c>
      <c r="AK79" s="23">
        <v>7</v>
      </c>
      <c r="AL79" s="23">
        <v>7</v>
      </c>
      <c r="AM79" s="23">
        <v>7</v>
      </c>
      <c r="AN79" s="23">
        <v>7</v>
      </c>
      <c r="AO79" s="23">
        <v>7</v>
      </c>
      <c r="AP79" s="23">
        <v>7</v>
      </c>
      <c r="AQ79" s="23">
        <v>7</v>
      </c>
      <c r="AR79" s="23">
        <v>7</v>
      </c>
      <c r="AS79" s="23">
        <v>7</v>
      </c>
      <c r="AT79" s="23">
        <v>7</v>
      </c>
      <c r="AU79" s="23">
        <v>7</v>
      </c>
      <c r="AV79" s="23">
        <v>7</v>
      </c>
      <c r="AW79" s="23">
        <v>7</v>
      </c>
      <c r="AX79" s="23">
        <v>7</v>
      </c>
      <c r="AY79" s="23">
        <v>7</v>
      </c>
      <c r="AZ79" s="23">
        <v>7</v>
      </c>
      <c r="BA79" s="23">
        <v>7</v>
      </c>
      <c r="BB79" s="23">
        <v>7</v>
      </c>
      <c r="BC79" s="23">
        <v>7</v>
      </c>
      <c r="BD79" s="23">
        <v>7</v>
      </c>
      <c r="BE79" s="23">
        <v>7</v>
      </c>
      <c r="BF79" s="23">
        <v>7</v>
      </c>
      <c r="BG79" s="23">
        <v>7</v>
      </c>
      <c r="BH79" s="23">
        <v>7</v>
      </c>
      <c r="BI79" s="23">
        <v>7</v>
      </c>
      <c r="BJ79" s="23">
        <v>7</v>
      </c>
      <c r="BK79" s="23">
        <v>7</v>
      </c>
      <c r="BL79" s="23">
        <v>7</v>
      </c>
      <c r="BM79" s="23">
        <v>7</v>
      </c>
      <c r="BN79" s="23">
        <v>7</v>
      </c>
      <c r="BO79" s="23">
        <v>7</v>
      </c>
      <c r="BP79" s="23">
        <v>7</v>
      </c>
      <c r="BQ79" s="23">
        <v>7</v>
      </c>
      <c r="BR79" s="23">
        <v>7</v>
      </c>
      <c r="BS79" s="23">
        <v>7</v>
      </c>
      <c r="BT79" s="23">
        <v>7</v>
      </c>
      <c r="BU79" s="23">
        <v>7</v>
      </c>
      <c r="BV79" s="23">
        <v>7</v>
      </c>
      <c r="BW79" s="23">
        <v>7</v>
      </c>
      <c r="BX79" s="23">
        <v>7</v>
      </c>
      <c r="BY79" s="23">
        <v>7</v>
      </c>
      <c r="BZ79" s="23">
        <v>7</v>
      </c>
      <c r="CA79" s="23">
        <v>7</v>
      </c>
      <c r="CB79" s="23">
        <v>7</v>
      </c>
      <c r="CC79" s="23">
        <v>7</v>
      </c>
      <c r="CD79" s="23">
        <v>7</v>
      </c>
      <c r="CE79" s="23">
        <v>7</v>
      </c>
      <c r="CF79" s="23">
        <v>7</v>
      </c>
      <c r="CG79" s="23">
        <v>7</v>
      </c>
      <c r="CH79" s="23">
        <v>7</v>
      </c>
      <c r="CI79" s="23">
        <v>7</v>
      </c>
      <c r="CJ79" s="23">
        <v>7</v>
      </c>
      <c r="CK79" s="23">
        <v>7</v>
      </c>
      <c r="CL79" s="23">
        <v>7</v>
      </c>
      <c r="CM79" s="23">
        <v>7</v>
      </c>
      <c r="CN79" s="23">
        <v>7</v>
      </c>
      <c r="CO79" s="23">
        <v>7</v>
      </c>
      <c r="CP79" s="23">
        <v>7</v>
      </c>
      <c r="CQ79" s="23">
        <v>7</v>
      </c>
      <c r="CR79" s="23">
        <v>7</v>
      </c>
      <c r="CS79" s="23">
        <v>7</v>
      </c>
      <c r="CT79" s="23">
        <v>7</v>
      </c>
      <c r="CU79" s="23">
        <v>7</v>
      </c>
      <c r="CV79" s="23">
        <v>7</v>
      </c>
      <c r="CW79" s="23">
        <v>7</v>
      </c>
      <c r="CX79" s="23">
        <v>7</v>
      </c>
      <c r="CY79" s="23">
        <v>7</v>
      </c>
      <c r="CZ79" s="23">
        <v>7</v>
      </c>
      <c r="DA79" s="23">
        <v>7</v>
      </c>
      <c r="DB79" s="23">
        <v>7</v>
      </c>
      <c r="DC79" s="23">
        <v>7</v>
      </c>
      <c r="DD79" s="23">
        <v>7</v>
      </c>
      <c r="DE79" s="23">
        <v>7</v>
      </c>
      <c r="DF79" s="23">
        <v>7</v>
      </c>
      <c r="DG79" s="23">
        <v>7</v>
      </c>
      <c r="DH79" s="23">
        <v>7</v>
      </c>
      <c r="DI79" s="23">
        <v>7</v>
      </c>
      <c r="DJ79" s="23">
        <v>7</v>
      </c>
      <c r="DK79" s="23">
        <v>7</v>
      </c>
      <c r="DL79" s="23">
        <v>7</v>
      </c>
      <c r="DM79" s="23">
        <v>7</v>
      </c>
      <c r="DN79" s="23">
        <v>7</v>
      </c>
      <c r="DO79" s="23">
        <v>7</v>
      </c>
      <c r="DP79" s="23">
        <v>7</v>
      </c>
      <c r="DQ79" s="23">
        <v>7</v>
      </c>
      <c r="DR79" s="23">
        <v>7</v>
      </c>
      <c r="DS79" s="23">
        <v>7</v>
      </c>
      <c r="DT79" s="23">
        <v>7</v>
      </c>
      <c r="DU79" s="23">
        <v>7</v>
      </c>
      <c r="DV79" s="23">
        <v>7</v>
      </c>
      <c r="DW79" s="23">
        <v>7</v>
      </c>
      <c r="DX79" s="23">
        <v>7</v>
      </c>
      <c r="DY79" s="23">
        <v>7</v>
      </c>
      <c r="DZ79" s="23">
        <v>7</v>
      </c>
      <c r="EA79" s="23">
        <v>7</v>
      </c>
      <c r="EB79" s="23">
        <v>7</v>
      </c>
      <c r="EC79" s="23">
        <v>7</v>
      </c>
      <c r="ED79" s="23">
        <v>7</v>
      </c>
      <c r="EE79" s="23">
        <v>7</v>
      </c>
      <c r="EF79" s="23">
        <v>7</v>
      </c>
      <c r="EG79" s="23">
        <v>7</v>
      </c>
      <c r="EH79" s="23">
        <v>7</v>
      </c>
      <c r="EI79" s="23">
        <v>7</v>
      </c>
      <c r="EJ79" s="23">
        <v>7</v>
      </c>
      <c r="EK79" s="23">
        <v>7</v>
      </c>
      <c r="EL79" s="23">
        <v>7</v>
      </c>
      <c r="EM79" s="23">
        <v>7</v>
      </c>
      <c r="EN79" s="23">
        <v>7</v>
      </c>
      <c r="EO79" s="23">
        <v>7</v>
      </c>
      <c r="EP79" s="23">
        <v>7</v>
      </c>
      <c r="EQ79" s="23">
        <v>7</v>
      </c>
      <c r="ER79" s="23">
        <v>7</v>
      </c>
      <c r="ES79" s="23">
        <v>7</v>
      </c>
      <c r="ET79" s="23">
        <v>7</v>
      </c>
      <c r="EU79" s="23">
        <v>7</v>
      </c>
      <c r="EV79" s="23">
        <v>7</v>
      </c>
      <c r="EW79" s="23">
        <v>7</v>
      </c>
      <c r="EX79" s="23">
        <v>7</v>
      </c>
      <c r="EY79" s="23">
        <v>7</v>
      </c>
      <c r="EZ79" s="23">
        <v>7</v>
      </c>
      <c r="FA79" s="23">
        <v>7</v>
      </c>
      <c r="FB79" s="23">
        <v>7</v>
      </c>
      <c r="FC79" s="23">
        <v>7</v>
      </c>
      <c r="FD79" s="23">
        <v>7</v>
      </c>
      <c r="FE79" s="23">
        <v>7</v>
      </c>
      <c r="FF79" s="23">
        <v>7</v>
      </c>
      <c r="FG79" s="23">
        <v>7</v>
      </c>
      <c r="FH79" s="23">
        <v>7</v>
      </c>
      <c r="FI79" s="23">
        <v>7</v>
      </c>
      <c r="FJ79" s="23">
        <v>7</v>
      </c>
      <c r="FK79" s="23">
        <v>7</v>
      </c>
      <c r="FL79" s="23">
        <v>7</v>
      </c>
      <c r="FM79" s="23">
        <v>7</v>
      </c>
      <c r="FN79" s="23">
        <v>7</v>
      </c>
      <c r="FO79" s="23">
        <v>7</v>
      </c>
      <c r="FP79" s="23">
        <v>7</v>
      </c>
      <c r="FQ79" s="23">
        <v>7</v>
      </c>
      <c r="FR79" s="23">
        <v>7</v>
      </c>
      <c r="FS79" s="23">
        <v>7</v>
      </c>
      <c r="FT79" s="23">
        <v>7</v>
      </c>
      <c r="FU79" s="23">
        <v>7</v>
      </c>
      <c r="FV79" s="23">
        <v>7</v>
      </c>
      <c r="FW79" s="23">
        <v>7</v>
      </c>
      <c r="FX79" s="23">
        <v>7</v>
      </c>
      <c r="FY79" s="23">
        <v>7</v>
      </c>
      <c r="FZ79" s="23">
        <v>7</v>
      </c>
      <c r="GA79" s="23">
        <v>7</v>
      </c>
      <c r="GB79" s="23">
        <v>7</v>
      </c>
      <c r="GC79" s="23">
        <v>7</v>
      </c>
      <c r="GD79" s="23">
        <v>7</v>
      </c>
      <c r="GE79" s="23">
        <v>7</v>
      </c>
      <c r="GF79" s="23">
        <v>7</v>
      </c>
      <c r="GG79" s="23">
        <v>7</v>
      </c>
      <c r="GH79" s="23">
        <v>7</v>
      </c>
      <c r="GI79" s="23">
        <v>7</v>
      </c>
      <c r="GJ79" s="23">
        <v>7</v>
      </c>
      <c r="GK79" s="23">
        <v>7</v>
      </c>
      <c r="GL79" s="23">
        <v>7</v>
      </c>
      <c r="GM79" s="23">
        <v>7</v>
      </c>
      <c r="GN79" s="23">
        <v>7</v>
      </c>
      <c r="GO79" s="23">
        <v>7</v>
      </c>
      <c r="GP79" s="23">
        <v>7</v>
      </c>
      <c r="GQ79" s="23">
        <v>7</v>
      </c>
      <c r="GR79" s="23">
        <v>7</v>
      </c>
      <c r="GS79" s="23">
        <v>7</v>
      </c>
      <c r="GT79" s="23">
        <v>7</v>
      </c>
      <c r="GU79" s="23">
        <v>7</v>
      </c>
      <c r="GV79" s="23">
        <v>7</v>
      </c>
      <c r="GW79" s="23">
        <v>7</v>
      </c>
      <c r="GX79" s="23">
        <v>7</v>
      </c>
      <c r="GY79" s="23">
        <v>7</v>
      </c>
      <c r="GZ79" s="23">
        <v>7</v>
      </c>
      <c r="HA79" s="23">
        <v>7</v>
      </c>
      <c r="HB79" s="23">
        <v>7</v>
      </c>
      <c r="HC79" s="23">
        <v>7</v>
      </c>
      <c r="HD79" s="23">
        <v>7</v>
      </c>
      <c r="HE79" s="23">
        <v>7</v>
      </c>
      <c r="HF79" s="23">
        <v>7</v>
      </c>
      <c r="HG79" s="23">
        <v>7</v>
      </c>
      <c r="HH79" s="23">
        <v>7</v>
      </c>
      <c r="HI79" s="23">
        <v>7</v>
      </c>
      <c r="HJ79" s="23">
        <v>7</v>
      </c>
      <c r="HK79" s="23">
        <v>7</v>
      </c>
      <c r="HL79" s="23">
        <v>7</v>
      </c>
      <c r="HM79" s="23">
        <v>7</v>
      </c>
      <c r="HN79" s="23">
        <v>7</v>
      </c>
      <c r="HO79" s="23">
        <v>7</v>
      </c>
      <c r="HP79" s="23">
        <v>7</v>
      </c>
      <c r="HQ79" s="23">
        <v>7</v>
      </c>
      <c r="HR79" s="23">
        <v>7</v>
      </c>
      <c r="HS79" s="23">
        <v>7</v>
      </c>
      <c r="HT79" s="23">
        <v>7</v>
      </c>
      <c r="HU79" s="23">
        <v>7</v>
      </c>
      <c r="HV79" s="23">
        <v>7</v>
      </c>
      <c r="HW79" s="23">
        <v>7</v>
      </c>
      <c r="HX79" s="23">
        <v>7</v>
      </c>
      <c r="HY79" s="23">
        <v>7</v>
      </c>
      <c r="HZ79" s="23">
        <v>7</v>
      </c>
      <c r="IA79" s="23">
        <v>7</v>
      </c>
      <c r="IB79" s="23">
        <v>7</v>
      </c>
      <c r="IC79" s="23">
        <v>7</v>
      </c>
      <c r="ID79" s="23">
        <v>7</v>
      </c>
      <c r="IE79" s="23">
        <v>7</v>
      </c>
      <c r="IF79" s="23">
        <v>7</v>
      </c>
      <c r="IG79" s="23">
        <v>7</v>
      </c>
      <c r="IH79" s="23">
        <v>7</v>
      </c>
      <c r="II79" s="23">
        <v>7</v>
      </c>
      <c r="IJ79" s="23">
        <v>7</v>
      </c>
      <c r="IK79" s="23">
        <v>7</v>
      </c>
      <c r="IL79" s="23">
        <v>7</v>
      </c>
      <c r="IM79" s="23">
        <v>7</v>
      </c>
      <c r="IN79" s="23">
        <v>7</v>
      </c>
      <c r="IO79" s="23">
        <v>7</v>
      </c>
      <c r="IP79" s="23">
        <v>7</v>
      </c>
      <c r="IQ79" s="23">
        <v>7</v>
      </c>
      <c r="IR79" s="23">
        <v>7</v>
      </c>
      <c r="IS79" s="23">
        <v>7</v>
      </c>
      <c r="IT79" s="23">
        <v>7</v>
      </c>
      <c r="IU79" s="23">
        <v>7</v>
      </c>
      <c r="IV79" s="23">
        <v>7</v>
      </c>
      <c r="IW79" s="23">
        <v>7</v>
      </c>
      <c r="IX79" s="23">
        <v>7</v>
      </c>
      <c r="IY79" s="23">
        <v>7</v>
      </c>
      <c r="IZ79" s="23">
        <v>7</v>
      </c>
      <c r="JA79" s="23">
        <v>7</v>
      </c>
      <c r="JB79" s="23">
        <v>7</v>
      </c>
      <c r="JC79" s="23">
        <v>7</v>
      </c>
      <c r="JD79" s="23">
        <v>7</v>
      </c>
      <c r="JE79" s="23">
        <v>7</v>
      </c>
      <c r="JF79" s="23">
        <v>7</v>
      </c>
      <c r="JG79" s="23">
        <v>7</v>
      </c>
      <c r="JH79" s="23">
        <v>7</v>
      </c>
      <c r="JI79" s="23">
        <v>7</v>
      </c>
      <c r="JJ79" s="23">
        <v>7</v>
      </c>
      <c r="JK79" s="23">
        <v>7</v>
      </c>
      <c r="JL79" s="23">
        <v>7</v>
      </c>
      <c r="JM79" s="23">
        <v>7</v>
      </c>
      <c r="JN79" s="23">
        <v>7</v>
      </c>
      <c r="JO79" s="23">
        <v>7</v>
      </c>
      <c r="JP79" s="23">
        <v>7</v>
      </c>
      <c r="JQ79" s="23">
        <v>7</v>
      </c>
      <c r="JR79" s="23">
        <v>7</v>
      </c>
      <c r="JS79" s="23">
        <v>7</v>
      </c>
      <c r="JT79" s="23">
        <v>7</v>
      </c>
      <c r="JU79" s="23">
        <v>7</v>
      </c>
      <c r="JV79" s="23">
        <v>7</v>
      </c>
      <c r="JW79" s="23">
        <v>7</v>
      </c>
      <c r="JX79" s="23">
        <v>7</v>
      </c>
      <c r="JY79" s="23">
        <v>7</v>
      </c>
      <c r="JZ79" s="23">
        <v>7</v>
      </c>
      <c r="KA79" s="23">
        <v>7</v>
      </c>
      <c r="KB79" s="23">
        <v>7</v>
      </c>
      <c r="KC79" s="23">
        <v>7</v>
      </c>
      <c r="KD79" s="23">
        <v>7</v>
      </c>
      <c r="KE79" s="23">
        <v>7</v>
      </c>
      <c r="KF79" s="23">
        <v>7</v>
      </c>
      <c r="KG79" s="23">
        <v>7</v>
      </c>
      <c r="KH79" s="23">
        <v>7</v>
      </c>
      <c r="KI79" s="23">
        <v>7</v>
      </c>
      <c r="KJ79" s="23">
        <v>7</v>
      </c>
      <c r="KK79" s="23">
        <v>7</v>
      </c>
      <c r="KL79" s="23">
        <v>7</v>
      </c>
      <c r="KM79" s="23">
        <v>7</v>
      </c>
      <c r="KN79" s="23">
        <v>7</v>
      </c>
      <c r="KO79" s="23">
        <v>7</v>
      </c>
      <c r="KP79" s="23">
        <v>7</v>
      </c>
      <c r="KQ79" s="23">
        <v>7</v>
      </c>
      <c r="KR79" s="23">
        <v>7</v>
      </c>
      <c r="KS79" s="23">
        <v>7</v>
      </c>
      <c r="KT79" s="23">
        <v>7</v>
      </c>
      <c r="KU79" s="23">
        <v>7</v>
      </c>
      <c r="KV79" s="23">
        <v>7</v>
      </c>
      <c r="KW79" s="23">
        <v>7</v>
      </c>
      <c r="KX79" s="23">
        <v>7</v>
      </c>
      <c r="KY79" s="23">
        <v>7</v>
      </c>
      <c r="KZ79" s="23">
        <v>7</v>
      </c>
      <c r="LA79" s="23">
        <v>7</v>
      </c>
      <c r="LB79" s="23">
        <v>7</v>
      </c>
      <c r="LC79" s="23">
        <v>7</v>
      </c>
      <c r="LD79" s="23">
        <v>7</v>
      </c>
      <c r="LE79" s="23">
        <v>7</v>
      </c>
      <c r="LF79" s="23">
        <v>7</v>
      </c>
      <c r="LG79" s="23">
        <v>7</v>
      </c>
      <c r="LH79" s="23">
        <v>7</v>
      </c>
      <c r="LI79" s="23">
        <v>7</v>
      </c>
      <c r="LJ79" s="23">
        <v>7</v>
      </c>
      <c r="LK79" s="23">
        <v>7</v>
      </c>
      <c r="LL79" s="23">
        <v>7</v>
      </c>
      <c r="LM79" s="23">
        <v>7</v>
      </c>
      <c r="LN79" s="23">
        <v>7</v>
      </c>
      <c r="LO79" s="23">
        <v>7</v>
      </c>
      <c r="LP79" s="23">
        <v>7</v>
      </c>
      <c r="LQ79" s="23">
        <v>7</v>
      </c>
      <c r="LR79" s="23">
        <v>7</v>
      </c>
      <c r="LS79" s="23">
        <v>7</v>
      </c>
      <c r="LT79" s="23">
        <v>7</v>
      </c>
      <c r="LU79" s="23">
        <v>7</v>
      </c>
      <c r="LV79" s="23">
        <v>7</v>
      </c>
      <c r="LW79" s="23">
        <v>7</v>
      </c>
      <c r="LX79" s="23">
        <v>7</v>
      </c>
      <c r="LY79" s="23">
        <v>7</v>
      </c>
      <c r="LZ79" s="23">
        <v>7</v>
      </c>
      <c r="MA79" s="23">
        <v>7</v>
      </c>
      <c r="MB79" s="23">
        <v>7</v>
      </c>
      <c r="MC79" s="23">
        <v>7</v>
      </c>
      <c r="MD79" s="23">
        <v>7</v>
      </c>
      <c r="ME79" s="23">
        <v>7</v>
      </c>
      <c r="MF79" s="23">
        <v>7</v>
      </c>
      <c r="MG79" s="23">
        <v>7</v>
      </c>
      <c r="MH79" s="23">
        <v>7</v>
      </c>
      <c r="MI79" s="23">
        <v>7</v>
      </c>
      <c r="MJ79" s="23">
        <v>7</v>
      </c>
      <c r="MK79" s="23">
        <v>7</v>
      </c>
      <c r="ML79" s="23">
        <v>7</v>
      </c>
      <c r="MM79" s="23">
        <v>7</v>
      </c>
      <c r="MN79" s="23">
        <v>7</v>
      </c>
      <c r="MO79" s="23">
        <v>7</v>
      </c>
      <c r="MP79" s="23">
        <v>7</v>
      </c>
      <c r="MQ79" s="23">
        <v>7</v>
      </c>
      <c r="MR79" s="23">
        <v>7</v>
      </c>
      <c r="MS79" s="23">
        <v>7</v>
      </c>
      <c r="MT79" s="23">
        <v>7</v>
      </c>
      <c r="MU79" s="23">
        <v>7</v>
      </c>
      <c r="MV79" s="23">
        <v>7</v>
      </c>
      <c r="MW79" s="23">
        <v>7</v>
      </c>
      <c r="MX79" s="23">
        <v>7</v>
      </c>
      <c r="MY79" s="23">
        <v>7</v>
      </c>
      <c r="MZ79" s="23">
        <v>7</v>
      </c>
      <c r="NA79" s="23">
        <v>7</v>
      </c>
      <c r="NB79" s="23">
        <v>7</v>
      </c>
      <c r="NC79" s="23">
        <v>7</v>
      </c>
      <c r="ND79" s="23">
        <v>7</v>
      </c>
      <c r="NE79" s="23">
        <v>7</v>
      </c>
      <c r="NF79" s="23">
        <v>7</v>
      </c>
      <c r="NG79" s="23">
        <v>7</v>
      </c>
      <c r="NH79" s="23">
        <v>7</v>
      </c>
      <c r="NI79" s="23">
        <v>7</v>
      </c>
      <c r="NJ79" s="23">
        <v>7</v>
      </c>
      <c r="NK79" s="23">
        <v>7</v>
      </c>
      <c r="NL79" s="23">
        <v>7</v>
      </c>
      <c r="NM79" s="23">
        <v>7</v>
      </c>
      <c r="NN79" s="23">
        <v>7</v>
      </c>
      <c r="NO79" s="23">
        <v>7</v>
      </c>
      <c r="NP79" s="23">
        <v>7</v>
      </c>
      <c r="NQ79" s="23">
        <v>7</v>
      </c>
      <c r="NR79" s="23">
        <v>7</v>
      </c>
      <c r="NS79" s="23">
        <v>7</v>
      </c>
      <c r="NT79" s="23">
        <v>7</v>
      </c>
      <c r="NU79" s="23">
        <v>7</v>
      </c>
      <c r="NV79" s="23">
        <v>7</v>
      </c>
      <c r="NW79" s="23">
        <v>7</v>
      </c>
      <c r="NX79" s="23">
        <v>7</v>
      </c>
      <c r="NY79" s="23">
        <v>7</v>
      </c>
      <c r="NZ79" s="23">
        <v>7</v>
      </c>
      <c r="OA79" s="23">
        <v>7</v>
      </c>
      <c r="OB79" s="23">
        <v>7</v>
      </c>
      <c r="OC79" s="23">
        <v>7</v>
      </c>
      <c r="OD79" s="23">
        <v>7</v>
      </c>
      <c r="OE79" s="23">
        <v>7</v>
      </c>
      <c r="OF79" s="23">
        <v>7</v>
      </c>
      <c r="OG79" s="23">
        <v>7</v>
      </c>
      <c r="OH79" s="23">
        <v>7</v>
      </c>
      <c r="OI79" s="23">
        <v>7</v>
      </c>
      <c r="OJ79" s="23">
        <v>7</v>
      </c>
      <c r="OK79" s="23">
        <v>7</v>
      </c>
      <c r="OL79" s="23">
        <v>7</v>
      </c>
      <c r="OM79" s="23">
        <v>7</v>
      </c>
      <c r="ON79" s="23">
        <v>7</v>
      </c>
      <c r="OO79" s="23">
        <v>7</v>
      </c>
      <c r="OP79" s="23">
        <v>7</v>
      </c>
      <c r="OQ79" s="23">
        <v>7</v>
      </c>
      <c r="OR79" s="23">
        <v>7</v>
      </c>
      <c r="OS79" s="23">
        <v>7</v>
      </c>
      <c r="OT79" s="23">
        <v>7</v>
      </c>
      <c r="OU79" s="23">
        <v>7</v>
      </c>
      <c r="OV79" s="23">
        <v>7</v>
      </c>
      <c r="OW79" s="23">
        <v>7</v>
      </c>
      <c r="OX79" s="23">
        <v>7</v>
      </c>
      <c r="OY79" s="23">
        <v>7</v>
      </c>
      <c r="OZ79" s="23">
        <v>7</v>
      </c>
      <c r="PA79" s="23">
        <v>7</v>
      </c>
      <c r="PB79" s="23">
        <v>7</v>
      </c>
      <c r="PC79" s="23">
        <v>7</v>
      </c>
      <c r="PD79" s="23">
        <v>7</v>
      </c>
      <c r="PE79" s="23">
        <v>7</v>
      </c>
      <c r="PF79" s="23">
        <v>7</v>
      </c>
      <c r="PG79" s="23">
        <v>7</v>
      </c>
      <c r="PH79" s="23">
        <v>7</v>
      </c>
      <c r="PI79" s="23">
        <v>7</v>
      </c>
      <c r="PJ79" s="23">
        <v>7</v>
      </c>
      <c r="PK79" s="23">
        <v>7</v>
      </c>
      <c r="PL79" s="23">
        <v>7</v>
      </c>
      <c r="PM79" s="23">
        <v>7</v>
      </c>
      <c r="PN79" s="23">
        <v>7</v>
      </c>
      <c r="PO79" s="23">
        <v>7</v>
      </c>
      <c r="PP79" s="23">
        <v>7</v>
      </c>
      <c r="PQ79" s="23">
        <v>7</v>
      </c>
      <c r="PR79" s="23">
        <v>7</v>
      </c>
      <c r="PS79" s="23">
        <v>7</v>
      </c>
      <c r="PT79" s="23">
        <v>7</v>
      </c>
      <c r="PU79" s="23">
        <v>7</v>
      </c>
      <c r="PV79" s="23">
        <v>7</v>
      </c>
      <c r="PW79" s="23">
        <v>7</v>
      </c>
      <c r="PX79" s="23">
        <v>7</v>
      </c>
      <c r="PY79" s="23">
        <v>7</v>
      </c>
      <c r="PZ79" s="23">
        <v>7</v>
      </c>
      <c r="QA79" s="23">
        <v>7</v>
      </c>
      <c r="QB79" s="23">
        <v>7</v>
      </c>
      <c r="QC79" s="23">
        <v>7</v>
      </c>
      <c r="QD79" s="23">
        <v>7</v>
      </c>
      <c r="QE79" s="23">
        <v>7</v>
      </c>
      <c r="QF79" s="23">
        <v>7</v>
      </c>
      <c r="QG79" s="23">
        <v>7</v>
      </c>
      <c r="QH79" s="23">
        <v>7</v>
      </c>
      <c r="QI79" s="23">
        <v>7</v>
      </c>
      <c r="QJ79" s="23">
        <v>7</v>
      </c>
      <c r="QK79" s="23">
        <v>7</v>
      </c>
      <c r="QL79" s="23">
        <v>7</v>
      </c>
      <c r="QM79" s="23">
        <v>7</v>
      </c>
      <c r="QN79" s="23">
        <v>7</v>
      </c>
      <c r="QO79" s="23">
        <v>7</v>
      </c>
      <c r="QP79" s="23">
        <v>7</v>
      </c>
      <c r="QQ79" s="23">
        <v>7</v>
      </c>
      <c r="QR79" s="23">
        <v>7</v>
      </c>
      <c r="QS79" s="23">
        <v>7</v>
      </c>
      <c r="QT79" s="23">
        <v>7</v>
      </c>
      <c r="QU79" s="23">
        <v>7</v>
      </c>
      <c r="QV79" s="23">
        <v>7</v>
      </c>
      <c r="QW79" s="23">
        <v>7</v>
      </c>
      <c r="QX79" s="23">
        <v>7</v>
      </c>
      <c r="QY79" s="23">
        <v>7</v>
      </c>
      <c r="QZ79" s="23">
        <v>7</v>
      </c>
      <c r="RA79" s="23">
        <v>7</v>
      </c>
      <c r="RB79" s="23">
        <v>7</v>
      </c>
      <c r="RC79" s="23">
        <v>7</v>
      </c>
      <c r="RD79" s="23">
        <v>7</v>
      </c>
      <c r="RE79" s="23">
        <v>7</v>
      </c>
      <c r="RF79" s="23">
        <v>7</v>
      </c>
      <c r="RG79" s="23">
        <v>7</v>
      </c>
      <c r="RH79" s="23">
        <v>7</v>
      </c>
      <c r="RI79" s="23">
        <v>7</v>
      </c>
      <c r="RJ79" s="23">
        <v>7</v>
      </c>
      <c r="RK79" s="23">
        <v>7</v>
      </c>
      <c r="RL79" s="23">
        <v>7</v>
      </c>
      <c r="RM79" s="23">
        <v>7</v>
      </c>
      <c r="RN79" s="23">
        <v>7</v>
      </c>
      <c r="RO79" s="23">
        <v>7</v>
      </c>
      <c r="RP79" s="23">
        <v>7</v>
      </c>
      <c r="RQ79" s="23">
        <v>7</v>
      </c>
      <c r="RR79" s="23">
        <v>7</v>
      </c>
      <c r="RS79" s="23">
        <v>7</v>
      </c>
      <c r="RT79" s="23">
        <v>7</v>
      </c>
      <c r="RU79" s="23">
        <v>7</v>
      </c>
      <c r="RV79" s="23">
        <v>7</v>
      </c>
      <c r="RW79" s="23">
        <v>7</v>
      </c>
      <c r="RX79" s="23">
        <v>7</v>
      </c>
      <c r="RY79" s="23">
        <v>7</v>
      </c>
      <c r="RZ79" s="23">
        <v>7</v>
      </c>
      <c r="SA79" s="23">
        <v>7</v>
      </c>
      <c r="SB79" s="23">
        <v>7</v>
      </c>
      <c r="SC79" s="23">
        <v>7</v>
      </c>
      <c r="SD79" s="23">
        <v>7</v>
      </c>
      <c r="SE79" s="23">
        <v>7</v>
      </c>
      <c r="SF79" s="23">
        <v>7</v>
      </c>
      <c r="SG79" s="23">
        <v>7</v>
      </c>
      <c r="SH79" s="23">
        <v>7</v>
      </c>
      <c r="SI79" s="23">
        <v>7</v>
      </c>
      <c r="SJ79" s="23">
        <v>7</v>
      </c>
      <c r="SK79" s="23">
        <v>7</v>
      </c>
      <c r="SL79" s="23">
        <v>7</v>
      </c>
      <c r="SM79" s="23">
        <v>7</v>
      </c>
      <c r="SN79" s="23">
        <v>7</v>
      </c>
      <c r="SO79" s="23">
        <v>7</v>
      </c>
      <c r="SP79" s="23">
        <v>7</v>
      </c>
      <c r="SQ79" s="23">
        <v>7</v>
      </c>
      <c r="SR79" s="23">
        <v>7</v>
      </c>
      <c r="SS79" s="23">
        <v>7</v>
      </c>
      <c r="ST79" s="23">
        <v>7</v>
      </c>
      <c r="SU79" s="23">
        <v>7</v>
      </c>
      <c r="SV79" s="23">
        <v>7</v>
      </c>
      <c r="SW79" s="23">
        <v>7</v>
      </c>
      <c r="SX79" s="23">
        <v>7</v>
      </c>
      <c r="SY79" s="23">
        <v>7</v>
      </c>
      <c r="SZ79" s="23">
        <v>7</v>
      </c>
      <c r="TA79" s="23">
        <v>7</v>
      </c>
      <c r="TB79" s="23">
        <v>7</v>
      </c>
      <c r="TC79" s="23">
        <v>7</v>
      </c>
      <c r="TD79" s="23">
        <v>7</v>
      </c>
      <c r="TE79" s="23">
        <v>7</v>
      </c>
      <c r="TF79" s="23">
        <v>7</v>
      </c>
      <c r="TG79" s="23">
        <v>7</v>
      </c>
      <c r="TH79" s="23">
        <v>7</v>
      </c>
      <c r="TI79" s="23">
        <v>7</v>
      </c>
      <c r="TJ79" s="23">
        <v>7</v>
      </c>
      <c r="TK79" s="23">
        <v>7</v>
      </c>
      <c r="TL79" s="23">
        <v>7</v>
      </c>
      <c r="TM79" s="23">
        <v>7</v>
      </c>
      <c r="TN79" s="23">
        <v>7</v>
      </c>
      <c r="TO79" s="23">
        <v>7</v>
      </c>
      <c r="TP79" s="23">
        <v>7</v>
      </c>
      <c r="TQ79" s="23">
        <v>7</v>
      </c>
      <c r="TR79" s="23">
        <v>7</v>
      </c>
      <c r="TS79" s="23">
        <v>7</v>
      </c>
      <c r="TT79" s="23">
        <v>7</v>
      </c>
      <c r="TU79" s="23">
        <v>7</v>
      </c>
      <c r="TV79" s="23">
        <v>7</v>
      </c>
      <c r="TW79" s="23">
        <v>7</v>
      </c>
      <c r="TX79" s="23">
        <v>7</v>
      </c>
      <c r="TY79" s="23">
        <v>7</v>
      </c>
      <c r="TZ79" s="23">
        <v>7</v>
      </c>
      <c r="UA79" s="23">
        <v>7</v>
      </c>
      <c r="UB79" s="23">
        <v>7</v>
      </c>
      <c r="UC79" s="23">
        <v>7</v>
      </c>
      <c r="UD79" s="23">
        <v>7</v>
      </c>
      <c r="UE79" s="23">
        <v>7</v>
      </c>
      <c r="UF79" s="23">
        <v>7</v>
      </c>
      <c r="UG79" s="23">
        <v>7</v>
      </c>
      <c r="UH79" s="23">
        <v>7</v>
      </c>
      <c r="UI79" s="23">
        <v>7</v>
      </c>
      <c r="UJ79" s="23">
        <v>7</v>
      </c>
      <c r="UK79" s="23">
        <v>7</v>
      </c>
      <c r="UL79" s="23">
        <v>7</v>
      </c>
      <c r="UM79" s="23">
        <v>7</v>
      </c>
      <c r="UN79" s="23">
        <v>7</v>
      </c>
      <c r="UO79" s="23">
        <v>7</v>
      </c>
      <c r="UP79" s="23">
        <v>7</v>
      </c>
      <c r="UQ79" s="23">
        <v>7</v>
      </c>
      <c r="UR79" s="23">
        <v>7</v>
      </c>
      <c r="US79" s="23">
        <v>7</v>
      </c>
      <c r="UT79" s="23">
        <v>7</v>
      </c>
      <c r="UU79" s="23">
        <v>7</v>
      </c>
      <c r="UV79" s="23">
        <v>7</v>
      </c>
      <c r="UW79" s="23">
        <v>7</v>
      </c>
      <c r="UX79" s="23">
        <v>7</v>
      </c>
      <c r="UY79" s="23">
        <v>7</v>
      </c>
      <c r="UZ79" s="23">
        <v>7</v>
      </c>
      <c r="VA79" s="23">
        <v>7</v>
      </c>
      <c r="VB79" s="23">
        <v>7</v>
      </c>
      <c r="VC79" s="23">
        <v>7</v>
      </c>
      <c r="VD79" s="23">
        <v>7</v>
      </c>
      <c r="VE79" s="23">
        <v>7</v>
      </c>
      <c r="VF79" s="23">
        <v>7</v>
      </c>
      <c r="VG79" s="23">
        <v>7</v>
      </c>
      <c r="VH79" s="23">
        <v>7</v>
      </c>
      <c r="VI79" s="23">
        <v>7</v>
      </c>
      <c r="VJ79" s="23">
        <v>7</v>
      </c>
      <c r="VK79" s="23">
        <v>7</v>
      </c>
      <c r="VL79" s="23">
        <v>7</v>
      </c>
      <c r="VM79" s="23">
        <v>7</v>
      </c>
      <c r="VN79" s="23">
        <v>7</v>
      </c>
      <c r="VO79" s="23">
        <v>7</v>
      </c>
      <c r="VP79" s="23">
        <v>7</v>
      </c>
      <c r="VQ79" s="23">
        <v>7</v>
      </c>
      <c r="VR79" s="23">
        <v>7</v>
      </c>
      <c r="VS79" s="23">
        <v>7</v>
      </c>
      <c r="VT79" s="23">
        <v>7</v>
      </c>
      <c r="VU79" s="23">
        <v>7</v>
      </c>
      <c r="VV79" s="23">
        <v>7</v>
      </c>
      <c r="VW79" s="23">
        <v>7</v>
      </c>
      <c r="VX79" s="23">
        <v>7</v>
      </c>
      <c r="VY79" s="23">
        <v>7</v>
      </c>
      <c r="VZ79" s="23">
        <v>7</v>
      </c>
      <c r="WA79" s="23">
        <v>7</v>
      </c>
      <c r="WB79" s="23">
        <v>7</v>
      </c>
      <c r="WC79" s="23">
        <v>7</v>
      </c>
      <c r="WD79" s="23">
        <v>7</v>
      </c>
      <c r="WE79" s="23">
        <v>7</v>
      </c>
      <c r="WF79" s="23">
        <v>7</v>
      </c>
      <c r="WG79" s="23">
        <v>7</v>
      </c>
      <c r="WH79" s="23">
        <v>7</v>
      </c>
      <c r="WI79" s="23">
        <v>7</v>
      </c>
      <c r="WJ79" s="23">
        <v>7</v>
      </c>
      <c r="WK79" s="23">
        <v>7</v>
      </c>
      <c r="WL79" s="23">
        <v>7</v>
      </c>
      <c r="WM79" s="23">
        <v>7</v>
      </c>
      <c r="WN79" s="23">
        <v>7</v>
      </c>
      <c r="WO79" s="23">
        <v>7</v>
      </c>
      <c r="WP79" s="23">
        <v>7</v>
      </c>
      <c r="WQ79" s="23">
        <v>7</v>
      </c>
      <c r="WR79" s="23">
        <v>7</v>
      </c>
      <c r="WS79" s="23">
        <v>7</v>
      </c>
      <c r="WT79" s="23">
        <v>7</v>
      </c>
      <c r="WU79" s="23">
        <v>7</v>
      </c>
      <c r="WV79" s="23">
        <v>7</v>
      </c>
      <c r="WW79" s="23">
        <v>7</v>
      </c>
      <c r="WX79" s="23">
        <v>7</v>
      </c>
      <c r="WY79" s="23">
        <v>7</v>
      </c>
      <c r="WZ79" s="23">
        <v>7</v>
      </c>
      <c r="XA79" s="23">
        <v>7</v>
      </c>
      <c r="XB79" s="23">
        <v>7</v>
      </c>
      <c r="XC79" s="23">
        <v>7</v>
      </c>
      <c r="XD79" s="23">
        <v>7</v>
      </c>
      <c r="XE79" s="23">
        <v>7</v>
      </c>
      <c r="XF79" s="23">
        <v>7</v>
      </c>
      <c r="XG79" s="23">
        <v>7</v>
      </c>
      <c r="XH79" s="23">
        <v>7</v>
      </c>
      <c r="XI79" s="23">
        <v>7</v>
      </c>
      <c r="XJ79" s="23">
        <v>7</v>
      </c>
      <c r="XK79" s="23">
        <v>7</v>
      </c>
      <c r="XL79" s="23">
        <v>7</v>
      </c>
      <c r="XM79" s="23">
        <v>7</v>
      </c>
      <c r="XN79" s="23">
        <v>7</v>
      </c>
      <c r="XO79" s="23">
        <v>7</v>
      </c>
      <c r="XP79" s="23">
        <v>7</v>
      </c>
      <c r="XQ79" s="23">
        <v>7</v>
      </c>
      <c r="XR79" s="23">
        <v>7</v>
      </c>
      <c r="XS79" s="23">
        <v>7</v>
      </c>
      <c r="XT79" s="23">
        <v>7</v>
      </c>
      <c r="XU79" s="23">
        <v>7</v>
      </c>
      <c r="XV79" s="23">
        <v>7</v>
      </c>
      <c r="XW79" s="23">
        <v>7</v>
      </c>
      <c r="XX79" s="23">
        <v>7</v>
      </c>
      <c r="XY79" s="23">
        <v>7</v>
      </c>
      <c r="XZ79" s="23">
        <v>7</v>
      </c>
      <c r="YA79" s="23">
        <v>7</v>
      </c>
      <c r="YB79" s="23">
        <v>7</v>
      </c>
      <c r="YC79" s="23">
        <v>7</v>
      </c>
      <c r="YD79" s="23">
        <v>7</v>
      </c>
      <c r="YE79" s="23">
        <v>7</v>
      </c>
      <c r="YF79" s="23">
        <v>7</v>
      </c>
      <c r="YG79" s="23">
        <v>7</v>
      </c>
      <c r="YH79" s="23">
        <v>7</v>
      </c>
      <c r="YI79" s="23">
        <v>7</v>
      </c>
      <c r="YJ79" s="23">
        <v>7</v>
      </c>
      <c r="YK79" s="23">
        <v>7</v>
      </c>
      <c r="YL79" s="23">
        <v>7</v>
      </c>
      <c r="YM79" s="23">
        <v>7</v>
      </c>
      <c r="YN79" s="23">
        <v>7</v>
      </c>
      <c r="YO79" s="23">
        <v>7</v>
      </c>
      <c r="YP79" s="23">
        <v>7</v>
      </c>
      <c r="YQ79" s="23">
        <v>7</v>
      </c>
      <c r="YR79" s="23">
        <v>7</v>
      </c>
      <c r="YS79" s="23">
        <v>7</v>
      </c>
      <c r="YT79" s="23">
        <v>7</v>
      </c>
      <c r="YU79" s="23">
        <v>7</v>
      </c>
      <c r="YV79" s="23">
        <v>7</v>
      </c>
      <c r="YW79" s="23">
        <v>7</v>
      </c>
      <c r="YX79" s="23">
        <v>7</v>
      </c>
      <c r="YY79" s="23">
        <v>7</v>
      </c>
      <c r="YZ79" s="23">
        <v>7</v>
      </c>
      <c r="ZA79" s="23">
        <v>7</v>
      </c>
      <c r="ZB79" s="23">
        <v>7</v>
      </c>
      <c r="ZC79" s="23">
        <v>7</v>
      </c>
      <c r="ZD79" s="23">
        <v>7</v>
      </c>
      <c r="ZE79" s="23">
        <v>7</v>
      </c>
      <c r="ZF79" s="23">
        <v>7</v>
      </c>
      <c r="ZG79" s="23">
        <v>7</v>
      </c>
      <c r="ZH79" s="23">
        <v>7</v>
      </c>
      <c r="ZI79" s="23">
        <v>7</v>
      </c>
      <c r="ZJ79" s="23">
        <v>7</v>
      </c>
      <c r="ZK79" s="23">
        <v>7</v>
      </c>
      <c r="ZL79" s="23">
        <v>7</v>
      </c>
      <c r="ZM79" s="23">
        <v>7</v>
      </c>
      <c r="ZN79" s="23">
        <v>7</v>
      </c>
      <c r="ZO79" s="23">
        <v>7</v>
      </c>
      <c r="ZP79" s="23">
        <v>7</v>
      </c>
      <c r="ZQ79" s="23">
        <v>7</v>
      </c>
      <c r="ZR79" s="23">
        <v>7</v>
      </c>
      <c r="ZS79" s="23">
        <v>7</v>
      </c>
      <c r="ZT79" s="23">
        <v>7</v>
      </c>
      <c r="ZU79" s="23">
        <v>7</v>
      </c>
      <c r="ZV79" s="23">
        <v>7</v>
      </c>
      <c r="ZW79" s="23">
        <v>7</v>
      </c>
      <c r="ZX79" s="23">
        <v>7</v>
      </c>
      <c r="ZY79" s="23">
        <v>7</v>
      </c>
      <c r="ZZ79" s="23">
        <v>7</v>
      </c>
      <c r="AAA79" s="23">
        <v>7</v>
      </c>
      <c r="AAB79" s="23">
        <v>7</v>
      </c>
      <c r="AAC79" s="23">
        <v>7</v>
      </c>
      <c r="AAD79" s="23">
        <v>7</v>
      </c>
      <c r="AAE79" s="23">
        <v>7</v>
      </c>
      <c r="AAF79" s="23">
        <v>7</v>
      </c>
      <c r="AAG79" s="23">
        <v>7</v>
      </c>
      <c r="AAH79" s="23">
        <v>7</v>
      </c>
      <c r="AAI79" s="23">
        <v>7</v>
      </c>
      <c r="AAJ79" s="23">
        <v>7</v>
      </c>
      <c r="AAK79" s="23">
        <v>7</v>
      </c>
      <c r="AAL79" s="23">
        <v>7</v>
      </c>
      <c r="AAM79" s="23">
        <v>7</v>
      </c>
      <c r="AAN79" s="23">
        <v>7</v>
      </c>
      <c r="AAO79" s="23">
        <v>7</v>
      </c>
      <c r="AAP79" s="23">
        <v>7</v>
      </c>
      <c r="AAQ79" s="23">
        <v>7</v>
      </c>
      <c r="AAR79" s="23">
        <v>7</v>
      </c>
      <c r="AAS79" s="23">
        <v>7</v>
      </c>
      <c r="AAT79" s="23">
        <v>7</v>
      </c>
      <c r="AAU79" s="23">
        <v>7</v>
      </c>
      <c r="AAV79" s="23">
        <v>7</v>
      </c>
      <c r="AAW79" s="23">
        <v>7</v>
      </c>
      <c r="AAX79" s="23">
        <v>7</v>
      </c>
      <c r="AAY79" s="23">
        <v>7</v>
      </c>
      <c r="AAZ79" s="23">
        <v>7</v>
      </c>
      <c r="ABA79" s="23">
        <v>7</v>
      </c>
      <c r="ABB79" s="23">
        <v>7</v>
      </c>
      <c r="ABC79" s="23">
        <v>7</v>
      </c>
      <c r="ABD79" s="23">
        <v>7</v>
      </c>
      <c r="ABE79" s="23">
        <v>7</v>
      </c>
      <c r="ABF79" s="23">
        <v>7</v>
      </c>
      <c r="ABG79" s="23">
        <v>7</v>
      </c>
      <c r="ABH79" s="23">
        <v>7</v>
      </c>
      <c r="ABI79" s="23">
        <v>7</v>
      </c>
      <c r="ABJ79" s="23">
        <v>7</v>
      </c>
      <c r="ABK79" s="23">
        <v>7</v>
      </c>
      <c r="ABL79" s="23">
        <v>7</v>
      </c>
      <c r="ABM79" s="23">
        <v>7</v>
      </c>
      <c r="ABN79" s="23">
        <v>7</v>
      </c>
      <c r="ABO79" s="23">
        <v>7</v>
      </c>
      <c r="ABP79" s="23">
        <v>7</v>
      </c>
      <c r="ABQ79" s="23">
        <v>7</v>
      </c>
      <c r="ABR79" s="23">
        <v>7</v>
      </c>
    </row>
    <row r="80" spans="1:1822" customFormat="1" ht="34.5" customHeight="1" x14ac:dyDescent="0.3">
      <c r="A80" s="2"/>
      <c r="B80" s="2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119" t="s">
        <v>65</v>
      </c>
      <c r="P80" s="120"/>
      <c r="Q80" s="166">
        <v>0.9</v>
      </c>
      <c r="R80" s="166">
        <v>0.9</v>
      </c>
      <c r="S80" s="166">
        <v>0.9</v>
      </c>
      <c r="T80" s="166">
        <v>0.9</v>
      </c>
      <c r="U80" s="166">
        <v>0.9</v>
      </c>
      <c r="V80" s="166">
        <v>0.9</v>
      </c>
      <c r="W80" s="166">
        <v>0.9</v>
      </c>
      <c r="X80" s="166">
        <v>0.9</v>
      </c>
      <c r="Y80" s="166">
        <v>0.9</v>
      </c>
      <c r="Z80" s="166">
        <v>0.9</v>
      </c>
      <c r="AA80" s="166">
        <v>0.9</v>
      </c>
      <c r="AB80" s="166">
        <v>0.9</v>
      </c>
      <c r="AC80" s="166">
        <v>0.9</v>
      </c>
      <c r="AD80" s="166">
        <v>0.9</v>
      </c>
      <c r="AE80" s="166">
        <v>0.9</v>
      </c>
      <c r="AF80" s="166">
        <v>0.9</v>
      </c>
      <c r="AG80" s="166">
        <v>0.9</v>
      </c>
      <c r="AH80" s="166">
        <v>0.9</v>
      </c>
      <c r="AI80" s="166">
        <v>0.9</v>
      </c>
      <c r="AJ80" s="166">
        <v>0.9</v>
      </c>
      <c r="AK80" s="166">
        <v>0.9</v>
      </c>
      <c r="AL80" s="166">
        <v>0.9</v>
      </c>
      <c r="AM80" s="166">
        <v>0.9</v>
      </c>
      <c r="AN80" s="166">
        <v>0.9</v>
      </c>
      <c r="AO80" s="166">
        <v>0.9</v>
      </c>
      <c r="AP80" s="166">
        <v>0.9</v>
      </c>
      <c r="AQ80" s="166">
        <v>0.9</v>
      </c>
      <c r="AR80" s="166">
        <v>0.9</v>
      </c>
      <c r="AS80" s="166">
        <v>0.9</v>
      </c>
      <c r="AT80" s="166">
        <v>0.9</v>
      </c>
      <c r="AU80" s="166">
        <v>0.9</v>
      </c>
      <c r="AV80" s="166">
        <v>0.9</v>
      </c>
      <c r="AW80" s="166">
        <v>0.9</v>
      </c>
      <c r="AX80" s="166">
        <v>0.9</v>
      </c>
      <c r="AY80" s="166">
        <v>0.9</v>
      </c>
      <c r="AZ80" s="166">
        <v>0.9</v>
      </c>
      <c r="BA80" s="166">
        <v>0.9</v>
      </c>
      <c r="BB80" s="166">
        <v>0.9</v>
      </c>
      <c r="BC80" s="166">
        <v>0.9</v>
      </c>
      <c r="BD80" s="166">
        <v>0.9</v>
      </c>
      <c r="BE80" s="166">
        <v>0.9</v>
      </c>
      <c r="BF80" s="166">
        <v>0.9</v>
      </c>
      <c r="BG80" s="166">
        <v>0.9</v>
      </c>
      <c r="BH80" s="166">
        <v>0.9</v>
      </c>
      <c r="BI80" s="166">
        <v>0.9</v>
      </c>
      <c r="BJ80" s="166">
        <v>0.9</v>
      </c>
      <c r="BK80" s="166">
        <v>0.9</v>
      </c>
      <c r="BL80" s="166">
        <v>0.9</v>
      </c>
      <c r="BM80" s="166">
        <v>0.9</v>
      </c>
      <c r="BN80" s="166">
        <v>0.9</v>
      </c>
      <c r="BO80" s="166">
        <v>0.9</v>
      </c>
      <c r="BP80" s="166">
        <v>0.9</v>
      </c>
      <c r="BQ80" s="166">
        <v>0.9</v>
      </c>
      <c r="BR80" s="166">
        <v>0.9</v>
      </c>
      <c r="BS80" s="166">
        <v>0.9</v>
      </c>
      <c r="BT80" s="166">
        <v>0.9</v>
      </c>
      <c r="BU80" s="166">
        <v>0.9</v>
      </c>
      <c r="BV80" s="166">
        <v>0.9</v>
      </c>
      <c r="BW80" s="166">
        <v>0.9</v>
      </c>
      <c r="BX80" s="166">
        <v>0.9</v>
      </c>
      <c r="BY80" s="166">
        <v>0.9</v>
      </c>
      <c r="BZ80" s="166">
        <v>0.9</v>
      </c>
      <c r="CA80" s="166">
        <v>0.9</v>
      </c>
      <c r="CB80" s="166">
        <v>0.9</v>
      </c>
      <c r="CC80" s="166">
        <v>0.9</v>
      </c>
      <c r="CD80" s="166">
        <v>0.9</v>
      </c>
      <c r="CE80" s="166">
        <v>0.9</v>
      </c>
      <c r="CF80" s="166">
        <v>0.9</v>
      </c>
      <c r="CG80" s="166">
        <v>0.9</v>
      </c>
      <c r="CH80" s="166">
        <v>0.9</v>
      </c>
      <c r="CI80" s="166">
        <v>0.9</v>
      </c>
      <c r="CJ80" s="166">
        <v>0.9</v>
      </c>
      <c r="CK80" s="166">
        <v>0.9</v>
      </c>
      <c r="CL80" s="166">
        <v>0.9</v>
      </c>
      <c r="CM80" s="166">
        <v>0.9</v>
      </c>
      <c r="CN80" s="166">
        <v>0.9</v>
      </c>
      <c r="CO80" s="166">
        <v>0.9</v>
      </c>
      <c r="CP80" s="166">
        <v>0.9</v>
      </c>
      <c r="CQ80" s="166">
        <v>0.9</v>
      </c>
      <c r="CR80" s="166">
        <v>0.9</v>
      </c>
      <c r="CS80" s="166">
        <v>0.9</v>
      </c>
      <c r="CT80" s="166">
        <v>0.9</v>
      </c>
      <c r="CU80" s="166">
        <v>0.9</v>
      </c>
      <c r="CV80" s="166">
        <v>0.9</v>
      </c>
      <c r="CW80" s="166">
        <v>0.9</v>
      </c>
      <c r="CX80" s="166">
        <v>0.9</v>
      </c>
      <c r="CY80" s="166">
        <v>0.9</v>
      </c>
      <c r="CZ80" s="166">
        <v>0.9</v>
      </c>
      <c r="DA80" s="166">
        <v>0.9</v>
      </c>
      <c r="DB80" s="166">
        <v>0.9</v>
      </c>
      <c r="DC80" s="166">
        <v>0.9</v>
      </c>
      <c r="DD80" s="166">
        <v>0.9</v>
      </c>
      <c r="DE80" s="166">
        <v>0.9</v>
      </c>
      <c r="DF80" s="166">
        <v>0.9</v>
      </c>
      <c r="DG80" s="166">
        <v>0.9</v>
      </c>
      <c r="DH80" s="166">
        <v>0.9</v>
      </c>
      <c r="DI80" s="166">
        <v>0.9</v>
      </c>
      <c r="DJ80" s="166">
        <v>0.9</v>
      </c>
      <c r="DK80" s="166">
        <v>0.9</v>
      </c>
      <c r="DL80" s="166">
        <v>0.9</v>
      </c>
      <c r="DM80" s="166">
        <v>0.9</v>
      </c>
      <c r="DN80" s="166">
        <v>0.9</v>
      </c>
      <c r="DO80" s="166">
        <v>0.9</v>
      </c>
      <c r="DP80" s="166">
        <v>0.9</v>
      </c>
      <c r="DQ80" s="166">
        <v>0.9</v>
      </c>
      <c r="DR80" s="166">
        <v>0.9</v>
      </c>
      <c r="DS80" s="166">
        <v>0.9</v>
      </c>
      <c r="DT80" s="166">
        <v>0.9</v>
      </c>
      <c r="DU80" s="166">
        <v>0.9</v>
      </c>
      <c r="DV80" s="166">
        <v>0.9</v>
      </c>
      <c r="DW80" s="166">
        <v>0.9</v>
      </c>
      <c r="DX80" s="166">
        <v>0.9</v>
      </c>
      <c r="DY80" s="166">
        <v>0.9</v>
      </c>
      <c r="DZ80" s="166">
        <v>0.9</v>
      </c>
      <c r="EA80" s="166">
        <v>0.9</v>
      </c>
      <c r="EB80" s="166">
        <v>0.9</v>
      </c>
      <c r="EC80" s="166">
        <v>0.9</v>
      </c>
      <c r="ED80" s="166">
        <v>0.9</v>
      </c>
      <c r="EE80" s="166">
        <v>0.9</v>
      </c>
      <c r="EF80" s="166">
        <v>0.9</v>
      </c>
      <c r="EG80" s="166">
        <v>0.9</v>
      </c>
      <c r="EH80" s="166">
        <v>0.9</v>
      </c>
      <c r="EI80" s="166">
        <v>0.9</v>
      </c>
      <c r="EJ80" s="166">
        <v>0.9</v>
      </c>
      <c r="EK80" s="166">
        <v>0.9</v>
      </c>
      <c r="EL80" s="166">
        <v>0.9</v>
      </c>
      <c r="EM80" s="166">
        <v>0.9</v>
      </c>
      <c r="EN80" s="166">
        <v>0.9</v>
      </c>
      <c r="EO80" s="166">
        <v>0.9</v>
      </c>
      <c r="EP80" s="166">
        <v>0.9</v>
      </c>
      <c r="EQ80" s="166">
        <v>0.9</v>
      </c>
      <c r="ER80" s="166">
        <v>0.9</v>
      </c>
      <c r="ES80" s="166">
        <v>0.9</v>
      </c>
      <c r="ET80" s="166">
        <v>0.9</v>
      </c>
      <c r="EU80" s="166">
        <v>0.9</v>
      </c>
      <c r="EV80" s="166">
        <v>0.9</v>
      </c>
      <c r="EW80" s="166">
        <v>0.9</v>
      </c>
      <c r="EX80" s="166">
        <v>0.9</v>
      </c>
      <c r="EY80" s="166">
        <v>0.9</v>
      </c>
      <c r="EZ80" s="166">
        <v>0.9</v>
      </c>
      <c r="FA80" s="166">
        <v>0.9</v>
      </c>
      <c r="FB80" s="166">
        <v>0.9</v>
      </c>
      <c r="FC80" s="166">
        <v>0.9</v>
      </c>
      <c r="FD80" s="166">
        <v>0.9</v>
      </c>
      <c r="FE80" s="166">
        <v>0.9</v>
      </c>
      <c r="FF80" s="166">
        <v>0.9</v>
      </c>
      <c r="FG80" s="166">
        <v>0.9</v>
      </c>
      <c r="FH80" s="166">
        <v>0.9</v>
      </c>
      <c r="FI80" s="166">
        <v>0.9</v>
      </c>
      <c r="FJ80" s="166">
        <v>0.9</v>
      </c>
      <c r="FK80" s="166">
        <v>0.9</v>
      </c>
      <c r="FL80" s="166">
        <v>0.9</v>
      </c>
      <c r="FM80" s="166">
        <v>0.9</v>
      </c>
      <c r="FN80" s="166">
        <v>0.9</v>
      </c>
      <c r="FO80" s="166">
        <v>0.9</v>
      </c>
      <c r="FP80" s="166">
        <v>0.9</v>
      </c>
      <c r="FQ80" s="166">
        <v>0.9</v>
      </c>
      <c r="FR80" s="166">
        <v>0.9</v>
      </c>
      <c r="FS80" s="166">
        <v>0.9</v>
      </c>
      <c r="FT80" s="166">
        <v>0.9</v>
      </c>
      <c r="FU80" s="166">
        <v>0.9</v>
      </c>
      <c r="FV80" s="166">
        <v>0.9</v>
      </c>
      <c r="FW80" s="166">
        <v>0.9</v>
      </c>
      <c r="FX80" s="166">
        <v>0.9</v>
      </c>
      <c r="FY80" s="166">
        <v>0.9</v>
      </c>
      <c r="FZ80" s="166">
        <v>0.9</v>
      </c>
      <c r="GA80" s="166">
        <v>0.9</v>
      </c>
      <c r="GB80" s="166">
        <v>0.9</v>
      </c>
      <c r="GC80" s="166">
        <v>0.9</v>
      </c>
      <c r="GD80" s="166">
        <v>0.9</v>
      </c>
      <c r="GE80" s="166">
        <v>0.9</v>
      </c>
      <c r="GF80" s="166">
        <v>0.9</v>
      </c>
      <c r="GG80" s="166">
        <v>0.9</v>
      </c>
      <c r="GH80" s="166">
        <v>0.9</v>
      </c>
      <c r="GI80" s="166">
        <v>0.9</v>
      </c>
      <c r="GJ80" s="166">
        <v>0.9</v>
      </c>
      <c r="GK80" s="166">
        <v>0.9</v>
      </c>
      <c r="GL80" s="166">
        <v>0.9</v>
      </c>
      <c r="GM80" s="166">
        <v>0.9</v>
      </c>
      <c r="GN80" s="166">
        <v>0.9</v>
      </c>
      <c r="GO80" s="166">
        <v>0.9</v>
      </c>
      <c r="GP80" s="166">
        <v>0.9</v>
      </c>
      <c r="GQ80" s="166">
        <v>0.9</v>
      </c>
      <c r="GR80" s="166">
        <v>0.9</v>
      </c>
      <c r="GS80" s="166">
        <v>0.9</v>
      </c>
      <c r="GT80" s="166">
        <v>0.9</v>
      </c>
      <c r="GU80" s="166">
        <v>0.9</v>
      </c>
      <c r="GV80" s="166">
        <v>0.9</v>
      </c>
      <c r="GW80" s="166">
        <v>0.9</v>
      </c>
      <c r="GX80" s="166">
        <v>0.9</v>
      </c>
      <c r="GY80" s="166">
        <v>0.9</v>
      </c>
      <c r="GZ80" s="166">
        <v>0.9</v>
      </c>
      <c r="HA80" s="166">
        <v>0.9</v>
      </c>
      <c r="HB80" s="166">
        <v>0.9</v>
      </c>
      <c r="HC80" s="166">
        <v>0.9</v>
      </c>
      <c r="HD80" s="166">
        <v>0.9</v>
      </c>
      <c r="HE80" s="166">
        <v>0.9</v>
      </c>
      <c r="HF80" s="166">
        <v>0.9</v>
      </c>
      <c r="HG80" s="166">
        <v>0.9</v>
      </c>
      <c r="HH80" s="166">
        <v>0.9</v>
      </c>
      <c r="HI80" s="166">
        <v>0.9</v>
      </c>
      <c r="HJ80" s="166">
        <v>0.9</v>
      </c>
      <c r="HK80" s="166">
        <v>0.9</v>
      </c>
      <c r="HL80" s="166">
        <v>0.9</v>
      </c>
      <c r="HM80" s="166">
        <v>0.9</v>
      </c>
      <c r="HN80" s="166">
        <v>0.9</v>
      </c>
      <c r="HO80" s="166">
        <v>0.9</v>
      </c>
      <c r="HP80" s="166">
        <v>0.9</v>
      </c>
      <c r="HQ80" s="166">
        <v>0.9</v>
      </c>
      <c r="HR80" s="166">
        <v>0.9</v>
      </c>
      <c r="HS80" s="166">
        <v>0.9</v>
      </c>
      <c r="HT80" s="166">
        <v>0.9</v>
      </c>
      <c r="HU80" s="166">
        <v>0.9</v>
      </c>
      <c r="HV80" s="166">
        <v>0.9</v>
      </c>
      <c r="HW80" s="166">
        <v>0.9</v>
      </c>
      <c r="HX80" s="166">
        <v>0.9</v>
      </c>
      <c r="HY80" s="166">
        <v>0.9</v>
      </c>
      <c r="HZ80" s="166">
        <v>0.9</v>
      </c>
      <c r="IA80" s="166">
        <v>0.9</v>
      </c>
      <c r="IB80" s="166">
        <v>0.9</v>
      </c>
      <c r="IC80" s="166">
        <v>0.9</v>
      </c>
      <c r="ID80" s="166">
        <v>0.9</v>
      </c>
      <c r="IE80" s="166">
        <v>0.9</v>
      </c>
      <c r="IF80" s="166">
        <v>0.9</v>
      </c>
      <c r="IG80" s="166">
        <v>0.9</v>
      </c>
      <c r="IH80" s="166">
        <v>0.9</v>
      </c>
      <c r="II80" s="166">
        <v>0.9</v>
      </c>
      <c r="IJ80" s="166">
        <v>0.9</v>
      </c>
      <c r="IK80" s="166">
        <v>0.9</v>
      </c>
      <c r="IL80" s="166">
        <v>0.9</v>
      </c>
      <c r="IM80" s="166">
        <v>0.9</v>
      </c>
      <c r="IN80" s="166">
        <v>0.9</v>
      </c>
      <c r="IO80" s="166">
        <v>0.9</v>
      </c>
      <c r="IP80" s="166">
        <v>0.9</v>
      </c>
      <c r="IQ80" s="166">
        <v>0.9</v>
      </c>
      <c r="IR80" s="166">
        <v>0.9</v>
      </c>
      <c r="IS80" s="166">
        <v>0.9</v>
      </c>
      <c r="IT80" s="166">
        <v>0.9</v>
      </c>
      <c r="IU80" s="166">
        <v>0.9</v>
      </c>
      <c r="IV80" s="166">
        <v>0.9</v>
      </c>
      <c r="IW80" s="166">
        <v>0.9</v>
      </c>
      <c r="IX80" s="166">
        <v>0.9</v>
      </c>
      <c r="IY80" s="166">
        <v>0.9</v>
      </c>
      <c r="IZ80" s="166">
        <v>0.9</v>
      </c>
      <c r="JA80" s="166">
        <v>0.9</v>
      </c>
      <c r="JB80" s="166">
        <v>0.9</v>
      </c>
      <c r="JC80" s="166">
        <v>0.9</v>
      </c>
      <c r="JD80" s="166">
        <v>0.9</v>
      </c>
      <c r="JE80" s="166">
        <v>0.9</v>
      </c>
      <c r="JF80" s="166">
        <v>0.9</v>
      </c>
      <c r="JG80" s="166">
        <v>0.9</v>
      </c>
      <c r="JH80" s="166">
        <v>0.9</v>
      </c>
      <c r="JI80" s="166">
        <v>0.9</v>
      </c>
      <c r="JJ80" s="166">
        <v>0.9</v>
      </c>
      <c r="JK80" s="166">
        <v>0.9</v>
      </c>
      <c r="JL80" s="166">
        <v>0.9</v>
      </c>
      <c r="JM80" s="166">
        <v>0.9</v>
      </c>
      <c r="JN80" s="166">
        <v>0.9</v>
      </c>
      <c r="JO80" s="166">
        <v>0.9</v>
      </c>
      <c r="JP80" s="166">
        <v>0.9</v>
      </c>
      <c r="JQ80" s="166">
        <v>0.9</v>
      </c>
      <c r="JR80" s="166">
        <v>0.9</v>
      </c>
      <c r="JS80" s="166">
        <v>0.9</v>
      </c>
      <c r="JT80" s="166">
        <v>0.9</v>
      </c>
      <c r="JU80" s="166">
        <v>0.9</v>
      </c>
      <c r="JV80" s="166">
        <v>0.9</v>
      </c>
      <c r="JW80" s="166">
        <v>0.9</v>
      </c>
      <c r="JX80" s="166">
        <v>0.9</v>
      </c>
      <c r="JY80" s="166">
        <v>0.9</v>
      </c>
      <c r="JZ80" s="166">
        <v>0.9</v>
      </c>
      <c r="KA80" s="166">
        <v>0.9</v>
      </c>
      <c r="KB80" s="166">
        <v>0.9</v>
      </c>
      <c r="KC80" s="166">
        <v>0.9</v>
      </c>
      <c r="KD80" s="166">
        <v>0.9</v>
      </c>
      <c r="KE80" s="166">
        <v>0.9</v>
      </c>
      <c r="KF80" s="166">
        <v>0.9</v>
      </c>
      <c r="KG80" s="166">
        <v>0.9</v>
      </c>
      <c r="KH80" s="166">
        <v>0.9</v>
      </c>
      <c r="KI80" s="166">
        <v>0.9</v>
      </c>
      <c r="KJ80" s="166">
        <v>0.9</v>
      </c>
      <c r="KK80" s="166">
        <v>0.9</v>
      </c>
      <c r="KL80" s="166">
        <v>0.9</v>
      </c>
      <c r="KM80" s="166">
        <v>0.9</v>
      </c>
      <c r="KN80" s="166">
        <v>0.9</v>
      </c>
      <c r="KO80" s="166">
        <v>0.9</v>
      </c>
      <c r="KP80" s="166">
        <v>0.9</v>
      </c>
      <c r="KQ80" s="166">
        <v>0.9</v>
      </c>
      <c r="KR80" s="166">
        <v>0.9</v>
      </c>
      <c r="KS80" s="166">
        <v>0.9</v>
      </c>
      <c r="KT80" s="166">
        <v>0.9</v>
      </c>
      <c r="KU80" s="166">
        <v>0.9</v>
      </c>
      <c r="KV80" s="166">
        <v>0.9</v>
      </c>
      <c r="KW80" s="166">
        <v>0.9</v>
      </c>
      <c r="KX80" s="166">
        <v>0.9</v>
      </c>
      <c r="KY80" s="166">
        <v>0.9</v>
      </c>
      <c r="KZ80" s="166">
        <v>0.9</v>
      </c>
      <c r="LA80" s="166">
        <v>0.9</v>
      </c>
      <c r="LB80" s="166">
        <v>0.9</v>
      </c>
      <c r="LC80" s="166">
        <v>0.9</v>
      </c>
      <c r="LD80" s="166">
        <v>0.9</v>
      </c>
      <c r="LE80" s="166">
        <v>0.9</v>
      </c>
      <c r="LF80" s="166">
        <v>0.9</v>
      </c>
      <c r="LG80" s="166">
        <v>0.9</v>
      </c>
      <c r="LH80" s="166">
        <v>0.9</v>
      </c>
      <c r="LI80" s="166">
        <v>0.9</v>
      </c>
      <c r="LJ80" s="166">
        <v>0.9</v>
      </c>
      <c r="LK80" s="166">
        <v>0.9</v>
      </c>
      <c r="LL80" s="166">
        <v>0.9</v>
      </c>
      <c r="LM80" s="166">
        <v>0.9</v>
      </c>
      <c r="LN80" s="166">
        <v>0.9</v>
      </c>
      <c r="LO80" s="166">
        <v>0.9</v>
      </c>
      <c r="LP80" s="166">
        <v>0.9</v>
      </c>
      <c r="LQ80" s="166">
        <v>0.9</v>
      </c>
      <c r="LR80" s="166">
        <v>0.9</v>
      </c>
      <c r="LS80" s="166">
        <v>0.9</v>
      </c>
      <c r="LT80" s="166">
        <v>0.9</v>
      </c>
      <c r="LU80" s="166">
        <v>0.9</v>
      </c>
      <c r="LV80" s="166">
        <v>0.9</v>
      </c>
      <c r="LW80" s="166">
        <v>0.9</v>
      </c>
      <c r="LX80" s="166">
        <v>0.9</v>
      </c>
      <c r="LY80" s="166">
        <v>0.9</v>
      </c>
      <c r="LZ80" s="166">
        <v>0.9</v>
      </c>
      <c r="MA80" s="166">
        <v>0.9</v>
      </c>
      <c r="MB80" s="166">
        <v>0.9</v>
      </c>
      <c r="MC80" s="166">
        <v>0.9</v>
      </c>
      <c r="MD80" s="166">
        <v>0.9</v>
      </c>
      <c r="ME80" s="166">
        <v>0.9</v>
      </c>
      <c r="MF80" s="166">
        <v>0.9</v>
      </c>
      <c r="MG80" s="166">
        <v>0.9</v>
      </c>
      <c r="MH80" s="166">
        <v>0.9</v>
      </c>
      <c r="MI80" s="166">
        <v>0.9</v>
      </c>
      <c r="MJ80" s="166">
        <v>0.9</v>
      </c>
      <c r="MK80" s="166">
        <v>0.9</v>
      </c>
      <c r="ML80" s="166">
        <v>0.9</v>
      </c>
      <c r="MM80" s="166">
        <v>0.9</v>
      </c>
      <c r="MN80" s="166">
        <v>0.9</v>
      </c>
      <c r="MO80" s="166">
        <v>0.9</v>
      </c>
      <c r="MP80" s="166">
        <v>0.9</v>
      </c>
      <c r="MQ80" s="166">
        <v>0.9</v>
      </c>
      <c r="MR80" s="166">
        <v>0.9</v>
      </c>
      <c r="MS80" s="166">
        <v>0.9</v>
      </c>
      <c r="MT80" s="166">
        <v>0.9</v>
      </c>
      <c r="MU80" s="166">
        <v>0.9</v>
      </c>
      <c r="MV80" s="166">
        <v>0.9</v>
      </c>
      <c r="MW80" s="166">
        <v>0.9</v>
      </c>
      <c r="MX80" s="166">
        <v>0.9</v>
      </c>
      <c r="MY80" s="166">
        <v>0.9</v>
      </c>
      <c r="MZ80" s="166">
        <v>0.9</v>
      </c>
      <c r="NA80" s="166">
        <v>0.9</v>
      </c>
      <c r="NB80" s="166">
        <v>0.9</v>
      </c>
      <c r="NC80" s="166">
        <v>0.9</v>
      </c>
      <c r="ND80" s="166">
        <v>0.9</v>
      </c>
      <c r="NE80" s="166">
        <v>0.9</v>
      </c>
      <c r="NF80" s="166">
        <v>0.9</v>
      </c>
      <c r="NG80" s="166">
        <v>0.9</v>
      </c>
      <c r="NH80" s="166">
        <v>0.9</v>
      </c>
      <c r="NI80" s="166">
        <v>0.9</v>
      </c>
      <c r="NJ80" s="166">
        <v>0.9</v>
      </c>
      <c r="NK80" s="166">
        <v>0.9</v>
      </c>
      <c r="NL80" s="166">
        <v>0.9</v>
      </c>
      <c r="NM80" s="166">
        <v>0.9</v>
      </c>
      <c r="NN80" s="166">
        <v>0.9</v>
      </c>
      <c r="NO80" s="166">
        <v>0.9</v>
      </c>
      <c r="NP80" s="166">
        <v>0.9</v>
      </c>
      <c r="NQ80" s="166">
        <v>0.9</v>
      </c>
      <c r="NR80" s="166">
        <v>0.9</v>
      </c>
      <c r="NS80" s="166">
        <v>0.9</v>
      </c>
      <c r="NT80" s="166">
        <v>0.9</v>
      </c>
      <c r="NU80" s="166">
        <v>0.9</v>
      </c>
      <c r="NV80" s="166">
        <v>0.9</v>
      </c>
      <c r="NW80" s="166">
        <v>0.9</v>
      </c>
      <c r="NX80" s="166">
        <v>0.9</v>
      </c>
      <c r="NY80" s="166">
        <v>0.9</v>
      </c>
      <c r="NZ80" s="166">
        <v>0.9</v>
      </c>
      <c r="OA80" s="166">
        <v>0.9</v>
      </c>
      <c r="OB80" s="166">
        <v>0.9</v>
      </c>
      <c r="OC80" s="166">
        <v>0.9</v>
      </c>
      <c r="OD80" s="166">
        <v>0.9</v>
      </c>
      <c r="OE80" s="166">
        <v>0.9</v>
      </c>
      <c r="OF80" s="166">
        <v>0.9</v>
      </c>
      <c r="OG80" s="166">
        <v>0.9</v>
      </c>
      <c r="OH80" s="166">
        <v>0.9</v>
      </c>
      <c r="OI80" s="166">
        <v>0.9</v>
      </c>
      <c r="OJ80" s="166">
        <v>0.9</v>
      </c>
      <c r="OK80" s="166">
        <v>0.9</v>
      </c>
      <c r="OL80" s="166">
        <v>0.9</v>
      </c>
      <c r="OM80" s="166">
        <v>0.9</v>
      </c>
      <c r="ON80" s="166">
        <v>0.9</v>
      </c>
      <c r="OO80" s="166">
        <v>0.9</v>
      </c>
      <c r="OP80" s="166">
        <v>0.9</v>
      </c>
      <c r="OQ80" s="166">
        <v>0.9</v>
      </c>
      <c r="OR80" s="166">
        <v>0.9</v>
      </c>
      <c r="OS80" s="166">
        <v>0.9</v>
      </c>
      <c r="OT80" s="166">
        <v>0.9</v>
      </c>
      <c r="OU80" s="166">
        <v>0.9</v>
      </c>
      <c r="OV80" s="166">
        <v>0.9</v>
      </c>
      <c r="OW80" s="166">
        <v>0.9</v>
      </c>
      <c r="OX80" s="166">
        <v>0.9</v>
      </c>
      <c r="OY80" s="166">
        <v>0.9</v>
      </c>
      <c r="OZ80" s="166">
        <v>0.9</v>
      </c>
      <c r="PA80" s="166">
        <v>0.9</v>
      </c>
      <c r="PB80" s="166">
        <v>0.9</v>
      </c>
      <c r="PC80" s="166">
        <v>0.9</v>
      </c>
      <c r="PD80" s="166">
        <v>0.9</v>
      </c>
      <c r="PE80" s="166">
        <v>0.9</v>
      </c>
      <c r="PF80" s="166">
        <v>0.9</v>
      </c>
      <c r="PG80" s="166">
        <v>0.9</v>
      </c>
      <c r="PH80" s="166">
        <v>0.9</v>
      </c>
      <c r="PI80" s="166">
        <v>0.9</v>
      </c>
      <c r="PJ80" s="166">
        <v>0.9</v>
      </c>
      <c r="PK80" s="166">
        <v>0.9</v>
      </c>
      <c r="PL80" s="166">
        <v>0.9</v>
      </c>
      <c r="PM80" s="166">
        <v>0.9</v>
      </c>
      <c r="PN80" s="166">
        <v>0.9</v>
      </c>
      <c r="PO80" s="166">
        <v>0.9</v>
      </c>
      <c r="PP80" s="166">
        <v>0.9</v>
      </c>
      <c r="PQ80" s="166">
        <v>0.9</v>
      </c>
      <c r="PR80" s="166">
        <v>0.9</v>
      </c>
      <c r="PS80" s="166">
        <v>0.9</v>
      </c>
      <c r="PT80" s="166">
        <v>0.9</v>
      </c>
      <c r="PU80" s="166">
        <v>0.9</v>
      </c>
      <c r="PV80" s="166">
        <v>0.9</v>
      </c>
      <c r="PW80" s="166">
        <v>0.9</v>
      </c>
      <c r="PX80" s="166">
        <v>0.9</v>
      </c>
      <c r="PY80" s="166">
        <v>0.9</v>
      </c>
      <c r="PZ80" s="166">
        <v>0.9</v>
      </c>
      <c r="QA80" s="166">
        <v>0.9</v>
      </c>
      <c r="QB80" s="166">
        <v>0.9</v>
      </c>
      <c r="QC80" s="166">
        <v>0.9</v>
      </c>
      <c r="QD80" s="166">
        <v>0.9</v>
      </c>
      <c r="QE80" s="166">
        <v>0.9</v>
      </c>
      <c r="QF80" s="166">
        <v>0.9</v>
      </c>
      <c r="QG80" s="166">
        <v>0.9</v>
      </c>
      <c r="QH80" s="166">
        <v>0.9</v>
      </c>
      <c r="QI80" s="166">
        <v>0.9</v>
      </c>
      <c r="QJ80" s="166">
        <v>0.9</v>
      </c>
      <c r="QK80" s="166">
        <v>0.9</v>
      </c>
      <c r="QL80" s="166">
        <v>0.9</v>
      </c>
      <c r="QM80" s="166">
        <v>0.9</v>
      </c>
      <c r="QN80" s="166">
        <v>0.9</v>
      </c>
      <c r="QO80" s="166">
        <v>0.9</v>
      </c>
      <c r="QP80" s="166">
        <v>0.9</v>
      </c>
      <c r="QQ80" s="166">
        <v>0.9</v>
      </c>
      <c r="QR80" s="166">
        <v>0.9</v>
      </c>
      <c r="QS80" s="166">
        <v>0.9</v>
      </c>
      <c r="QT80" s="166">
        <v>0.9</v>
      </c>
      <c r="QU80" s="166">
        <v>0.9</v>
      </c>
      <c r="QV80" s="166">
        <v>0.9</v>
      </c>
      <c r="QW80" s="166">
        <v>0.9</v>
      </c>
      <c r="QX80" s="166">
        <v>0.9</v>
      </c>
      <c r="QY80" s="166">
        <v>0.9</v>
      </c>
      <c r="QZ80" s="166">
        <v>0.9</v>
      </c>
      <c r="RA80" s="166">
        <v>0.9</v>
      </c>
      <c r="RB80" s="166">
        <v>0.9</v>
      </c>
      <c r="RC80" s="166">
        <v>0.9</v>
      </c>
      <c r="RD80" s="166">
        <v>0.9</v>
      </c>
      <c r="RE80" s="166">
        <v>0.9</v>
      </c>
      <c r="RF80" s="166">
        <v>0.9</v>
      </c>
      <c r="RG80" s="166">
        <v>0.9</v>
      </c>
      <c r="RH80" s="166">
        <v>0.9</v>
      </c>
      <c r="RI80" s="166">
        <v>0.9</v>
      </c>
      <c r="RJ80" s="166">
        <v>0.9</v>
      </c>
      <c r="RK80" s="166">
        <v>0.9</v>
      </c>
      <c r="RL80" s="166">
        <v>0.9</v>
      </c>
      <c r="RM80" s="166">
        <v>0.9</v>
      </c>
      <c r="RN80" s="166">
        <v>0.9</v>
      </c>
      <c r="RO80" s="166">
        <v>0.9</v>
      </c>
      <c r="RP80" s="166">
        <v>0.9</v>
      </c>
      <c r="RQ80" s="166">
        <v>0.9</v>
      </c>
      <c r="RR80" s="166">
        <v>0.9</v>
      </c>
      <c r="RS80" s="166">
        <v>0.9</v>
      </c>
      <c r="RT80" s="166">
        <v>0.9</v>
      </c>
      <c r="RU80" s="166">
        <v>0.9</v>
      </c>
      <c r="RV80" s="166">
        <v>0.9</v>
      </c>
      <c r="RW80" s="166">
        <v>0.9</v>
      </c>
      <c r="RX80" s="166">
        <v>0.9</v>
      </c>
      <c r="RY80" s="166">
        <v>0.9</v>
      </c>
      <c r="RZ80" s="166">
        <v>0.9</v>
      </c>
      <c r="SA80" s="166">
        <v>0.9</v>
      </c>
      <c r="SB80" s="166">
        <v>0.9</v>
      </c>
      <c r="SC80" s="166">
        <v>0.9</v>
      </c>
      <c r="SD80" s="166">
        <v>0.9</v>
      </c>
      <c r="SE80" s="166">
        <v>0.9</v>
      </c>
      <c r="SF80" s="166">
        <v>0.9</v>
      </c>
      <c r="SG80" s="166">
        <v>0.9</v>
      </c>
      <c r="SH80" s="166">
        <v>0.9</v>
      </c>
      <c r="SI80" s="166">
        <v>0.9</v>
      </c>
      <c r="SJ80" s="166">
        <v>0.9</v>
      </c>
      <c r="SK80" s="166">
        <v>0.9</v>
      </c>
      <c r="SL80" s="166">
        <v>0.9</v>
      </c>
      <c r="SM80" s="166">
        <v>0.9</v>
      </c>
      <c r="SN80" s="166">
        <v>0.9</v>
      </c>
      <c r="SO80" s="166">
        <v>0.9</v>
      </c>
      <c r="SP80" s="166">
        <v>0.9</v>
      </c>
      <c r="SQ80" s="166">
        <v>0.9</v>
      </c>
      <c r="SR80" s="166">
        <v>0.9</v>
      </c>
      <c r="SS80" s="166">
        <v>0.9</v>
      </c>
      <c r="ST80" s="166">
        <v>0.9</v>
      </c>
      <c r="SU80" s="166">
        <v>0.9</v>
      </c>
      <c r="SV80" s="166">
        <v>0.9</v>
      </c>
      <c r="SW80" s="166">
        <v>0.9</v>
      </c>
      <c r="SX80" s="166">
        <v>0.9</v>
      </c>
      <c r="SY80" s="166">
        <v>0.9</v>
      </c>
      <c r="SZ80" s="166">
        <v>0.9</v>
      </c>
      <c r="TA80" s="166">
        <v>0.9</v>
      </c>
      <c r="TB80" s="166">
        <v>0.9</v>
      </c>
      <c r="TC80" s="166">
        <v>0.9</v>
      </c>
      <c r="TD80" s="166">
        <v>0.9</v>
      </c>
      <c r="TE80" s="166">
        <v>0.9</v>
      </c>
      <c r="TF80" s="166">
        <v>0.9</v>
      </c>
      <c r="TG80" s="166">
        <v>0.9</v>
      </c>
      <c r="TH80" s="166">
        <v>0.9</v>
      </c>
      <c r="TI80" s="166">
        <v>0.9</v>
      </c>
      <c r="TJ80" s="166">
        <v>0.9</v>
      </c>
      <c r="TK80" s="166">
        <v>0.9</v>
      </c>
      <c r="TL80" s="166">
        <v>0.9</v>
      </c>
      <c r="TM80" s="166">
        <v>0.9</v>
      </c>
      <c r="TN80" s="166">
        <v>0.9</v>
      </c>
      <c r="TO80" s="166">
        <v>0.9</v>
      </c>
      <c r="TP80" s="166">
        <v>0.9</v>
      </c>
      <c r="TQ80" s="166">
        <v>0.9</v>
      </c>
      <c r="TR80" s="166">
        <v>0.9</v>
      </c>
      <c r="TS80" s="166">
        <v>0.9</v>
      </c>
      <c r="TT80" s="166">
        <v>0.9</v>
      </c>
      <c r="TU80" s="166">
        <v>0.9</v>
      </c>
      <c r="TV80" s="166">
        <v>0.9</v>
      </c>
      <c r="TW80" s="166">
        <v>0.9</v>
      </c>
      <c r="TX80" s="166">
        <v>0.9</v>
      </c>
      <c r="TY80" s="166">
        <v>0.9</v>
      </c>
      <c r="TZ80" s="166">
        <v>0.9</v>
      </c>
      <c r="UA80" s="166">
        <v>0.9</v>
      </c>
      <c r="UB80" s="166">
        <v>0.9</v>
      </c>
      <c r="UC80" s="166">
        <v>0.9</v>
      </c>
      <c r="UD80" s="166">
        <v>0.9</v>
      </c>
      <c r="UE80" s="166">
        <v>0.9</v>
      </c>
      <c r="UF80" s="166">
        <v>0.9</v>
      </c>
      <c r="UG80" s="166">
        <v>0.9</v>
      </c>
      <c r="UH80" s="166">
        <v>0.9</v>
      </c>
      <c r="UI80" s="166">
        <v>0.9</v>
      </c>
      <c r="UJ80" s="166">
        <v>0.9</v>
      </c>
      <c r="UK80" s="166">
        <v>0.9</v>
      </c>
      <c r="UL80" s="166">
        <v>0.9</v>
      </c>
      <c r="UM80" s="166">
        <v>0.9</v>
      </c>
      <c r="UN80" s="166">
        <v>0.9</v>
      </c>
      <c r="UO80" s="166">
        <v>0.9</v>
      </c>
      <c r="UP80" s="166">
        <v>0.9</v>
      </c>
      <c r="UQ80" s="166">
        <v>0.9</v>
      </c>
      <c r="UR80" s="166">
        <v>0.9</v>
      </c>
      <c r="US80" s="166">
        <v>0.9</v>
      </c>
      <c r="UT80" s="166">
        <v>0.9</v>
      </c>
      <c r="UU80" s="166">
        <v>0.9</v>
      </c>
      <c r="UV80" s="166">
        <v>0.9</v>
      </c>
      <c r="UW80" s="166">
        <v>0.9</v>
      </c>
      <c r="UX80" s="166">
        <v>0.9</v>
      </c>
      <c r="UY80" s="166">
        <v>0.9</v>
      </c>
      <c r="UZ80" s="166">
        <v>0.9</v>
      </c>
      <c r="VA80" s="166">
        <v>0.9</v>
      </c>
      <c r="VB80" s="166">
        <v>0.9</v>
      </c>
      <c r="VC80" s="166">
        <v>0.9</v>
      </c>
      <c r="VD80" s="166">
        <v>0.9</v>
      </c>
      <c r="VE80" s="166">
        <v>0.9</v>
      </c>
      <c r="VF80" s="166">
        <v>0.9</v>
      </c>
      <c r="VG80" s="166">
        <v>0.9</v>
      </c>
      <c r="VH80" s="166">
        <v>0.9</v>
      </c>
      <c r="VI80" s="166">
        <v>0.9</v>
      </c>
      <c r="VJ80" s="166">
        <v>0.9</v>
      </c>
      <c r="VK80" s="166">
        <v>0.9</v>
      </c>
      <c r="VL80" s="166">
        <v>0.9</v>
      </c>
      <c r="VM80" s="166">
        <v>0.9</v>
      </c>
      <c r="VN80" s="166">
        <v>0.9</v>
      </c>
      <c r="VO80" s="166">
        <v>0.9</v>
      </c>
      <c r="VP80" s="166">
        <v>0.9</v>
      </c>
      <c r="VQ80" s="166">
        <v>0.9</v>
      </c>
      <c r="VR80" s="166">
        <v>0.9</v>
      </c>
      <c r="VS80" s="166">
        <v>0.9</v>
      </c>
      <c r="VT80" s="166">
        <v>0.9</v>
      </c>
      <c r="VU80" s="166">
        <v>0.9</v>
      </c>
      <c r="VV80" s="166">
        <v>0.9</v>
      </c>
      <c r="VW80" s="166">
        <v>0.9</v>
      </c>
      <c r="VX80" s="166">
        <v>0.9</v>
      </c>
      <c r="VY80" s="166">
        <v>0.9</v>
      </c>
      <c r="VZ80" s="166">
        <v>0.9</v>
      </c>
      <c r="WA80" s="166">
        <v>0.9</v>
      </c>
      <c r="WB80" s="166">
        <v>0.9</v>
      </c>
      <c r="WC80" s="166">
        <v>0.9</v>
      </c>
      <c r="WD80" s="166">
        <v>0.9</v>
      </c>
      <c r="WE80" s="166">
        <v>0.9</v>
      </c>
      <c r="WF80" s="166">
        <v>0.9</v>
      </c>
      <c r="WG80" s="166">
        <v>0.9</v>
      </c>
      <c r="WH80" s="166">
        <v>0.9</v>
      </c>
      <c r="WI80" s="166">
        <v>0.9</v>
      </c>
      <c r="WJ80" s="166">
        <v>0.9</v>
      </c>
      <c r="WK80" s="166">
        <v>0.9</v>
      </c>
      <c r="WL80" s="166">
        <v>0.9</v>
      </c>
      <c r="WM80" s="166">
        <v>0.9</v>
      </c>
      <c r="WN80" s="166">
        <v>0.9</v>
      </c>
      <c r="WO80" s="166">
        <v>0.9</v>
      </c>
      <c r="WP80" s="166">
        <v>0.9</v>
      </c>
      <c r="WQ80" s="166">
        <v>0.9</v>
      </c>
      <c r="WR80" s="166">
        <v>0.9</v>
      </c>
      <c r="WS80" s="166">
        <v>0.9</v>
      </c>
      <c r="WT80" s="166">
        <v>0.9</v>
      </c>
      <c r="WU80" s="166">
        <v>0.9</v>
      </c>
      <c r="WV80" s="166">
        <v>0.9</v>
      </c>
      <c r="WW80" s="166">
        <v>0.9</v>
      </c>
      <c r="WX80" s="166">
        <v>0.9</v>
      </c>
      <c r="WY80" s="166">
        <v>0.9</v>
      </c>
      <c r="WZ80" s="166">
        <v>0.9</v>
      </c>
      <c r="XA80" s="166">
        <v>0.9</v>
      </c>
      <c r="XB80" s="166">
        <v>0.9</v>
      </c>
      <c r="XC80" s="166">
        <v>0.9</v>
      </c>
      <c r="XD80" s="166">
        <v>0.9</v>
      </c>
      <c r="XE80" s="166">
        <v>0.9</v>
      </c>
      <c r="XF80" s="166">
        <v>0.9</v>
      </c>
      <c r="XG80" s="166">
        <v>0.9</v>
      </c>
      <c r="XH80" s="166">
        <v>0.9</v>
      </c>
      <c r="XI80" s="166">
        <v>0.9</v>
      </c>
      <c r="XJ80" s="166">
        <v>0.9</v>
      </c>
      <c r="XK80" s="166">
        <v>0.9</v>
      </c>
      <c r="XL80" s="166">
        <v>0.9</v>
      </c>
      <c r="XM80" s="166">
        <v>0.9</v>
      </c>
      <c r="XN80" s="166">
        <v>0.9</v>
      </c>
      <c r="XO80" s="166">
        <v>0.9</v>
      </c>
      <c r="XP80" s="166">
        <v>0.9</v>
      </c>
      <c r="XQ80" s="166">
        <v>0.9</v>
      </c>
      <c r="XR80" s="166">
        <v>0.9</v>
      </c>
      <c r="XS80" s="166">
        <v>0.9</v>
      </c>
      <c r="XT80" s="166">
        <v>0.9</v>
      </c>
      <c r="XU80" s="166">
        <v>0.9</v>
      </c>
      <c r="XV80" s="166">
        <v>0.9</v>
      </c>
      <c r="XW80" s="166">
        <v>0.9</v>
      </c>
      <c r="XX80" s="166">
        <v>0.9</v>
      </c>
      <c r="XY80" s="166">
        <v>0.9</v>
      </c>
      <c r="XZ80" s="166">
        <v>0.9</v>
      </c>
      <c r="YA80" s="166">
        <v>0.9</v>
      </c>
      <c r="YB80" s="166">
        <v>0.9</v>
      </c>
      <c r="YC80" s="166">
        <v>0.9</v>
      </c>
      <c r="YD80" s="166">
        <v>0.9</v>
      </c>
      <c r="YE80" s="166">
        <v>0.9</v>
      </c>
      <c r="YF80" s="166">
        <v>0.9</v>
      </c>
      <c r="YG80" s="166">
        <v>0.9</v>
      </c>
      <c r="YH80" s="166">
        <v>0.9</v>
      </c>
      <c r="YI80" s="166">
        <v>0.9</v>
      </c>
      <c r="YJ80" s="166">
        <v>0.9</v>
      </c>
      <c r="YK80" s="166">
        <v>0.9</v>
      </c>
      <c r="YL80" s="166">
        <v>0.9</v>
      </c>
      <c r="YM80" s="166">
        <v>0.9</v>
      </c>
      <c r="YN80" s="166">
        <v>0.9</v>
      </c>
      <c r="YO80" s="166">
        <v>0.9</v>
      </c>
      <c r="YP80" s="166">
        <v>0.9</v>
      </c>
      <c r="YQ80" s="166">
        <v>0.9</v>
      </c>
      <c r="YR80" s="166">
        <v>0.9</v>
      </c>
      <c r="YS80" s="166">
        <v>0.9</v>
      </c>
      <c r="YT80" s="166">
        <v>0.9</v>
      </c>
      <c r="YU80" s="166">
        <v>0.9</v>
      </c>
      <c r="YV80" s="166">
        <v>0.9</v>
      </c>
      <c r="YW80" s="166">
        <v>0.9</v>
      </c>
      <c r="YX80" s="166">
        <v>0.9</v>
      </c>
      <c r="YY80" s="166">
        <v>0.9</v>
      </c>
      <c r="YZ80" s="166">
        <v>0.9</v>
      </c>
      <c r="ZA80" s="166">
        <v>0.9</v>
      </c>
      <c r="ZB80" s="166">
        <v>0.9</v>
      </c>
      <c r="ZC80" s="166">
        <v>0.9</v>
      </c>
      <c r="ZD80" s="166">
        <v>0.9</v>
      </c>
      <c r="ZE80" s="166">
        <v>0.9</v>
      </c>
      <c r="ZF80" s="166">
        <v>0.9</v>
      </c>
      <c r="ZG80" s="166">
        <v>0.9</v>
      </c>
      <c r="ZH80" s="166">
        <v>0.9</v>
      </c>
      <c r="ZI80" s="166">
        <v>0.9</v>
      </c>
      <c r="ZJ80" s="166">
        <v>0.9</v>
      </c>
      <c r="ZK80" s="166">
        <v>0.9</v>
      </c>
      <c r="ZL80" s="166">
        <v>0.9</v>
      </c>
      <c r="ZM80" s="166">
        <v>0.9</v>
      </c>
      <c r="ZN80" s="166">
        <v>0.9</v>
      </c>
      <c r="ZO80" s="166">
        <v>0.9</v>
      </c>
      <c r="ZP80" s="166">
        <v>0.9</v>
      </c>
      <c r="ZQ80" s="166">
        <v>0.9</v>
      </c>
      <c r="ZR80" s="166">
        <v>0.9</v>
      </c>
      <c r="ZS80" s="166">
        <v>0.9</v>
      </c>
      <c r="ZT80" s="166">
        <v>0.9</v>
      </c>
      <c r="ZU80" s="166">
        <v>0.9</v>
      </c>
      <c r="ZV80" s="166">
        <v>0.9</v>
      </c>
      <c r="ZW80" s="166">
        <v>0.9</v>
      </c>
      <c r="ZX80" s="166">
        <v>0.9</v>
      </c>
      <c r="ZY80" s="166">
        <v>0.9</v>
      </c>
      <c r="ZZ80" s="166">
        <v>0.9</v>
      </c>
      <c r="AAA80" s="166">
        <v>0.9</v>
      </c>
      <c r="AAB80" s="166">
        <v>0.9</v>
      </c>
      <c r="AAC80" s="166">
        <v>0.9</v>
      </c>
      <c r="AAD80" s="166">
        <v>0.9</v>
      </c>
      <c r="AAE80" s="166">
        <v>0.9</v>
      </c>
      <c r="AAF80" s="166">
        <v>0.9</v>
      </c>
      <c r="AAG80" s="166">
        <v>0.9</v>
      </c>
      <c r="AAH80" s="166">
        <v>0.9</v>
      </c>
      <c r="AAI80" s="166">
        <v>0.9</v>
      </c>
      <c r="AAJ80" s="166">
        <v>0.9</v>
      </c>
      <c r="AAK80" s="166">
        <v>0.9</v>
      </c>
      <c r="AAL80" s="166">
        <v>0.9</v>
      </c>
      <c r="AAM80" s="166">
        <v>0.9</v>
      </c>
      <c r="AAN80" s="166">
        <v>0.9</v>
      </c>
      <c r="AAO80" s="166">
        <v>0.9</v>
      </c>
      <c r="AAP80" s="166">
        <v>0.9</v>
      </c>
      <c r="AAQ80" s="166">
        <v>0.9</v>
      </c>
      <c r="AAR80" s="166">
        <v>0.9</v>
      </c>
      <c r="AAS80" s="166">
        <v>0.9</v>
      </c>
      <c r="AAT80" s="166">
        <v>0.9</v>
      </c>
      <c r="AAU80" s="166">
        <v>0.9</v>
      </c>
      <c r="AAV80" s="166">
        <v>0.9</v>
      </c>
      <c r="AAW80" s="166">
        <v>0.9</v>
      </c>
      <c r="AAX80" s="166">
        <v>0.9</v>
      </c>
      <c r="AAY80" s="166">
        <v>0.9</v>
      </c>
      <c r="AAZ80" s="166">
        <v>0.9</v>
      </c>
      <c r="ABA80" s="166">
        <v>0.9</v>
      </c>
      <c r="ABB80" s="166">
        <v>0.9</v>
      </c>
      <c r="ABC80" s="166">
        <v>0.9</v>
      </c>
      <c r="ABD80" s="166">
        <v>0.9</v>
      </c>
      <c r="ABE80" s="166">
        <v>0.9</v>
      </c>
      <c r="ABF80" s="166">
        <v>0.9</v>
      </c>
      <c r="ABG80" s="166">
        <v>0.9</v>
      </c>
      <c r="ABH80" s="166">
        <v>0.9</v>
      </c>
      <c r="ABI80" s="166">
        <v>0.9</v>
      </c>
      <c r="ABJ80" s="166">
        <v>0.9</v>
      </c>
      <c r="ABK80" s="166">
        <v>0.9</v>
      </c>
      <c r="ABL80" s="166">
        <v>0.9</v>
      </c>
      <c r="ABM80" s="166">
        <v>0.9</v>
      </c>
      <c r="ABN80" s="166">
        <v>0.9</v>
      </c>
      <c r="ABO80" s="166">
        <v>0.9</v>
      </c>
      <c r="ABP80" s="166">
        <v>0.9</v>
      </c>
      <c r="ABQ80" s="166">
        <v>0.9</v>
      </c>
      <c r="ABR80" s="166">
        <v>0.9</v>
      </c>
    </row>
    <row r="81" spans="1:746" customFormat="1" ht="42.75" customHeight="1" x14ac:dyDescent="0.3">
      <c r="A81" s="2"/>
      <c r="B81" s="2"/>
      <c r="C81" s="38" t="s">
        <v>66</v>
      </c>
      <c r="D81" s="2">
        <v>5</v>
      </c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119" t="s">
        <v>67</v>
      </c>
      <c r="P81" s="120"/>
      <c r="Q81" s="167">
        <f t="shared" ref="Q81:CB81" si="79">Q79/Q78</f>
        <v>1.1666666666666667</v>
      </c>
      <c r="R81" s="167">
        <f t="shared" si="79"/>
        <v>1.1666666666666667</v>
      </c>
      <c r="S81" s="167">
        <f t="shared" si="79"/>
        <v>1.1666666666666667</v>
      </c>
      <c r="T81" s="167">
        <f t="shared" si="79"/>
        <v>1.1666666666666667</v>
      </c>
      <c r="U81" s="167">
        <f t="shared" si="79"/>
        <v>1.1666666666666667</v>
      </c>
      <c r="V81" s="167">
        <f t="shared" si="79"/>
        <v>1.1666666666666667</v>
      </c>
      <c r="W81" s="167">
        <f t="shared" si="79"/>
        <v>1.1666666666666667</v>
      </c>
      <c r="X81" s="167">
        <f t="shared" si="79"/>
        <v>1.1666666666666667</v>
      </c>
      <c r="Y81" s="167">
        <f t="shared" si="79"/>
        <v>1.1666666666666667</v>
      </c>
      <c r="Z81" s="167">
        <f t="shared" si="79"/>
        <v>1.1666666666666667</v>
      </c>
      <c r="AA81" s="167">
        <f t="shared" si="79"/>
        <v>1.1666666666666667</v>
      </c>
      <c r="AB81" s="167">
        <f t="shared" si="79"/>
        <v>1.1666666666666667</v>
      </c>
      <c r="AC81" s="167">
        <f t="shared" si="79"/>
        <v>1.1666666666666667</v>
      </c>
      <c r="AD81" s="167">
        <f t="shared" si="79"/>
        <v>1.1666666666666667</v>
      </c>
      <c r="AE81" s="167">
        <f t="shared" si="79"/>
        <v>1.1666666666666667</v>
      </c>
      <c r="AF81" s="167">
        <f t="shared" si="79"/>
        <v>1.1666666666666667</v>
      </c>
      <c r="AG81" s="167">
        <f t="shared" si="79"/>
        <v>1.1666666666666667</v>
      </c>
      <c r="AH81" s="167">
        <f t="shared" si="79"/>
        <v>1.1666666666666667</v>
      </c>
      <c r="AI81" s="167">
        <f t="shared" si="79"/>
        <v>1.1666666666666667</v>
      </c>
      <c r="AJ81" s="167">
        <f t="shared" si="79"/>
        <v>1.1666666666666667</v>
      </c>
      <c r="AK81" s="167">
        <f t="shared" si="79"/>
        <v>1.1666666666666667</v>
      </c>
      <c r="AL81" s="167">
        <f t="shared" si="79"/>
        <v>1.1666666666666667</v>
      </c>
      <c r="AM81" s="167">
        <f t="shared" si="79"/>
        <v>1.1666666666666667</v>
      </c>
      <c r="AN81" s="167">
        <f t="shared" si="79"/>
        <v>1.1666666666666667</v>
      </c>
      <c r="AO81" s="167">
        <f t="shared" si="79"/>
        <v>1.1666666666666667</v>
      </c>
      <c r="AP81" s="167">
        <f t="shared" si="79"/>
        <v>1.1666666666666667</v>
      </c>
      <c r="AQ81" s="167">
        <f t="shared" si="79"/>
        <v>1.1666666666666667</v>
      </c>
      <c r="AR81" s="167">
        <f t="shared" si="79"/>
        <v>1.1666666666666667</v>
      </c>
      <c r="AS81" s="167">
        <f t="shared" si="79"/>
        <v>1.1666666666666667</v>
      </c>
      <c r="AT81" s="167">
        <f t="shared" si="79"/>
        <v>1.1666666666666667</v>
      </c>
      <c r="AU81" s="167">
        <f t="shared" si="79"/>
        <v>1.1666666666666667</v>
      </c>
      <c r="AV81" s="167">
        <f t="shared" si="79"/>
        <v>1.1666666666666667</v>
      </c>
      <c r="AW81" s="167">
        <f t="shared" si="79"/>
        <v>1.1666666666666667</v>
      </c>
      <c r="AX81" s="167">
        <f t="shared" si="79"/>
        <v>1.1666666666666667</v>
      </c>
      <c r="AY81" s="167">
        <f t="shared" si="79"/>
        <v>1.1666666666666667</v>
      </c>
      <c r="AZ81" s="167">
        <f t="shared" si="79"/>
        <v>1.1666666666666667</v>
      </c>
      <c r="BA81" s="167">
        <f t="shared" si="79"/>
        <v>1.1666666666666667</v>
      </c>
      <c r="BB81" s="167">
        <f t="shared" si="79"/>
        <v>1.1666666666666667</v>
      </c>
      <c r="BC81" s="167">
        <f t="shared" si="79"/>
        <v>1.1666666666666667</v>
      </c>
      <c r="BD81" s="167">
        <f t="shared" si="79"/>
        <v>1.1666666666666667</v>
      </c>
      <c r="BE81" s="167">
        <f t="shared" si="79"/>
        <v>1.1666666666666667</v>
      </c>
      <c r="BF81" s="167">
        <f t="shared" si="79"/>
        <v>1.1666666666666667</v>
      </c>
      <c r="BG81" s="167">
        <f t="shared" si="79"/>
        <v>1.1666666666666667</v>
      </c>
      <c r="BH81" s="167">
        <f t="shared" si="79"/>
        <v>1.1666666666666667</v>
      </c>
      <c r="BI81" s="167">
        <f t="shared" si="79"/>
        <v>1.1666666666666667</v>
      </c>
      <c r="BJ81" s="167">
        <f t="shared" si="79"/>
        <v>1.1666666666666667</v>
      </c>
      <c r="BK81" s="167">
        <f t="shared" si="79"/>
        <v>1.1666666666666667</v>
      </c>
      <c r="BL81" s="167">
        <f t="shared" si="79"/>
        <v>1.1666666666666667</v>
      </c>
      <c r="BM81" s="167">
        <f t="shared" si="79"/>
        <v>1.1666666666666667</v>
      </c>
      <c r="BN81" s="167">
        <f t="shared" si="79"/>
        <v>1.1666666666666667</v>
      </c>
      <c r="BO81" s="167">
        <f t="shared" si="79"/>
        <v>1.1666666666666667</v>
      </c>
      <c r="BP81" s="167">
        <f t="shared" si="79"/>
        <v>1.1666666666666667</v>
      </c>
      <c r="BQ81" s="167">
        <f t="shared" si="79"/>
        <v>1.1666666666666667</v>
      </c>
      <c r="BR81" s="167">
        <f t="shared" si="79"/>
        <v>1.1666666666666667</v>
      </c>
      <c r="BS81" s="167">
        <f t="shared" si="79"/>
        <v>1.1666666666666667</v>
      </c>
      <c r="BT81" s="167">
        <f t="shared" si="79"/>
        <v>1.1666666666666667</v>
      </c>
      <c r="BU81" s="167">
        <f t="shared" si="79"/>
        <v>1.1666666666666667</v>
      </c>
      <c r="BV81" s="167">
        <f t="shared" si="79"/>
        <v>1.1666666666666667</v>
      </c>
      <c r="BW81" s="167">
        <f t="shared" si="79"/>
        <v>1.1666666666666667</v>
      </c>
      <c r="BX81" s="167">
        <f t="shared" si="79"/>
        <v>1.1666666666666667</v>
      </c>
      <c r="BY81" s="167">
        <f t="shared" si="79"/>
        <v>1.1666666666666667</v>
      </c>
      <c r="BZ81" s="167">
        <f t="shared" si="79"/>
        <v>1.1666666666666667</v>
      </c>
      <c r="CA81" s="167">
        <f t="shared" si="79"/>
        <v>1.1666666666666667</v>
      </c>
      <c r="CB81" s="167">
        <f t="shared" si="79"/>
        <v>1.1666666666666667</v>
      </c>
      <c r="CC81" s="167">
        <f t="shared" ref="CC81:EN81" si="80">CC79/CC78</f>
        <v>1.1666666666666667</v>
      </c>
      <c r="CD81" s="167">
        <f t="shared" si="80"/>
        <v>1.1666666666666667</v>
      </c>
      <c r="CE81" s="167">
        <f t="shared" si="80"/>
        <v>1.1666666666666667</v>
      </c>
      <c r="CF81" s="167">
        <f t="shared" si="80"/>
        <v>1.1666666666666667</v>
      </c>
      <c r="CG81" s="167">
        <f t="shared" si="80"/>
        <v>1.1666666666666667</v>
      </c>
      <c r="CH81" s="167">
        <f t="shared" si="80"/>
        <v>1.1666666666666667</v>
      </c>
      <c r="CI81" s="167">
        <f t="shared" si="80"/>
        <v>1.1666666666666667</v>
      </c>
      <c r="CJ81" s="167">
        <f t="shared" si="80"/>
        <v>1.1666666666666667</v>
      </c>
      <c r="CK81" s="167">
        <f t="shared" si="80"/>
        <v>1.1666666666666667</v>
      </c>
      <c r="CL81" s="167">
        <f t="shared" si="80"/>
        <v>1.1666666666666667</v>
      </c>
      <c r="CM81" s="167">
        <f t="shared" si="80"/>
        <v>1.1666666666666667</v>
      </c>
      <c r="CN81" s="167">
        <f t="shared" si="80"/>
        <v>1.1666666666666667</v>
      </c>
      <c r="CO81" s="167">
        <f t="shared" si="80"/>
        <v>1.1666666666666667</v>
      </c>
      <c r="CP81" s="167">
        <f t="shared" si="80"/>
        <v>1.1666666666666667</v>
      </c>
      <c r="CQ81" s="167">
        <f t="shared" si="80"/>
        <v>1.1666666666666667</v>
      </c>
      <c r="CR81" s="167">
        <f t="shared" si="80"/>
        <v>1.1666666666666667</v>
      </c>
      <c r="CS81" s="167">
        <f t="shared" si="80"/>
        <v>1.1666666666666667</v>
      </c>
      <c r="CT81" s="167">
        <f t="shared" si="80"/>
        <v>1.1666666666666667</v>
      </c>
      <c r="CU81" s="167">
        <f t="shared" si="80"/>
        <v>1.1666666666666667</v>
      </c>
      <c r="CV81" s="167">
        <f t="shared" si="80"/>
        <v>1.1666666666666667</v>
      </c>
      <c r="CW81" s="167">
        <f t="shared" si="80"/>
        <v>1.1666666666666667</v>
      </c>
      <c r="CX81" s="167">
        <f t="shared" si="80"/>
        <v>1.1666666666666667</v>
      </c>
      <c r="CY81" s="167">
        <f t="shared" si="80"/>
        <v>1.1666666666666667</v>
      </c>
      <c r="CZ81" s="167">
        <f t="shared" si="80"/>
        <v>1.1666666666666667</v>
      </c>
      <c r="DA81" s="167">
        <f t="shared" si="80"/>
        <v>1.1666666666666667</v>
      </c>
      <c r="DB81" s="167">
        <f t="shared" si="80"/>
        <v>1.1666666666666667</v>
      </c>
      <c r="DC81" s="167">
        <f t="shared" si="80"/>
        <v>1.1666666666666667</v>
      </c>
      <c r="DD81" s="167">
        <f t="shared" si="80"/>
        <v>1.1666666666666667</v>
      </c>
      <c r="DE81" s="167">
        <f t="shared" si="80"/>
        <v>1.1666666666666667</v>
      </c>
      <c r="DF81" s="167">
        <f t="shared" si="80"/>
        <v>1.1666666666666667</v>
      </c>
      <c r="DG81" s="167">
        <f t="shared" si="80"/>
        <v>1.1666666666666667</v>
      </c>
      <c r="DH81" s="167">
        <f t="shared" si="80"/>
        <v>1.1666666666666667</v>
      </c>
      <c r="DI81" s="167">
        <f t="shared" si="80"/>
        <v>1.1666666666666667</v>
      </c>
      <c r="DJ81" s="167">
        <f t="shared" si="80"/>
        <v>1.1666666666666667</v>
      </c>
      <c r="DK81" s="167">
        <f t="shared" si="80"/>
        <v>1.1666666666666667</v>
      </c>
      <c r="DL81" s="167">
        <f t="shared" si="80"/>
        <v>1.1666666666666667</v>
      </c>
      <c r="DM81" s="167">
        <f t="shared" si="80"/>
        <v>1.1666666666666667</v>
      </c>
      <c r="DN81" s="167">
        <f t="shared" si="80"/>
        <v>1.1666666666666667</v>
      </c>
      <c r="DO81" s="167">
        <f t="shared" si="80"/>
        <v>1.1666666666666667</v>
      </c>
      <c r="DP81" s="167">
        <f t="shared" si="80"/>
        <v>1.1666666666666667</v>
      </c>
      <c r="DQ81" s="167">
        <f t="shared" si="80"/>
        <v>1.1666666666666667</v>
      </c>
      <c r="DR81" s="167">
        <f t="shared" si="80"/>
        <v>1.1666666666666667</v>
      </c>
      <c r="DS81" s="167">
        <f t="shared" si="80"/>
        <v>1.1666666666666667</v>
      </c>
      <c r="DT81" s="167">
        <f t="shared" si="80"/>
        <v>1.1666666666666667</v>
      </c>
      <c r="DU81" s="167">
        <f t="shared" si="80"/>
        <v>1.1666666666666667</v>
      </c>
      <c r="DV81" s="167">
        <f t="shared" si="80"/>
        <v>1.1666666666666667</v>
      </c>
      <c r="DW81" s="167">
        <f t="shared" si="80"/>
        <v>1.1666666666666667</v>
      </c>
      <c r="DX81" s="167">
        <f t="shared" si="80"/>
        <v>1.1666666666666667</v>
      </c>
      <c r="DY81" s="167">
        <f t="shared" si="80"/>
        <v>1.1666666666666667</v>
      </c>
      <c r="DZ81" s="167">
        <f t="shared" si="80"/>
        <v>1.1666666666666667</v>
      </c>
      <c r="EA81" s="167">
        <f t="shared" si="80"/>
        <v>1.1666666666666667</v>
      </c>
      <c r="EB81" s="167">
        <f t="shared" si="80"/>
        <v>1.1666666666666667</v>
      </c>
      <c r="EC81" s="167">
        <f t="shared" si="80"/>
        <v>1.1666666666666667</v>
      </c>
      <c r="ED81" s="167">
        <f t="shared" si="80"/>
        <v>1.1666666666666667</v>
      </c>
      <c r="EE81" s="167">
        <f t="shared" si="80"/>
        <v>1.1666666666666667</v>
      </c>
      <c r="EF81" s="167">
        <f t="shared" si="80"/>
        <v>1.1666666666666667</v>
      </c>
      <c r="EG81" s="167">
        <f t="shared" si="80"/>
        <v>1.1666666666666667</v>
      </c>
      <c r="EH81" s="167">
        <f t="shared" si="80"/>
        <v>1.1666666666666667</v>
      </c>
      <c r="EI81" s="167">
        <f t="shared" si="80"/>
        <v>1.1666666666666667</v>
      </c>
      <c r="EJ81" s="167">
        <f t="shared" si="80"/>
        <v>1.1666666666666667</v>
      </c>
      <c r="EK81" s="167">
        <f t="shared" si="80"/>
        <v>1.1666666666666667</v>
      </c>
      <c r="EL81" s="167">
        <f t="shared" si="80"/>
        <v>1.1666666666666667</v>
      </c>
      <c r="EM81" s="167">
        <f t="shared" si="80"/>
        <v>1.1666666666666667</v>
      </c>
      <c r="EN81" s="167">
        <f t="shared" si="80"/>
        <v>1.1666666666666667</v>
      </c>
      <c r="EO81" s="167">
        <f t="shared" ref="EO81:GZ81" si="81">EO79/EO78</f>
        <v>1.1666666666666667</v>
      </c>
      <c r="EP81" s="167">
        <f t="shared" si="81"/>
        <v>1.1666666666666667</v>
      </c>
      <c r="EQ81" s="167">
        <f t="shared" si="81"/>
        <v>1.1666666666666667</v>
      </c>
      <c r="ER81" s="167">
        <f t="shared" si="81"/>
        <v>1.1666666666666667</v>
      </c>
      <c r="ES81" s="167">
        <f t="shared" si="81"/>
        <v>1.1666666666666667</v>
      </c>
      <c r="ET81" s="167">
        <f t="shared" si="81"/>
        <v>1.1666666666666667</v>
      </c>
      <c r="EU81" s="167">
        <f t="shared" si="81"/>
        <v>1.1666666666666667</v>
      </c>
      <c r="EV81" s="167">
        <f t="shared" si="81"/>
        <v>1.1666666666666667</v>
      </c>
      <c r="EW81" s="167">
        <f t="shared" si="81"/>
        <v>1.1666666666666667</v>
      </c>
      <c r="EX81" s="167">
        <f t="shared" si="81"/>
        <v>1.1666666666666667</v>
      </c>
      <c r="EY81" s="167">
        <f t="shared" si="81"/>
        <v>1.1666666666666667</v>
      </c>
      <c r="EZ81" s="167">
        <f t="shared" si="81"/>
        <v>1.1666666666666667</v>
      </c>
      <c r="FA81" s="167">
        <f t="shared" si="81"/>
        <v>1.1666666666666667</v>
      </c>
      <c r="FB81" s="167">
        <f t="shared" si="81"/>
        <v>1.1666666666666667</v>
      </c>
      <c r="FC81" s="167">
        <f t="shared" si="81"/>
        <v>1.1666666666666667</v>
      </c>
      <c r="FD81" s="167">
        <f t="shared" si="81"/>
        <v>1.1666666666666667</v>
      </c>
      <c r="FE81" s="167">
        <f t="shared" si="81"/>
        <v>1.1666666666666667</v>
      </c>
      <c r="FF81" s="167">
        <f t="shared" si="81"/>
        <v>1.1666666666666667</v>
      </c>
      <c r="FG81" s="167">
        <f t="shared" si="81"/>
        <v>1.1666666666666667</v>
      </c>
      <c r="FH81" s="167">
        <f t="shared" si="81"/>
        <v>1.1666666666666667</v>
      </c>
      <c r="FI81" s="167">
        <f t="shared" si="81"/>
        <v>1.1666666666666667</v>
      </c>
      <c r="FJ81" s="167">
        <f t="shared" si="81"/>
        <v>1.1666666666666667</v>
      </c>
      <c r="FK81" s="167">
        <f t="shared" si="81"/>
        <v>1.1666666666666667</v>
      </c>
      <c r="FL81" s="167">
        <f t="shared" si="81"/>
        <v>1.1666666666666667</v>
      </c>
      <c r="FM81" s="167">
        <f t="shared" si="81"/>
        <v>1.1666666666666667</v>
      </c>
      <c r="FN81" s="167">
        <f t="shared" si="81"/>
        <v>1.1666666666666667</v>
      </c>
      <c r="FO81" s="167">
        <f t="shared" si="81"/>
        <v>1.1666666666666667</v>
      </c>
      <c r="FP81" s="167">
        <f t="shared" si="81"/>
        <v>1.1666666666666667</v>
      </c>
      <c r="FQ81" s="167">
        <f t="shared" si="81"/>
        <v>1.1666666666666667</v>
      </c>
      <c r="FR81" s="167">
        <f t="shared" si="81"/>
        <v>1.1666666666666667</v>
      </c>
      <c r="FS81" s="167">
        <f t="shared" si="81"/>
        <v>1.1666666666666667</v>
      </c>
      <c r="FT81" s="167">
        <f t="shared" si="81"/>
        <v>1.1666666666666667</v>
      </c>
      <c r="FU81" s="167">
        <f t="shared" si="81"/>
        <v>1.1666666666666667</v>
      </c>
      <c r="FV81" s="167">
        <f t="shared" si="81"/>
        <v>1.1666666666666667</v>
      </c>
      <c r="FW81" s="167">
        <f t="shared" si="81"/>
        <v>1.1666666666666667</v>
      </c>
      <c r="FX81" s="167">
        <f t="shared" si="81"/>
        <v>1.1666666666666667</v>
      </c>
      <c r="FY81" s="167">
        <f t="shared" si="81"/>
        <v>1.1666666666666667</v>
      </c>
      <c r="FZ81" s="167">
        <f t="shared" si="81"/>
        <v>1.1666666666666667</v>
      </c>
      <c r="GA81" s="167">
        <f t="shared" si="81"/>
        <v>1.1666666666666667</v>
      </c>
      <c r="GB81" s="167">
        <f t="shared" si="81"/>
        <v>1.1666666666666667</v>
      </c>
      <c r="GC81" s="167">
        <f t="shared" si="81"/>
        <v>1.1666666666666667</v>
      </c>
      <c r="GD81" s="167">
        <f t="shared" si="81"/>
        <v>1.1666666666666667</v>
      </c>
      <c r="GE81" s="167">
        <f t="shared" si="81"/>
        <v>1.1666666666666667</v>
      </c>
      <c r="GF81" s="167">
        <f t="shared" si="81"/>
        <v>1.1666666666666667</v>
      </c>
      <c r="GG81" s="167">
        <f t="shared" si="81"/>
        <v>1.1666666666666667</v>
      </c>
      <c r="GH81" s="167">
        <f t="shared" si="81"/>
        <v>1.1666666666666667</v>
      </c>
      <c r="GI81" s="167">
        <f t="shared" si="81"/>
        <v>1.1666666666666667</v>
      </c>
      <c r="GJ81" s="167">
        <f t="shared" si="81"/>
        <v>1.1666666666666667</v>
      </c>
      <c r="GK81" s="167">
        <f t="shared" si="81"/>
        <v>1.1666666666666667</v>
      </c>
      <c r="GL81" s="167">
        <f t="shared" si="81"/>
        <v>1.1666666666666667</v>
      </c>
      <c r="GM81" s="167">
        <f t="shared" si="81"/>
        <v>1.1666666666666667</v>
      </c>
      <c r="GN81" s="167">
        <f t="shared" si="81"/>
        <v>1.1666666666666667</v>
      </c>
      <c r="GO81" s="167">
        <f t="shared" si="81"/>
        <v>1.1666666666666667</v>
      </c>
      <c r="GP81" s="167">
        <f t="shared" si="81"/>
        <v>1.1666666666666667</v>
      </c>
      <c r="GQ81" s="167">
        <f t="shared" si="81"/>
        <v>1.1666666666666667</v>
      </c>
      <c r="GR81" s="167">
        <f t="shared" si="81"/>
        <v>1.1666666666666667</v>
      </c>
      <c r="GS81" s="167">
        <f t="shared" si="81"/>
        <v>1.1666666666666667</v>
      </c>
      <c r="GT81" s="167">
        <f t="shared" si="81"/>
        <v>1.1666666666666667</v>
      </c>
      <c r="GU81" s="167">
        <f t="shared" si="81"/>
        <v>1.1666666666666667</v>
      </c>
      <c r="GV81" s="167">
        <f t="shared" si="81"/>
        <v>1.1666666666666667</v>
      </c>
      <c r="GW81" s="167">
        <f t="shared" si="81"/>
        <v>1.1666666666666667</v>
      </c>
      <c r="GX81" s="167">
        <f t="shared" si="81"/>
        <v>1.1666666666666667</v>
      </c>
      <c r="GY81" s="167">
        <f t="shared" si="81"/>
        <v>1.1666666666666667</v>
      </c>
      <c r="GZ81" s="167">
        <f t="shared" si="81"/>
        <v>1.1666666666666667</v>
      </c>
      <c r="HA81" s="167">
        <f t="shared" ref="HA81:JL81" si="82">HA79/HA78</f>
        <v>1.1666666666666667</v>
      </c>
      <c r="HB81" s="167">
        <f t="shared" si="82"/>
        <v>1.1666666666666667</v>
      </c>
      <c r="HC81" s="167">
        <f t="shared" si="82"/>
        <v>1.1666666666666667</v>
      </c>
      <c r="HD81" s="167">
        <f t="shared" si="82"/>
        <v>1.1666666666666667</v>
      </c>
      <c r="HE81" s="167">
        <f t="shared" si="82"/>
        <v>1.1666666666666667</v>
      </c>
      <c r="HF81" s="167">
        <f t="shared" si="82"/>
        <v>1.1666666666666667</v>
      </c>
      <c r="HG81" s="167">
        <f t="shared" si="82"/>
        <v>1.1666666666666667</v>
      </c>
      <c r="HH81" s="167">
        <f t="shared" si="82"/>
        <v>1.1666666666666667</v>
      </c>
      <c r="HI81" s="167">
        <f t="shared" si="82"/>
        <v>1.1666666666666667</v>
      </c>
      <c r="HJ81" s="167">
        <f t="shared" si="82"/>
        <v>1.1666666666666667</v>
      </c>
      <c r="HK81" s="167">
        <f t="shared" si="82"/>
        <v>1.1666666666666667</v>
      </c>
      <c r="HL81" s="167">
        <f t="shared" si="82"/>
        <v>1.1666666666666667</v>
      </c>
      <c r="HM81" s="167">
        <f t="shared" si="82"/>
        <v>1.1666666666666667</v>
      </c>
      <c r="HN81" s="167">
        <f t="shared" si="82"/>
        <v>1.1666666666666667</v>
      </c>
      <c r="HO81" s="167">
        <f t="shared" si="82"/>
        <v>1.1666666666666667</v>
      </c>
      <c r="HP81" s="167">
        <f t="shared" si="82"/>
        <v>1.1666666666666667</v>
      </c>
      <c r="HQ81" s="167">
        <f t="shared" si="82"/>
        <v>1.1666666666666667</v>
      </c>
      <c r="HR81" s="167">
        <f t="shared" si="82"/>
        <v>1.1666666666666667</v>
      </c>
      <c r="HS81" s="167">
        <f t="shared" si="82"/>
        <v>1.1666666666666667</v>
      </c>
      <c r="HT81" s="167">
        <f t="shared" si="82"/>
        <v>1.1666666666666667</v>
      </c>
      <c r="HU81" s="167">
        <f t="shared" si="82"/>
        <v>1.1666666666666667</v>
      </c>
      <c r="HV81" s="167">
        <f t="shared" si="82"/>
        <v>1.1666666666666667</v>
      </c>
      <c r="HW81" s="167">
        <f t="shared" si="82"/>
        <v>1.1666666666666667</v>
      </c>
      <c r="HX81" s="167">
        <f t="shared" si="82"/>
        <v>1.1666666666666667</v>
      </c>
      <c r="HY81" s="167">
        <f t="shared" si="82"/>
        <v>1.1666666666666667</v>
      </c>
      <c r="HZ81" s="167">
        <f t="shared" si="82"/>
        <v>1.1666666666666667</v>
      </c>
      <c r="IA81" s="167">
        <f t="shared" si="82"/>
        <v>1.1666666666666667</v>
      </c>
      <c r="IB81" s="167">
        <f t="shared" si="82"/>
        <v>1.1666666666666667</v>
      </c>
      <c r="IC81" s="167">
        <f t="shared" si="82"/>
        <v>1.1666666666666667</v>
      </c>
      <c r="ID81" s="167">
        <f t="shared" si="82"/>
        <v>1.1666666666666667</v>
      </c>
      <c r="IE81" s="167">
        <f t="shared" si="82"/>
        <v>1.1666666666666667</v>
      </c>
      <c r="IF81" s="167">
        <f t="shared" si="82"/>
        <v>1.1666666666666667</v>
      </c>
      <c r="IG81" s="167">
        <f t="shared" si="82"/>
        <v>1.1666666666666667</v>
      </c>
      <c r="IH81" s="167">
        <f t="shared" si="82"/>
        <v>1.1666666666666667</v>
      </c>
      <c r="II81" s="167">
        <f t="shared" si="82"/>
        <v>1.1666666666666667</v>
      </c>
      <c r="IJ81" s="167">
        <f t="shared" si="82"/>
        <v>1.1666666666666667</v>
      </c>
      <c r="IK81" s="167">
        <f t="shared" si="82"/>
        <v>1.1666666666666667</v>
      </c>
      <c r="IL81" s="167">
        <f t="shared" si="82"/>
        <v>1.1666666666666667</v>
      </c>
      <c r="IM81" s="167">
        <f t="shared" si="82"/>
        <v>1.1666666666666667</v>
      </c>
      <c r="IN81" s="167">
        <f t="shared" si="82"/>
        <v>1.1666666666666667</v>
      </c>
      <c r="IO81" s="167">
        <f t="shared" si="82"/>
        <v>1.1666666666666667</v>
      </c>
      <c r="IP81" s="167">
        <f t="shared" si="82"/>
        <v>1.1666666666666667</v>
      </c>
      <c r="IQ81" s="167">
        <f t="shared" si="82"/>
        <v>1.1666666666666667</v>
      </c>
      <c r="IR81" s="167">
        <f t="shared" si="82"/>
        <v>1.1666666666666667</v>
      </c>
      <c r="IS81" s="167">
        <f t="shared" si="82"/>
        <v>1.1666666666666667</v>
      </c>
      <c r="IT81" s="167">
        <f t="shared" si="82"/>
        <v>1.1666666666666667</v>
      </c>
      <c r="IU81" s="167">
        <f t="shared" si="82"/>
        <v>1.1666666666666667</v>
      </c>
      <c r="IV81" s="167">
        <f t="shared" si="82"/>
        <v>1.1666666666666667</v>
      </c>
      <c r="IW81" s="167">
        <f t="shared" si="82"/>
        <v>1.1666666666666667</v>
      </c>
      <c r="IX81" s="167">
        <f t="shared" si="82"/>
        <v>1.1666666666666667</v>
      </c>
      <c r="IY81" s="167">
        <f t="shared" si="82"/>
        <v>1.1666666666666667</v>
      </c>
      <c r="IZ81" s="167">
        <f t="shared" si="82"/>
        <v>1.1666666666666667</v>
      </c>
      <c r="JA81" s="167">
        <f t="shared" si="82"/>
        <v>1.1666666666666667</v>
      </c>
      <c r="JB81" s="167">
        <f t="shared" si="82"/>
        <v>1.1666666666666667</v>
      </c>
      <c r="JC81" s="167">
        <f t="shared" si="82"/>
        <v>1.1666666666666667</v>
      </c>
      <c r="JD81" s="167">
        <f t="shared" si="82"/>
        <v>1.1666666666666667</v>
      </c>
      <c r="JE81" s="167">
        <f t="shared" si="82"/>
        <v>1.1666666666666667</v>
      </c>
      <c r="JF81" s="167">
        <f t="shared" si="82"/>
        <v>1.1666666666666667</v>
      </c>
      <c r="JG81" s="167">
        <f t="shared" si="82"/>
        <v>1.1666666666666667</v>
      </c>
      <c r="JH81" s="167">
        <f t="shared" si="82"/>
        <v>1.1666666666666667</v>
      </c>
      <c r="JI81" s="167">
        <f t="shared" si="82"/>
        <v>1.1666666666666667</v>
      </c>
      <c r="JJ81" s="167">
        <f t="shared" si="82"/>
        <v>1.1666666666666667</v>
      </c>
      <c r="JK81" s="167">
        <f t="shared" si="82"/>
        <v>1.1666666666666667</v>
      </c>
      <c r="JL81" s="167">
        <f t="shared" si="82"/>
        <v>1.1666666666666667</v>
      </c>
      <c r="JM81" s="167">
        <f t="shared" ref="JM81:LX81" si="83">JM79/JM78</f>
        <v>1.1666666666666667</v>
      </c>
      <c r="JN81" s="167">
        <f t="shared" si="83"/>
        <v>1.1666666666666667</v>
      </c>
      <c r="JO81" s="167">
        <f t="shared" si="83"/>
        <v>1.1666666666666667</v>
      </c>
      <c r="JP81" s="167">
        <f t="shared" si="83"/>
        <v>1.1666666666666667</v>
      </c>
      <c r="JQ81" s="167">
        <f t="shared" si="83"/>
        <v>1.1666666666666667</v>
      </c>
      <c r="JR81" s="167">
        <f t="shared" si="83"/>
        <v>1.1666666666666667</v>
      </c>
      <c r="JS81" s="167">
        <f t="shared" si="83"/>
        <v>1.1666666666666667</v>
      </c>
      <c r="JT81" s="167">
        <f t="shared" si="83"/>
        <v>1.1666666666666667</v>
      </c>
      <c r="JU81" s="167">
        <f t="shared" si="83"/>
        <v>1.1666666666666667</v>
      </c>
      <c r="JV81" s="167">
        <f t="shared" si="83"/>
        <v>1.1666666666666667</v>
      </c>
      <c r="JW81" s="167">
        <f t="shared" si="83"/>
        <v>1.1666666666666667</v>
      </c>
      <c r="JX81" s="167">
        <f t="shared" si="83"/>
        <v>1.1666666666666667</v>
      </c>
      <c r="JY81" s="167">
        <f t="shared" si="83"/>
        <v>1.1666666666666667</v>
      </c>
      <c r="JZ81" s="167">
        <f t="shared" si="83"/>
        <v>1.1666666666666667</v>
      </c>
      <c r="KA81" s="167">
        <f t="shared" si="83"/>
        <v>1.1666666666666667</v>
      </c>
      <c r="KB81" s="167">
        <f t="shared" si="83"/>
        <v>1.1666666666666667</v>
      </c>
      <c r="KC81" s="167">
        <f t="shared" si="83"/>
        <v>1.1666666666666667</v>
      </c>
      <c r="KD81" s="167">
        <f t="shared" si="83"/>
        <v>1.1666666666666667</v>
      </c>
      <c r="KE81" s="167">
        <f t="shared" si="83"/>
        <v>1.1666666666666667</v>
      </c>
      <c r="KF81" s="167">
        <f t="shared" si="83"/>
        <v>1.1666666666666667</v>
      </c>
      <c r="KG81" s="167">
        <f t="shared" si="83"/>
        <v>1.1666666666666667</v>
      </c>
      <c r="KH81" s="167">
        <f t="shared" si="83"/>
        <v>1.1666666666666667</v>
      </c>
      <c r="KI81" s="167">
        <f t="shared" si="83"/>
        <v>1.1666666666666667</v>
      </c>
      <c r="KJ81" s="167">
        <f t="shared" si="83"/>
        <v>1.1666666666666667</v>
      </c>
      <c r="KK81" s="167">
        <f t="shared" si="83"/>
        <v>1.1666666666666667</v>
      </c>
      <c r="KL81" s="167">
        <f t="shared" si="83"/>
        <v>1.1666666666666667</v>
      </c>
      <c r="KM81" s="167">
        <f t="shared" si="83"/>
        <v>1.1666666666666667</v>
      </c>
      <c r="KN81" s="167">
        <f t="shared" si="83"/>
        <v>1.1666666666666667</v>
      </c>
      <c r="KO81" s="167">
        <f t="shared" si="83"/>
        <v>1.1666666666666667</v>
      </c>
      <c r="KP81" s="167">
        <f t="shared" si="83"/>
        <v>1.1666666666666667</v>
      </c>
      <c r="KQ81" s="167">
        <f t="shared" si="83"/>
        <v>1.1666666666666667</v>
      </c>
      <c r="KR81" s="167">
        <f t="shared" si="83"/>
        <v>1.1666666666666667</v>
      </c>
      <c r="KS81" s="167">
        <f t="shared" si="83"/>
        <v>1.1666666666666667</v>
      </c>
      <c r="KT81" s="167">
        <f t="shared" si="83"/>
        <v>1.1666666666666667</v>
      </c>
      <c r="KU81" s="167">
        <f t="shared" si="83"/>
        <v>1.1666666666666667</v>
      </c>
      <c r="KV81" s="167">
        <f t="shared" si="83"/>
        <v>1.1666666666666667</v>
      </c>
      <c r="KW81" s="167">
        <f t="shared" si="83"/>
        <v>1.1666666666666667</v>
      </c>
      <c r="KX81" s="167">
        <f t="shared" si="83"/>
        <v>1.1666666666666667</v>
      </c>
      <c r="KY81" s="167">
        <f t="shared" si="83"/>
        <v>1.1666666666666667</v>
      </c>
      <c r="KZ81" s="167">
        <f t="shared" si="83"/>
        <v>1.1666666666666667</v>
      </c>
      <c r="LA81" s="167">
        <f t="shared" si="83"/>
        <v>1.1666666666666667</v>
      </c>
      <c r="LB81" s="167">
        <f t="shared" si="83"/>
        <v>1.1666666666666667</v>
      </c>
      <c r="LC81" s="167">
        <f t="shared" si="83"/>
        <v>1.1666666666666667</v>
      </c>
      <c r="LD81" s="167">
        <f t="shared" si="83"/>
        <v>1.1666666666666667</v>
      </c>
      <c r="LE81" s="167">
        <f t="shared" si="83"/>
        <v>1.1666666666666667</v>
      </c>
      <c r="LF81" s="167">
        <f t="shared" si="83"/>
        <v>1.1666666666666667</v>
      </c>
      <c r="LG81" s="167">
        <f t="shared" si="83"/>
        <v>1.1666666666666667</v>
      </c>
      <c r="LH81" s="167">
        <f t="shared" si="83"/>
        <v>1.1666666666666667</v>
      </c>
      <c r="LI81" s="167">
        <f t="shared" si="83"/>
        <v>1.1666666666666667</v>
      </c>
      <c r="LJ81" s="167">
        <f t="shared" si="83"/>
        <v>1.1666666666666667</v>
      </c>
      <c r="LK81" s="167">
        <f t="shared" si="83"/>
        <v>1.1666666666666667</v>
      </c>
      <c r="LL81" s="167">
        <f t="shared" si="83"/>
        <v>1.1666666666666667</v>
      </c>
      <c r="LM81" s="167">
        <f t="shared" si="83"/>
        <v>1.1666666666666667</v>
      </c>
      <c r="LN81" s="167">
        <f t="shared" si="83"/>
        <v>1.1666666666666667</v>
      </c>
      <c r="LO81" s="167">
        <f t="shared" si="83"/>
        <v>1.1666666666666667</v>
      </c>
      <c r="LP81" s="167">
        <f t="shared" si="83"/>
        <v>1.1666666666666667</v>
      </c>
      <c r="LQ81" s="167">
        <f t="shared" si="83"/>
        <v>1.1666666666666667</v>
      </c>
      <c r="LR81" s="167">
        <f t="shared" si="83"/>
        <v>1.1666666666666667</v>
      </c>
      <c r="LS81" s="167">
        <f t="shared" si="83"/>
        <v>1.1666666666666667</v>
      </c>
      <c r="LT81" s="167">
        <f t="shared" si="83"/>
        <v>1.1666666666666667</v>
      </c>
      <c r="LU81" s="167">
        <f t="shared" si="83"/>
        <v>1.1666666666666667</v>
      </c>
      <c r="LV81" s="167">
        <f t="shared" si="83"/>
        <v>1.1666666666666667</v>
      </c>
      <c r="LW81" s="167">
        <f t="shared" si="83"/>
        <v>1.1666666666666667</v>
      </c>
      <c r="LX81" s="167">
        <f t="shared" si="83"/>
        <v>1.1666666666666667</v>
      </c>
      <c r="LY81" s="167">
        <f t="shared" ref="LY81:OJ81" si="84">LY79/LY78</f>
        <v>1.1666666666666667</v>
      </c>
      <c r="LZ81" s="167">
        <f t="shared" si="84"/>
        <v>1.1666666666666667</v>
      </c>
      <c r="MA81" s="167">
        <f t="shared" si="84"/>
        <v>1.1666666666666667</v>
      </c>
      <c r="MB81" s="167">
        <f t="shared" si="84"/>
        <v>1.1666666666666667</v>
      </c>
      <c r="MC81" s="167">
        <f t="shared" si="84"/>
        <v>1.1666666666666667</v>
      </c>
      <c r="MD81" s="167">
        <f t="shared" si="84"/>
        <v>1.1666666666666667</v>
      </c>
      <c r="ME81" s="167">
        <f t="shared" si="84"/>
        <v>1.1666666666666667</v>
      </c>
      <c r="MF81" s="167">
        <f t="shared" si="84"/>
        <v>1.1666666666666667</v>
      </c>
      <c r="MG81" s="167">
        <f t="shared" si="84"/>
        <v>1.1666666666666667</v>
      </c>
      <c r="MH81" s="167">
        <f t="shared" si="84"/>
        <v>1.1666666666666667</v>
      </c>
      <c r="MI81" s="167">
        <f t="shared" si="84"/>
        <v>1.1666666666666667</v>
      </c>
      <c r="MJ81" s="167">
        <f t="shared" si="84"/>
        <v>1.1666666666666667</v>
      </c>
      <c r="MK81" s="167">
        <f t="shared" si="84"/>
        <v>1.1666666666666667</v>
      </c>
      <c r="ML81" s="167">
        <f t="shared" si="84"/>
        <v>1.1666666666666667</v>
      </c>
      <c r="MM81" s="167">
        <f t="shared" si="84"/>
        <v>1.1666666666666667</v>
      </c>
      <c r="MN81" s="167">
        <f t="shared" si="84"/>
        <v>1.1666666666666667</v>
      </c>
      <c r="MO81" s="167">
        <f t="shared" si="84"/>
        <v>1.1666666666666667</v>
      </c>
      <c r="MP81" s="167">
        <f t="shared" si="84"/>
        <v>1.1666666666666667</v>
      </c>
      <c r="MQ81" s="167">
        <f t="shared" si="84"/>
        <v>1.1666666666666667</v>
      </c>
      <c r="MR81" s="167">
        <f t="shared" si="84"/>
        <v>1.1666666666666667</v>
      </c>
      <c r="MS81" s="167">
        <f t="shared" si="84"/>
        <v>1.1666666666666667</v>
      </c>
      <c r="MT81" s="167">
        <f t="shared" si="84"/>
        <v>1.1666666666666667</v>
      </c>
      <c r="MU81" s="167">
        <f t="shared" si="84"/>
        <v>1.1666666666666667</v>
      </c>
      <c r="MV81" s="167">
        <f t="shared" si="84"/>
        <v>1.1666666666666667</v>
      </c>
      <c r="MW81" s="167">
        <f t="shared" si="84"/>
        <v>1.1666666666666667</v>
      </c>
      <c r="MX81" s="167">
        <f t="shared" si="84"/>
        <v>1.1666666666666667</v>
      </c>
      <c r="MY81" s="167">
        <f t="shared" si="84"/>
        <v>1.1666666666666667</v>
      </c>
      <c r="MZ81" s="167">
        <f t="shared" si="84"/>
        <v>1.1666666666666667</v>
      </c>
      <c r="NA81" s="167">
        <f t="shared" si="84"/>
        <v>1.1666666666666667</v>
      </c>
      <c r="NB81" s="167">
        <f t="shared" si="84"/>
        <v>1.1666666666666667</v>
      </c>
      <c r="NC81" s="167">
        <f t="shared" si="84"/>
        <v>1.1666666666666667</v>
      </c>
      <c r="ND81" s="167">
        <f t="shared" si="84"/>
        <v>1.1666666666666667</v>
      </c>
      <c r="NE81" s="167">
        <f t="shared" si="84"/>
        <v>1.1666666666666667</v>
      </c>
      <c r="NF81" s="167">
        <f t="shared" si="84"/>
        <v>1.1666666666666667</v>
      </c>
      <c r="NG81" s="167">
        <f t="shared" si="84"/>
        <v>1.1666666666666667</v>
      </c>
      <c r="NH81" s="167">
        <f t="shared" si="84"/>
        <v>1.1666666666666667</v>
      </c>
      <c r="NI81" s="167">
        <f t="shared" si="84"/>
        <v>1.1666666666666667</v>
      </c>
      <c r="NJ81" s="167">
        <f t="shared" si="84"/>
        <v>1.1666666666666667</v>
      </c>
      <c r="NK81" s="167">
        <f t="shared" si="84"/>
        <v>1.1666666666666667</v>
      </c>
      <c r="NL81" s="167">
        <f t="shared" si="84"/>
        <v>1.1666666666666667</v>
      </c>
      <c r="NM81" s="167">
        <f t="shared" si="84"/>
        <v>1.1666666666666667</v>
      </c>
      <c r="NN81" s="167">
        <f t="shared" si="84"/>
        <v>1.1666666666666667</v>
      </c>
      <c r="NO81" s="167">
        <f t="shared" si="84"/>
        <v>1.1666666666666667</v>
      </c>
      <c r="NP81" s="167">
        <f t="shared" si="84"/>
        <v>1.1666666666666667</v>
      </c>
      <c r="NQ81" s="167">
        <f t="shared" si="84"/>
        <v>1.1666666666666667</v>
      </c>
      <c r="NR81" s="167">
        <f t="shared" si="84"/>
        <v>1.1666666666666667</v>
      </c>
      <c r="NS81" s="167">
        <f t="shared" si="84"/>
        <v>1.1666666666666667</v>
      </c>
      <c r="NT81" s="167">
        <f t="shared" si="84"/>
        <v>1.1666666666666667</v>
      </c>
      <c r="NU81" s="167">
        <f t="shared" si="84"/>
        <v>1.1666666666666667</v>
      </c>
      <c r="NV81" s="167">
        <f t="shared" si="84"/>
        <v>1.1666666666666667</v>
      </c>
      <c r="NW81" s="167">
        <f t="shared" si="84"/>
        <v>1.1666666666666667</v>
      </c>
      <c r="NX81" s="167">
        <f t="shared" si="84"/>
        <v>1.1666666666666667</v>
      </c>
      <c r="NY81" s="167">
        <f t="shared" si="84"/>
        <v>1.1666666666666667</v>
      </c>
      <c r="NZ81" s="167">
        <f t="shared" si="84"/>
        <v>1.1666666666666667</v>
      </c>
      <c r="OA81" s="167">
        <f t="shared" si="84"/>
        <v>1.1666666666666667</v>
      </c>
      <c r="OB81" s="167">
        <f t="shared" si="84"/>
        <v>1.1666666666666667</v>
      </c>
      <c r="OC81" s="167">
        <f t="shared" si="84"/>
        <v>1.1666666666666667</v>
      </c>
      <c r="OD81" s="167">
        <f t="shared" si="84"/>
        <v>1.1666666666666667</v>
      </c>
      <c r="OE81" s="167">
        <f t="shared" si="84"/>
        <v>1.1666666666666667</v>
      </c>
      <c r="OF81" s="167">
        <f t="shared" si="84"/>
        <v>1.1666666666666667</v>
      </c>
      <c r="OG81" s="167">
        <f t="shared" si="84"/>
        <v>1.1666666666666667</v>
      </c>
      <c r="OH81" s="167">
        <f t="shared" si="84"/>
        <v>1.1666666666666667</v>
      </c>
      <c r="OI81" s="167">
        <f t="shared" si="84"/>
        <v>1.1666666666666667</v>
      </c>
      <c r="OJ81" s="167">
        <f t="shared" si="84"/>
        <v>1.1666666666666667</v>
      </c>
      <c r="OK81" s="167">
        <f t="shared" ref="OK81:QV81" si="85">OK79/OK78</f>
        <v>1.1666666666666667</v>
      </c>
      <c r="OL81" s="167">
        <f t="shared" si="85"/>
        <v>1.1666666666666667</v>
      </c>
      <c r="OM81" s="167">
        <f t="shared" si="85"/>
        <v>1.1666666666666667</v>
      </c>
      <c r="ON81" s="167">
        <f t="shared" si="85"/>
        <v>1.1666666666666667</v>
      </c>
      <c r="OO81" s="167">
        <f t="shared" si="85"/>
        <v>1.1666666666666667</v>
      </c>
      <c r="OP81" s="167">
        <f t="shared" si="85"/>
        <v>1.1666666666666667</v>
      </c>
      <c r="OQ81" s="167">
        <f t="shared" si="85"/>
        <v>1.1666666666666667</v>
      </c>
      <c r="OR81" s="167">
        <f t="shared" si="85"/>
        <v>1.1666666666666667</v>
      </c>
      <c r="OS81" s="167">
        <f t="shared" si="85"/>
        <v>1.1666666666666667</v>
      </c>
      <c r="OT81" s="167">
        <f t="shared" si="85"/>
        <v>1.1666666666666667</v>
      </c>
      <c r="OU81" s="167">
        <f t="shared" si="85"/>
        <v>1.1666666666666667</v>
      </c>
      <c r="OV81" s="167">
        <f t="shared" si="85"/>
        <v>1.1666666666666667</v>
      </c>
      <c r="OW81" s="167">
        <f t="shared" si="85"/>
        <v>1.1666666666666667</v>
      </c>
      <c r="OX81" s="167">
        <f t="shared" si="85"/>
        <v>1.1666666666666667</v>
      </c>
      <c r="OY81" s="167">
        <f t="shared" si="85"/>
        <v>1.1666666666666667</v>
      </c>
      <c r="OZ81" s="167">
        <f t="shared" si="85"/>
        <v>1.1666666666666667</v>
      </c>
      <c r="PA81" s="167">
        <f t="shared" si="85"/>
        <v>1.1666666666666667</v>
      </c>
      <c r="PB81" s="167">
        <f t="shared" si="85"/>
        <v>1.1666666666666667</v>
      </c>
      <c r="PC81" s="167">
        <f t="shared" si="85"/>
        <v>1.1666666666666667</v>
      </c>
      <c r="PD81" s="167">
        <f t="shared" si="85"/>
        <v>1.1666666666666667</v>
      </c>
      <c r="PE81" s="167">
        <f t="shared" si="85"/>
        <v>1.1666666666666667</v>
      </c>
      <c r="PF81" s="167">
        <f t="shared" si="85"/>
        <v>1.1666666666666667</v>
      </c>
      <c r="PG81" s="167">
        <f t="shared" si="85"/>
        <v>1.1666666666666667</v>
      </c>
      <c r="PH81" s="167">
        <f t="shared" si="85"/>
        <v>1.1666666666666667</v>
      </c>
      <c r="PI81" s="167">
        <f t="shared" si="85"/>
        <v>1.1666666666666667</v>
      </c>
      <c r="PJ81" s="167">
        <f t="shared" si="85"/>
        <v>1.1666666666666667</v>
      </c>
      <c r="PK81" s="167">
        <f t="shared" si="85"/>
        <v>1.1666666666666667</v>
      </c>
      <c r="PL81" s="167">
        <f t="shared" si="85"/>
        <v>1.1666666666666667</v>
      </c>
      <c r="PM81" s="167">
        <f t="shared" si="85"/>
        <v>1.1666666666666667</v>
      </c>
      <c r="PN81" s="167">
        <f t="shared" si="85"/>
        <v>1.1666666666666667</v>
      </c>
      <c r="PO81" s="167">
        <f t="shared" si="85"/>
        <v>1.1666666666666667</v>
      </c>
      <c r="PP81" s="167">
        <f t="shared" si="85"/>
        <v>1.1666666666666667</v>
      </c>
      <c r="PQ81" s="167">
        <f t="shared" si="85"/>
        <v>1.1666666666666667</v>
      </c>
      <c r="PR81" s="167">
        <f t="shared" si="85"/>
        <v>1.1666666666666667</v>
      </c>
      <c r="PS81" s="167">
        <f t="shared" si="85"/>
        <v>1.1666666666666667</v>
      </c>
      <c r="PT81" s="167">
        <f t="shared" si="85"/>
        <v>1.1666666666666667</v>
      </c>
      <c r="PU81" s="167">
        <f t="shared" si="85"/>
        <v>1.1666666666666667</v>
      </c>
      <c r="PV81" s="167">
        <f t="shared" si="85"/>
        <v>1.1666666666666667</v>
      </c>
      <c r="PW81" s="167">
        <f t="shared" si="85"/>
        <v>1.1666666666666667</v>
      </c>
      <c r="PX81" s="167">
        <f t="shared" si="85"/>
        <v>1.1666666666666667</v>
      </c>
      <c r="PY81" s="167">
        <f t="shared" si="85"/>
        <v>1.1666666666666667</v>
      </c>
      <c r="PZ81" s="167">
        <f t="shared" si="85"/>
        <v>1.1666666666666667</v>
      </c>
      <c r="QA81" s="167">
        <f t="shared" si="85"/>
        <v>1.1666666666666667</v>
      </c>
      <c r="QB81" s="167">
        <f t="shared" si="85"/>
        <v>1.1666666666666667</v>
      </c>
      <c r="QC81" s="167">
        <f t="shared" si="85"/>
        <v>1.1666666666666667</v>
      </c>
      <c r="QD81" s="167">
        <f t="shared" si="85"/>
        <v>1.1666666666666667</v>
      </c>
      <c r="QE81" s="167">
        <f t="shared" si="85"/>
        <v>1.1666666666666667</v>
      </c>
      <c r="QF81" s="167">
        <f t="shared" si="85"/>
        <v>1.1666666666666667</v>
      </c>
      <c r="QG81" s="167">
        <f t="shared" si="85"/>
        <v>1.1666666666666667</v>
      </c>
      <c r="QH81" s="167">
        <f t="shared" si="85"/>
        <v>1.1666666666666667</v>
      </c>
      <c r="QI81" s="167">
        <f t="shared" si="85"/>
        <v>1.1666666666666667</v>
      </c>
      <c r="QJ81" s="167">
        <f t="shared" si="85"/>
        <v>1.1666666666666667</v>
      </c>
      <c r="QK81" s="167">
        <f t="shared" si="85"/>
        <v>1.1666666666666667</v>
      </c>
      <c r="QL81" s="167">
        <f t="shared" si="85"/>
        <v>1.1666666666666667</v>
      </c>
      <c r="QM81" s="167">
        <f t="shared" si="85"/>
        <v>1.1666666666666667</v>
      </c>
      <c r="QN81" s="167">
        <f t="shared" si="85"/>
        <v>1.1666666666666667</v>
      </c>
      <c r="QO81" s="167">
        <f t="shared" si="85"/>
        <v>1.1666666666666667</v>
      </c>
      <c r="QP81" s="167">
        <f t="shared" si="85"/>
        <v>1.1666666666666667</v>
      </c>
      <c r="QQ81" s="167">
        <f t="shared" si="85"/>
        <v>1.1666666666666667</v>
      </c>
      <c r="QR81" s="167">
        <f t="shared" si="85"/>
        <v>1.1666666666666667</v>
      </c>
      <c r="QS81" s="167">
        <f t="shared" si="85"/>
        <v>1.1666666666666667</v>
      </c>
      <c r="QT81" s="167">
        <f t="shared" si="85"/>
        <v>1.1666666666666667</v>
      </c>
      <c r="QU81" s="167">
        <f t="shared" si="85"/>
        <v>1.1666666666666667</v>
      </c>
      <c r="QV81" s="167">
        <f t="shared" si="85"/>
        <v>1.1666666666666667</v>
      </c>
      <c r="QW81" s="167">
        <f t="shared" ref="QW81:TH81" si="86">QW79/QW78</f>
        <v>1.1666666666666667</v>
      </c>
      <c r="QX81" s="167">
        <f t="shared" si="86"/>
        <v>1.1666666666666667</v>
      </c>
      <c r="QY81" s="167">
        <f t="shared" si="86"/>
        <v>1.1666666666666667</v>
      </c>
      <c r="QZ81" s="167">
        <f t="shared" si="86"/>
        <v>1.1666666666666667</v>
      </c>
      <c r="RA81" s="167">
        <f t="shared" si="86"/>
        <v>1.1666666666666667</v>
      </c>
      <c r="RB81" s="167">
        <f t="shared" si="86"/>
        <v>1.1666666666666667</v>
      </c>
      <c r="RC81" s="167">
        <f t="shared" si="86"/>
        <v>1.1666666666666667</v>
      </c>
      <c r="RD81" s="167">
        <f t="shared" si="86"/>
        <v>1.1666666666666667</v>
      </c>
      <c r="RE81" s="167">
        <f t="shared" si="86"/>
        <v>1.1666666666666667</v>
      </c>
      <c r="RF81" s="167">
        <f t="shared" si="86"/>
        <v>1.1666666666666667</v>
      </c>
      <c r="RG81" s="167">
        <f t="shared" si="86"/>
        <v>1.1666666666666667</v>
      </c>
      <c r="RH81" s="167">
        <f t="shared" si="86"/>
        <v>1.1666666666666667</v>
      </c>
      <c r="RI81" s="167">
        <f t="shared" si="86"/>
        <v>1.1666666666666667</v>
      </c>
      <c r="RJ81" s="167">
        <f t="shared" si="86"/>
        <v>1.1666666666666667</v>
      </c>
      <c r="RK81" s="167">
        <f t="shared" si="86"/>
        <v>1.1666666666666667</v>
      </c>
      <c r="RL81" s="167">
        <f t="shared" si="86"/>
        <v>1.1666666666666667</v>
      </c>
      <c r="RM81" s="167">
        <f t="shared" si="86"/>
        <v>1.1666666666666667</v>
      </c>
      <c r="RN81" s="167">
        <f t="shared" si="86"/>
        <v>1.1666666666666667</v>
      </c>
      <c r="RO81" s="167">
        <f t="shared" si="86"/>
        <v>1.1666666666666667</v>
      </c>
      <c r="RP81" s="167">
        <f t="shared" si="86"/>
        <v>1.1666666666666667</v>
      </c>
      <c r="RQ81" s="167">
        <f t="shared" si="86"/>
        <v>1.1666666666666667</v>
      </c>
      <c r="RR81" s="167">
        <f t="shared" si="86"/>
        <v>1.1666666666666667</v>
      </c>
      <c r="RS81" s="167">
        <f t="shared" si="86"/>
        <v>1.1666666666666667</v>
      </c>
      <c r="RT81" s="167">
        <f t="shared" si="86"/>
        <v>1.1666666666666667</v>
      </c>
      <c r="RU81" s="167">
        <f t="shared" si="86"/>
        <v>1.1666666666666667</v>
      </c>
      <c r="RV81" s="167">
        <f t="shared" si="86"/>
        <v>1.1666666666666667</v>
      </c>
      <c r="RW81" s="167">
        <f t="shared" si="86"/>
        <v>1.1666666666666667</v>
      </c>
      <c r="RX81" s="167">
        <f t="shared" si="86"/>
        <v>1.1666666666666667</v>
      </c>
      <c r="RY81" s="167">
        <f t="shared" si="86"/>
        <v>1.1666666666666667</v>
      </c>
      <c r="RZ81" s="167">
        <f t="shared" si="86"/>
        <v>1.1666666666666667</v>
      </c>
      <c r="SA81" s="167">
        <f t="shared" si="86"/>
        <v>1.1666666666666667</v>
      </c>
      <c r="SB81" s="167">
        <f t="shared" si="86"/>
        <v>1.1666666666666667</v>
      </c>
      <c r="SC81" s="167">
        <f t="shared" si="86"/>
        <v>1.1666666666666667</v>
      </c>
      <c r="SD81" s="167">
        <f t="shared" si="86"/>
        <v>1.1666666666666667</v>
      </c>
      <c r="SE81" s="167">
        <f t="shared" si="86"/>
        <v>1.1666666666666667</v>
      </c>
      <c r="SF81" s="167">
        <f t="shared" si="86"/>
        <v>1.1666666666666667</v>
      </c>
      <c r="SG81" s="167">
        <f t="shared" si="86"/>
        <v>1.1666666666666667</v>
      </c>
      <c r="SH81" s="167">
        <f t="shared" si="86"/>
        <v>1.1666666666666667</v>
      </c>
      <c r="SI81" s="167">
        <f t="shared" si="86"/>
        <v>1.1666666666666667</v>
      </c>
      <c r="SJ81" s="167">
        <f t="shared" si="86"/>
        <v>1.1666666666666667</v>
      </c>
      <c r="SK81" s="167">
        <f t="shared" si="86"/>
        <v>1.1666666666666667</v>
      </c>
      <c r="SL81" s="167">
        <f t="shared" si="86"/>
        <v>1.1666666666666667</v>
      </c>
      <c r="SM81" s="167">
        <f t="shared" si="86"/>
        <v>1.1666666666666667</v>
      </c>
      <c r="SN81" s="167">
        <f t="shared" si="86"/>
        <v>1.1666666666666667</v>
      </c>
      <c r="SO81" s="167">
        <f t="shared" si="86"/>
        <v>1.1666666666666667</v>
      </c>
      <c r="SP81" s="167">
        <f t="shared" si="86"/>
        <v>1.1666666666666667</v>
      </c>
      <c r="SQ81" s="167">
        <f t="shared" si="86"/>
        <v>1.1666666666666667</v>
      </c>
      <c r="SR81" s="167">
        <f t="shared" si="86"/>
        <v>1.1666666666666667</v>
      </c>
      <c r="SS81" s="167">
        <f t="shared" si="86"/>
        <v>1.1666666666666667</v>
      </c>
      <c r="ST81" s="167">
        <f t="shared" si="86"/>
        <v>1.1666666666666667</v>
      </c>
      <c r="SU81" s="167">
        <f t="shared" si="86"/>
        <v>1.1666666666666667</v>
      </c>
      <c r="SV81" s="167">
        <f t="shared" si="86"/>
        <v>1.1666666666666667</v>
      </c>
      <c r="SW81" s="167">
        <f t="shared" si="86"/>
        <v>1.1666666666666667</v>
      </c>
      <c r="SX81" s="167">
        <f t="shared" si="86"/>
        <v>1.1666666666666667</v>
      </c>
      <c r="SY81" s="167">
        <f t="shared" si="86"/>
        <v>1.1666666666666667</v>
      </c>
      <c r="SZ81" s="167">
        <f t="shared" si="86"/>
        <v>1.1666666666666667</v>
      </c>
      <c r="TA81" s="167">
        <f t="shared" si="86"/>
        <v>1.1666666666666667</v>
      </c>
      <c r="TB81" s="167">
        <f t="shared" si="86"/>
        <v>1.1666666666666667</v>
      </c>
      <c r="TC81" s="167">
        <f t="shared" si="86"/>
        <v>1.1666666666666667</v>
      </c>
      <c r="TD81" s="167">
        <f t="shared" si="86"/>
        <v>1.1666666666666667</v>
      </c>
      <c r="TE81" s="167">
        <f t="shared" si="86"/>
        <v>1.1666666666666667</v>
      </c>
      <c r="TF81" s="167">
        <f t="shared" si="86"/>
        <v>1.1666666666666667</v>
      </c>
      <c r="TG81" s="167">
        <f t="shared" si="86"/>
        <v>1.1666666666666667</v>
      </c>
      <c r="TH81" s="167">
        <f t="shared" si="86"/>
        <v>1.1666666666666667</v>
      </c>
      <c r="TI81" s="167">
        <f t="shared" ref="TI81:VT81" si="87">TI79/TI78</f>
        <v>1.1666666666666667</v>
      </c>
      <c r="TJ81" s="167">
        <f t="shared" si="87"/>
        <v>1.1666666666666667</v>
      </c>
      <c r="TK81" s="167">
        <f t="shared" si="87"/>
        <v>1.1666666666666667</v>
      </c>
      <c r="TL81" s="167">
        <f t="shared" si="87"/>
        <v>1.1666666666666667</v>
      </c>
      <c r="TM81" s="167">
        <f t="shared" si="87"/>
        <v>1.1666666666666667</v>
      </c>
      <c r="TN81" s="167">
        <f t="shared" si="87"/>
        <v>1.1666666666666667</v>
      </c>
      <c r="TO81" s="167">
        <f t="shared" si="87"/>
        <v>1.1666666666666667</v>
      </c>
      <c r="TP81" s="167">
        <f t="shared" si="87"/>
        <v>1.1666666666666667</v>
      </c>
      <c r="TQ81" s="167">
        <f t="shared" si="87"/>
        <v>1.1666666666666667</v>
      </c>
      <c r="TR81" s="167">
        <f t="shared" si="87"/>
        <v>1.1666666666666667</v>
      </c>
      <c r="TS81" s="167">
        <f t="shared" si="87"/>
        <v>1.1666666666666667</v>
      </c>
      <c r="TT81" s="167">
        <f t="shared" si="87"/>
        <v>1.1666666666666667</v>
      </c>
      <c r="TU81" s="167">
        <f t="shared" si="87"/>
        <v>1.1666666666666667</v>
      </c>
      <c r="TV81" s="167">
        <f t="shared" si="87"/>
        <v>1.1666666666666667</v>
      </c>
      <c r="TW81" s="167">
        <f t="shared" si="87"/>
        <v>1.1666666666666667</v>
      </c>
      <c r="TX81" s="167">
        <f t="shared" si="87"/>
        <v>1.1666666666666667</v>
      </c>
      <c r="TY81" s="167">
        <f t="shared" si="87"/>
        <v>1.1666666666666667</v>
      </c>
      <c r="TZ81" s="167">
        <f t="shared" si="87"/>
        <v>1.1666666666666667</v>
      </c>
      <c r="UA81" s="167">
        <f t="shared" si="87"/>
        <v>1.1666666666666667</v>
      </c>
      <c r="UB81" s="167">
        <f t="shared" si="87"/>
        <v>1.1666666666666667</v>
      </c>
      <c r="UC81" s="167">
        <f t="shared" si="87"/>
        <v>1.1666666666666667</v>
      </c>
      <c r="UD81" s="167">
        <f t="shared" si="87"/>
        <v>1.1666666666666667</v>
      </c>
      <c r="UE81" s="167">
        <f t="shared" si="87"/>
        <v>1.1666666666666667</v>
      </c>
      <c r="UF81" s="167">
        <f t="shared" si="87"/>
        <v>1.1666666666666667</v>
      </c>
      <c r="UG81" s="167">
        <f t="shared" si="87"/>
        <v>1.1666666666666667</v>
      </c>
      <c r="UH81" s="167">
        <f t="shared" si="87"/>
        <v>1.1666666666666667</v>
      </c>
      <c r="UI81" s="167">
        <f t="shared" si="87"/>
        <v>1.1666666666666667</v>
      </c>
      <c r="UJ81" s="167">
        <f t="shared" si="87"/>
        <v>1.1666666666666667</v>
      </c>
      <c r="UK81" s="167">
        <f t="shared" si="87"/>
        <v>1.1666666666666667</v>
      </c>
      <c r="UL81" s="167">
        <f t="shared" si="87"/>
        <v>1.1666666666666667</v>
      </c>
      <c r="UM81" s="167">
        <f t="shared" si="87"/>
        <v>1.1666666666666667</v>
      </c>
      <c r="UN81" s="167">
        <f t="shared" si="87"/>
        <v>1.1666666666666667</v>
      </c>
      <c r="UO81" s="167">
        <f t="shared" si="87"/>
        <v>1.1666666666666667</v>
      </c>
      <c r="UP81" s="167">
        <f t="shared" si="87"/>
        <v>1.1666666666666667</v>
      </c>
      <c r="UQ81" s="167">
        <f t="shared" si="87"/>
        <v>1.1666666666666667</v>
      </c>
      <c r="UR81" s="167">
        <f t="shared" si="87"/>
        <v>1.1666666666666667</v>
      </c>
      <c r="US81" s="167">
        <f t="shared" si="87"/>
        <v>1.1666666666666667</v>
      </c>
      <c r="UT81" s="167">
        <f t="shared" si="87"/>
        <v>1.1666666666666667</v>
      </c>
      <c r="UU81" s="167">
        <f t="shared" si="87"/>
        <v>1.1666666666666667</v>
      </c>
      <c r="UV81" s="167">
        <f t="shared" si="87"/>
        <v>1.1666666666666667</v>
      </c>
      <c r="UW81" s="167">
        <f t="shared" si="87"/>
        <v>1.1666666666666667</v>
      </c>
      <c r="UX81" s="167">
        <f t="shared" si="87"/>
        <v>1.1666666666666667</v>
      </c>
      <c r="UY81" s="167">
        <f t="shared" si="87"/>
        <v>1.1666666666666667</v>
      </c>
      <c r="UZ81" s="167">
        <f t="shared" si="87"/>
        <v>1.1666666666666667</v>
      </c>
      <c r="VA81" s="167">
        <f t="shared" si="87"/>
        <v>1.1666666666666667</v>
      </c>
      <c r="VB81" s="167">
        <f t="shared" si="87"/>
        <v>1.1666666666666667</v>
      </c>
      <c r="VC81" s="167">
        <f t="shared" si="87"/>
        <v>1.1666666666666667</v>
      </c>
      <c r="VD81" s="167">
        <f t="shared" si="87"/>
        <v>1.1666666666666667</v>
      </c>
      <c r="VE81" s="167">
        <f t="shared" si="87"/>
        <v>1.1666666666666667</v>
      </c>
      <c r="VF81" s="167">
        <f t="shared" si="87"/>
        <v>1.1666666666666667</v>
      </c>
      <c r="VG81" s="167">
        <f t="shared" si="87"/>
        <v>1.1666666666666667</v>
      </c>
      <c r="VH81" s="167">
        <f t="shared" si="87"/>
        <v>1.1666666666666667</v>
      </c>
      <c r="VI81" s="167">
        <f t="shared" si="87"/>
        <v>1.1666666666666667</v>
      </c>
      <c r="VJ81" s="167">
        <f t="shared" si="87"/>
        <v>1.1666666666666667</v>
      </c>
      <c r="VK81" s="167">
        <f t="shared" si="87"/>
        <v>1.1666666666666667</v>
      </c>
      <c r="VL81" s="167">
        <f t="shared" si="87"/>
        <v>1.1666666666666667</v>
      </c>
      <c r="VM81" s="167">
        <f t="shared" si="87"/>
        <v>1.1666666666666667</v>
      </c>
      <c r="VN81" s="167">
        <f t="shared" si="87"/>
        <v>1.1666666666666667</v>
      </c>
      <c r="VO81" s="167">
        <f t="shared" si="87"/>
        <v>1.1666666666666667</v>
      </c>
      <c r="VP81" s="167">
        <f t="shared" si="87"/>
        <v>1.1666666666666667</v>
      </c>
      <c r="VQ81" s="167">
        <f t="shared" si="87"/>
        <v>1.1666666666666667</v>
      </c>
      <c r="VR81" s="167">
        <f t="shared" si="87"/>
        <v>1.1666666666666667</v>
      </c>
      <c r="VS81" s="167">
        <f t="shared" si="87"/>
        <v>1.1666666666666667</v>
      </c>
      <c r="VT81" s="167">
        <f t="shared" si="87"/>
        <v>1.1666666666666667</v>
      </c>
      <c r="VU81" s="167">
        <f t="shared" ref="VU81:YF81" si="88">VU79/VU78</f>
        <v>1.1666666666666667</v>
      </c>
      <c r="VV81" s="167">
        <f t="shared" si="88"/>
        <v>1.1666666666666667</v>
      </c>
      <c r="VW81" s="167">
        <f t="shared" si="88"/>
        <v>1.1666666666666667</v>
      </c>
      <c r="VX81" s="167">
        <f t="shared" si="88"/>
        <v>1.1666666666666667</v>
      </c>
      <c r="VY81" s="167">
        <f t="shared" si="88"/>
        <v>1.1666666666666667</v>
      </c>
      <c r="VZ81" s="167">
        <f t="shared" si="88"/>
        <v>1.1666666666666667</v>
      </c>
      <c r="WA81" s="167">
        <f t="shared" si="88"/>
        <v>1.1666666666666667</v>
      </c>
      <c r="WB81" s="167">
        <f t="shared" si="88"/>
        <v>1.1666666666666667</v>
      </c>
      <c r="WC81" s="167">
        <f t="shared" si="88"/>
        <v>1.1666666666666667</v>
      </c>
      <c r="WD81" s="167">
        <f t="shared" si="88"/>
        <v>1.1666666666666667</v>
      </c>
      <c r="WE81" s="167">
        <f t="shared" si="88"/>
        <v>1.1666666666666667</v>
      </c>
      <c r="WF81" s="167">
        <f t="shared" si="88"/>
        <v>1.1666666666666667</v>
      </c>
      <c r="WG81" s="167">
        <f t="shared" si="88"/>
        <v>1.1666666666666667</v>
      </c>
      <c r="WH81" s="167">
        <f t="shared" si="88"/>
        <v>1.1666666666666667</v>
      </c>
      <c r="WI81" s="167">
        <f t="shared" si="88"/>
        <v>1.1666666666666667</v>
      </c>
      <c r="WJ81" s="167">
        <f t="shared" si="88"/>
        <v>1.1666666666666667</v>
      </c>
      <c r="WK81" s="167">
        <f t="shared" si="88"/>
        <v>1.1666666666666667</v>
      </c>
      <c r="WL81" s="167">
        <f t="shared" si="88"/>
        <v>1.1666666666666667</v>
      </c>
      <c r="WM81" s="167">
        <f t="shared" si="88"/>
        <v>1.1666666666666667</v>
      </c>
      <c r="WN81" s="167">
        <f t="shared" si="88"/>
        <v>1.1666666666666667</v>
      </c>
      <c r="WO81" s="167">
        <f t="shared" si="88"/>
        <v>1.1666666666666667</v>
      </c>
      <c r="WP81" s="167">
        <f t="shared" si="88"/>
        <v>1.1666666666666667</v>
      </c>
      <c r="WQ81" s="167">
        <f t="shared" si="88"/>
        <v>1.1666666666666667</v>
      </c>
      <c r="WR81" s="167">
        <f t="shared" si="88"/>
        <v>1.1666666666666667</v>
      </c>
      <c r="WS81" s="167">
        <f t="shared" si="88"/>
        <v>1.1666666666666667</v>
      </c>
      <c r="WT81" s="167">
        <f t="shared" si="88"/>
        <v>1.1666666666666667</v>
      </c>
      <c r="WU81" s="167">
        <f t="shared" si="88"/>
        <v>1.1666666666666667</v>
      </c>
      <c r="WV81" s="167">
        <f t="shared" si="88"/>
        <v>1.1666666666666667</v>
      </c>
      <c r="WW81" s="167">
        <f t="shared" si="88"/>
        <v>1.1666666666666667</v>
      </c>
      <c r="WX81" s="167">
        <f t="shared" si="88"/>
        <v>1.1666666666666667</v>
      </c>
      <c r="WY81" s="167">
        <f t="shared" si="88"/>
        <v>1.1666666666666667</v>
      </c>
      <c r="WZ81" s="167">
        <f t="shared" si="88"/>
        <v>1.1666666666666667</v>
      </c>
      <c r="XA81" s="167">
        <f t="shared" si="88"/>
        <v>1.1666666666666667</v>
      </c>
      <c r="XB81" s="167">
        <f t="shared" si="88"/>
        <v>1.1666666666666667</v>
      </c>
      <c r="XC81" s="167">
        <f t="shared" si="88"/>
        <v>1.1666666666666667</v>
      </c>
      <c r="XD81" s="167">
        <f t="shared" si="88"/>
        <v>1.1666666666666667</v>
      </c>
      <c r="XE81" s="167">
        <f t="shared" si="88"/>
        <v>1.1666666666666667</v>
      </c>
      <c r="XF81" s="167">
        <f t="shared" si="88"/>
        <v>1.1666666666666667</v>
      </c>
      <c r="XG81" s="167">
        <f t="shared" si="88"/>
        <v>1.1666666666666667</v>
      </c>
      <c r="XH81" s="167">
        <f t="shared" si="88"/>
        <v>1.1666666666666667</v>
      </c>
      <c r="XI81" s="167">
        <f t="shared" si="88"/>
        <v>1.1666666666666667</v>
      </c>
      <c r="XJ81" s="167">
        <f t="shared" si="88"/>
        <v>1.1666666666666667</v>
      </c>
      <c r="XK81" s="167">
        <f t="shared" si="88"/>
        <v>1.1666666666666667</v>
      </c>
      <c r="XL81" s="167">
        <f t="shared" si="88"/>
        <v>1.1666666666666667</v>
      </c>
      <c r="XM81" s="167">
        <f t="shared" si="88"/>
        <v>1.1666666666666667</v>
      </c>
      <c r="XN81" s="167">
        <f t="shared" si="88"/>
        <v>1.1666666666666667</v>
      </c>
      <c r="XO81" s="167">
        <f t="shared" si="88"/>
        <v>1.1666666666666667</v>
      </c>
      <c r="XP81" s="167">
        <f t="shared" si="88"/>
        <v>1.1666666666666667</v>
      </c>
      <c r="XQ81" s="167">
        <f t="shared" si="88"/>
        <v>1.1666666666666667</v>
      </c>
      <c r="XR81" s="167">
        <f t="shared" si="88"/>
        <v>1.1666666666666667</v>
      </c>
      <c r="XS81" s="167">
        <f t="shared" si="88"/>
        <v>1.1666666666666667</v>
      </c>
      <c r="XT81" s="167">
        <f t="shared" si="88"/>
        <v>1.1666666666666667</v>
      </c>
      <c r="XU81" s="167">
        <f t="shared" si="88"/>
        <v>1.1666666666666667</v>
      </c>
      <c r="XV81" s="167">
        <f t="shared" si="88"/>
        <v>1.1666666666666667</v>
      </c>
      <c r="XW81" s="167">
        <f t="shared" si="88"/>
        <v>1.1666666666666667</v>
      </c>
      <c r="XX81" s="167">
        <f t="shared" si="88"/>
        <v>1.1666666666666667</v>
      </c>
      <c r="XY81" s="167">
        <f t="shared" si="88"/>
        <v>1.1666666666666667</v>
      </c>
      <c r="XZ81" s="167">
        <f t="shared" si="88"/>
        <v>1.1666666666666667</v>
      </c>
      <c r="YA81" s="167">
        <f t="shared" si="88"/>
        <v>1.1666666666666667</v>
      </c>
      <c r="YB81" s="167">
        <f t="shared" si="88"/>
        <v>1.1666666666666667</v>
      </c>
      <c r="YC81" s="167">
        <f t="shared" si="88"/>
        <v>1.1666666666666667</v>
      </c>
      <c r="YD81" s="167">
        <f t="shared" si="88"/>
        <v>1.1666666666666667</v>
      </c>
      <c r="YE81" s="167">
        <f t="shared" si="88"/>
        <v>1.1666666666666667</v>
      </c>
      <c r="YF81" s="167">
        <f t="shared" si="88"/>
        <v>1.1666666666666667</v>
      </c>
      <c r="YG81" s="167">
        <f t="shared" ref="YG81:AAR81" si="89">YG79/YG78</f>
        <v>1.1666666666666667</v>
      </c>
      <c r="YH81" s="167">
        <f t="shared" si="89"/>
        <v>1.1666666666666667</v>
      </c>
      <c r="YI81" s="167">
        <f t="shared" si="89"/>
        <v>1.1666666666666667</v>
      </c>
      <c r="YJ81" s="167">
        <f t="shared" si="89"/>
        <v>1.1666666666666667</v>
      </c>
      <c r="YK81" s="167">
        <f t="shared" si="89"/>
        <v>1.1666666666666667</v>
      </c>
      <c r="YL81" s="167">
        <f t="shared" si="89"/>
        <v>1.1666666666666667</v>
      </c>
      <c r="YM81" s="167">
        <f t="shared" si="89"/>
        <v>1.1666666666666667</v>
      </c>
      <c r="YN81" s="167">
        <f t="shared" si="89"/>
        <v>1.1666666666666667</v>
      </c>
      <c r="YO81" s="167">
        <f t="shared" si="89"/>
        <v>1.1666666666666667</v>
      </c>
      <c r="YP81" s="167">
        <f t="shared" si="89"/>
        <v>1.1666666666666667</v>
      </c>
      <c r="YQ81" s="167">
        <f t="shared" si="89"/>
        <v>1.1666666666666667</v>
      </c>
      <c r="YR81" s="167">
        <f t="shared" si="89"/>
        <v>1.1666666666666667</v>
      </c>
      <c r="YS81" s="167">
        <f t="shared" si="89"/>
        <v>1.1666666666666667</v>
      </c>
      <c r="YT81" s="167">
        <f t="shared" si="89"/>
        <v>1.1666666666666667</v>
      </c>
      <c r="YU81" s="167">
        <f t="shared" si="89"/>
        <v>1.1666666666666667</v>
      </c>
      <c r="YV81" s="167">
        <f t="shared" si="89"/>
        <v>1.1666666666666667</v>
      </c>
      <c r="YW81" s="167">
        <f t="shared" si="89"/>
        <v>1.1666666666666667</v>
      </c>
      <c r="YX81" s="167">
        <f t="shared" si="89"/>
        <v>1.1666666666666667</v>
      </c>
      <c r="YY81" s="167">
        <f t="shared" si="89"/>
        <v>1.1666666666666667</v>
      </c>
      <c r="YZ81" s="167">
        <f t="shared" si="89"/>
        <v>1.1666666666666667</v>
      </c>
      <c r="ZA81" s="167">
        <f t="shared" si="89"/>
        <v>1.1666666666666667</v>
      </c>
      <c r="ZB81" s="167">
        <f t="shared" si="89"/>
        <v>1.1666666666666667</v>
      </c>
      <c r="ZC81" s="167">
        <f t="shared" si="89"/>
        <v>1.1666666666666667</v>
      </c>
      <c r="ZD81" s="167">
        <f t="shared" si="89"/>
        <v>1.1666666666666667</v>
      </c>
      <c r="ZE81" s="167">
        <f t="shared" si="89"/>
        <v>1.1666666666666667</v>
      </c>
      <c r="ZF81" s="167">
        <f t="shared" si="89"/>
        <v>1.1666666666666667</v>
      </c>
      <c r="ZG81" s="167">
        <f t="shared" si="89"/>
        <v>1.1666666666666667</v>
      </c>
      <c r="ZH81" s="167">
        <f t="shared" si="89"/>
        <v>1.1666666666666667</v>
      </c>
      <c r="ZI81" s="167">
        <f t="shared" si="89"/>
        <v>1.1666666666666667</v>
      </c>
      <c r="ZJ81" s="167">
        <f t="shared" si="89"/>
        <v>1.1666666666666667</v>
      </c>
      <c r="ZK81" s="167">
        <f t="shared" si="89"/>
        <v>1.1666666666666667</v>
      </c>
      <c r="ZL81" s="167">
        <f t="shared" si="89"/>
        <v>1.1666666666666667</v>
      </c>
      <c r="ZM81" s="167">
        <f t="shared" si="89"/>
        <v>1.1666666666666667</v>
      </c>
      <c r="ZN81" s="167">
        <f t="shared" si="89"/>
        <v>1.1666666666666667</v>
      </c>
      <c r="ZO81" s="167">
        <f t="shared" si="89"/>
        <v>1.1666666666666667</v>
      </c>
      <c r="ZP81" s="167">
        <f t="shared" si="89"/>
        <v>1.1666666666666667</v>
      </c>
      <c r="ZQ81" s="167">
        <f t="shared" si="89"/>
        <v>1.1666666666666667</v>
      </c>
      <c r="ZR81" s="167">
        <f t="shared" si="89"/>
        <v>1.1666666666666667</v>
      </c>
      <c r="ZS81" s="167">
        <f t="shared" si="89"/>
        <v>1.1666666666666667</v>
      </c>
      <c r="ZT81" s="167">
        <f t="shared" si="89"/>
        <v>1.1666666666666667</v>
      </c>
      <c r="ZU81" s="167">
        <f t="shared" si="89"/>
        <v>1.1666666666666667</v>
      </c>
      <c r="ZV81" s="167">
        <f t="shared" si="89"/>
        <v>1.1666666666666667</v>
      </c>
      <c r="ZW81" s="167">
        <f t="shared" si="89"/>
        <v>1.1666666666666667</v>
      </c>
      <c r="ZX81" s="167">
        <f t="shared" si="89"/>
        <v>1.1666666666666667</v>
      </c>
      <c r="ZY81" s="167">
        <f t="shared" si="89"/>
        <v>1.1666666666666667</v>
      </c>
      <c r="ZZ81" s="167">
        <f t="shared" si="89"/>
        <v>1.1666666666666667</v>
      </c>
      <c r="AAA81" s="167">
        <f t="shared" si="89"/>
        <v>1.1666666666666667</v>
      </c>
      <c r="AAB81" s="167">
        <f t="shared" si="89"/>
        <v>1.1666666666666667</v>
      </c>
      <c r="AAC81" s="167">
        <f t="shared" si="89"/>
        <v>1.1666666666666667</v>
      </c>
      <c r="AAD81" s="167">
        <f t="shared" si="89"/>
        <v>1.1666666666666667</v>
      </c>
      <c r="AAE81" s="167">
        <f t="shared" si="89"/>
        <v>1.1666666666666667</v>
      </c>
      <c r="AAF81" s="167">
        <f t="shared" si="89"/>
        <v>1.1666666666666667</v>
      </c>
      <c r="AAG81" s="167">
        <f t="shared" si="89"/>
        <v>1.1666666666666667</v>
      </c>
      <c r="AAH81" s="167">
        <f t="shared" si="89"/>
        <v>1.1666666666666667</v>
      </c>
      <c r="AAI81" s="167">
        <f t="shared" si="89"/>
        <v>1.1666666666666667</v>
      </c>
      <c r="AAJ81" s="167">
        <f t="shared" si="89"/>
        <v>1.1666666666666667</v>
      </c>
      <c r="AAK81" s="167">
        <f t="shared" si="89"/>
        <v>1.1666666666666667</v>
      </c>
      <c r="AAL81" s="167">
        <f t="shared" si="89"/>
        <v>1.1666666666666667</v>
      </c>
      <c r="AAM81" s="167">
        <f t="shared" si="89"/>
        <v>1.1666666666666667</v>
      </c>
      <c r="AAN81" s="167">
        <f t="shared" si="89"/>
        <v>1.1666666666666667</v>
      </c>
      <c r="AAO81" s="167">
        <f t="shared" si="89"/>
        <v>1.1666666666666667</v>
      </c>
      <c r="AAP81" s="167">
        <f t="shared" si="89"/>
        <v>1.1666666666666667</v>
      </c>
      <c r="AAQ81" s="167">
        <f t="shared" si="89"/>
        <v>1.1666666666666667</v>
      </c>
      <c r="AAR81" s="167">
        <f t="shared" si="89"/>
        <v>1.1666666666666667</v>
      </c>
      <c r="AAS81" s="167">
        <f t="shared" ref="AAS81:ABR81" si="90">AAS79/AAS78</f>
        <v>1.1666666666666667</v>
      </c>
      <c r="AAT81" s="167">
        <f t="shared" si="90"/>
        <v>1.1666666666666667</v>
      </c>
      <c r="AAU81" s="167">
        <f t="shared" si="90"/>
        <v>1.1666666666666667</v>
      </c>
      <c r="AAV81" s="167">
        <f t="shared" si="90"/>
        <v>1.1666666666666667</v>
      </c>
      <c r="AAW81" s="167">
        <f t="shared" si="90"/>
        <v>1.1666666666666667</v>
      </c>
      <c r="AAX81" s="167">
        <f t="shared" si="90"/>
        <v>1.1666666666666667</v>
      </c>
      <c r="AAY81" s="167">
        <f t="shared" si="90"/>
        <v>1.1666666666666667</v>
      </c>
      <c r="AAZ81" s="167">
        <f t="shared" si="90"/>
        <v>1.1666666666666667</v>
      </c>
      <c r="ABA81" s="167">
        <f t="shared" si="90"/>
        <v>1.1666666666666667</v>
      </c>
      <c r="ABB81" s="167">
        <f t="shared" si="90"/>
        <v>1.1666666666666667</v>
      </c>
      <c r="ABC81" s="167">
        <f t="shared" si="90"/>
        <v>1.1666666666666667</v>
      </c>
      <c r="ABD81" s="167">
        <f t="shared" si="90"/>
        <v>1.1666666666666667</v>
      </c>
      <c r="ABE81" s="167">
        <f t="shared" si="90"/>
        <v>1.1666666666666667</v>
      </c>
      <c r="ABF81" s="167">
        <f t="shared" si="90"/>
        <v>1.1666666666666667</v>
      </c>
      <c r="ABG81" s="167">
        <f t="shared" si="90"/>
        <v>1.1666666666666667</v>
      </c>
      <c r="ABH81" s="167">
        <f t="shared" si="90"/>
        <v>1.1666666666666667</v>
      </c>
      <c r="ABI81" s="167">
        <f t="shared" si="90"/>
        <v>1.1666666666666667</v>
      </c>
      <c r="ABJ81" s="167">
        <f t="shared" si="90"/>
        <v>1.1666666666666667</v>
      </c>
      <c r="ABK81" s="167">
        <f t="shared" si="90"/>
        <v>1.1666666666666667</v>
      </c>
      <c r="ABL81" s="167">
        <f t="shared" si="90"/>
        <v>1.1666666666666667</v>
      </c>
      <c r="ABM81" s="167">
        <f t="shared" si="90"/>
        <v>1.1666666666666667</v>
      </c>
      <c r="ABN81" s="167">
        <f t="shared" si="90"/>
        <v>1.1666666666666667</v>
      </c>
      <c r="ABO81" s="167">
        <f t="shared" si="90"/>
        <v>1.1666666666666667</v>
      </c>
      <c r="ABP81" s="167">
        <f t="shared" si="90"/>
        <v>1.1666666666666667</v>
      </c>
      <c r="ABQ81" s="167">
        <f t="shared" si="90"/>
        <v>1.1666666666666667</v>
      </c>
      <c r="ABR81" s="167">
        <f t="shared" si="90"/>
        <v>1.1666666666666667</v>
      </c>
    </row>
    <row r="82" spans="1:746" customFormat="1" x14ac:dyDescent="0.3">
      <c r="A82" s="123"/>
      <c r="B82" s="123"/>
      <c r="C82" s="123"/>
      <c r="D82" s="168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</row>
    <row r="83" spans="1:746" customFormat="1" x14ac:dyDescent="0.3">
      <c r="A83" s="2"/>
      <c r="B83" s="3"/>
      <c r="D83" s="169"/>
      <c r="P83" s="4"/>
    </row>
    <row r="84" spans="1:746" customFormat="1" x14ac:dyDescent="0.3">
      <c r="A84" s="2"/>
      <c r="B84" s="3"/>
      <c r="P84" s="4"/>
    </row>
    <row r="85" spans="1:746" customFormat="1" x14ac:dyDescent="0.3">
      <c r="A85" s="2"/>
      <c r="B85" s="3"/>
      <c r="P85" s="4"/>
    </row>
    <row r="86" spans="1:746" customFormat="1" x14ac:dyDescent="0.3">
      <c r="A86" s="2"/>
      <c r="B86" s="3"/>
      <c r="P86" s="4"/>
    </row>
    <row r="87" spans="1:746" customFormat="1" x14ac:dyDescent="0.3">
      <c r="A87" s="2"/>
      <c r="B87" s="3"/>
      <c r="P87" s="4"/>
    </row>
    <row r="88" spans="1:746" customFormat="1" x14ac:dyDescent="0.3">
      <c r="A88" s="2"/>
      <c r="B88" s="3"/>
      <c r="P88" s="4"/>
    </row>
    <row r="89" spans="1:746" customFormat="1" x14ac:dyDescent="0.3">
      <c r="A89" s="2"/>
      <c r="B89" s="3"/>
      <c r="P89" s="4"/>
    </row>
    <row r="90" spans="1:746" customFormat="1" x14ac:dyDescent="0.3">
      <c r="A90" s="2"/>
      <c r="B90" s="3"/>
      <c r="P90" s="4"/>
    </row>
    <row r="91" spans="1:746" customFormat="1" x14ac:dyDescent="0.3">
      <c r="A91" s="2"/>
      <c r="B91" s="3"/>
      <c r="P91" s="4"/>
    </row>
    <row r="92" spans="1:746" customFormat="1" x14ac:dyDescent="0.3">
      <c r="A92" s="2"/>
      <c r="B92" s="3"/>
      <c r="P92" s="4"/>
    </row>
    <row r="93" spans="1:746" customFormat="1" x14ac:dyDescent="0.3">
      <c r="A93" s="2"/>
      <c r="B93" s="3"/>
      <c r="P93" s="4"/>
    </row>
    <row r="94" spans="1:746" customFormat="1" x14ac:dyDescent="0.3">
      <c r="A94" s="2"/>
      <c r="B94" s="3"/>
      <c r="P94" s="4"/>
    </row>
    <row r="95" spans="1:746" customFormat="1" x14ac:dyDescent="0.3">
      <c r="A95" s="2"/>
      <c r="B95" s="3"/>
      <c r="P95" s="4"/>
    </row>
    <row r="96" spans="1:746" customFormat="1" x14ac:dyDescent="0.3">
      <c r="A96" s="2"/>
      <c r="B96" s="3"/>
      <c r="P96" s="4"/>
    </row>
    <row r="97" spans="1:16" customFormat="1" x14ac:dyDescent="0.3">
      <c r="A97" s="2"/>
      <c r="B97" s="3"/>
      <c r="P97" s="4"/>
    </row>
    <row r="98" spans="1:16" customFormat="1" x14ac:dyDescent="0.3">
      <c r="A98" s="2"/>
      <c r="B98" s="3"/>
      <c r="P98" s="4"/>
    </row>
    <row r="99" spans="1:16" customFormat="1" x14ac:dyDescent="0.3">
      <c r="A99" s="2"/>
      <c r="B99" s="3"/>
      <c r="P99" s="4"/>
    </row>
    <row r="100" spans="1:16" customFormat="1" x14ac:dyDescent="0.3">
      <c r="A100" s="2"/>
      <c r="B100" s="3"/>
      <c r="P100" s="4"/>
    </row>
    <row r="101" spans="1:16" customFormat="1" x14ac:dyDescent="0.3">
      <c r="A101" s="2"/>
      <c r="B101" s="3"/>
      <c r="P101" s="4"/>
    </row>
    <row r="102" spans="1:16" customFormat="1" x14ac:dyDescent="0.3">
      <c r="A102" s="2"/>
      <c r="B102" s="3"/>
      <c r="P102" s="4"/>
    </row>
    <row r="103" spans="1:16" customFormat="1" x14ac:dyDescent="0.3">
      <c r="A103" s="2"/>
      <c r="B103" s="3"/>
      <c r="P103" s="4"/>
    </row>
    <row r="104" spans="1:16" customFormat="1" x14ac:dyDescent="0.3">
      <c r="A104" s="2"/>
      <c r="B104" s="3"/>
      <c r="P104" s="4"/>
    </row>
    <row r="105" spans="1:16" customFormat="1" x14ac:dyDescent="0.3">
      <c r="A105" s="2"/>
      <c r="B105" s="3"/>
      <c r="P105" s="4"/>
    </row>
    <row r="106" spans="1:16" customFormat="1" x14ac:dyDescent="0.3">
      <c r="A106" s="2"/>
      <c r="B106" s="3"/>
      <c r="P106" s="4"/>
    </row>
    <row r="107" spans="1:16" customFormat="1" x14ac:dyDescent="0.3">
      <c r="A107" s="2"/>
      <c r="B107" s="3"/>
      <c r="P107" s="4"/>
    </row>
    <row r="108" spans="1:16" customFormat="1" x14ac:dyDescent="0.3">
      <c r="A108" s="2"/>
      <c r="B108" s="3"/>
      <c r="P108" s="4"/>
    </row>
    <row r="109" spans="1:16" customFormat="1" x14ac:dyDescent="0.3">
      <c r="A109" s="2"/>
      <c r="B109" s="3"/>
      <c r="P109" s="4"/>
    </row>
    <row r="110" spans="1:16" customFormat="1" x14ac:dyDescent="0.3">
      <c r="A110" s="2"/>
      <c r="B110" s="3"/>
      <c r="P110" s="4"/>
    </row>
    <row r="111" spans="1:16" customFormat="1" x14ac:dyDescent="0.3">
      <c r="A111" s="2"/>
      <c r="B111" s="3"/>
      <c r="P111" s="4"/>
    </row>
    <row r="112" spans="1:16" customFormat="1" x14ac:dyDescent="0.3">
      <c r="A112" s="2"/>
      <c r="B112" s="3"/>
      <c r="P112" s="4"/>
    </row>
    <row r="113" spans="1:16" customFormat="1" x14ac:dyDescent="0.3">
      <c r="A113" s="2"/>
      <c r="B113" s="3"/>
      <c r="P113" s="4"/>
    </row>
    <row r="114" spans="1:16" customFormat="1" x14ac:dyDescent="0.3">
      <c r="A114" s="2"/>
      <c r="B114" s="3"/>
      <c r="P114" s="4"/>
    </row>
    <row r="115" spans="1:16" customFormat="1" x14ac:dyDescent="0.3">
      <c r="A115" s="2"/>
      <c r="B115" s="3"/>
      <c r="P115" s="4"/>
    </row>
    <row r="116" spans="1:16" customFormat="1" x14ac:dyDescent="0.3">
      <c r="A116" s="2"/>
      <c r="B116" s="3"/>
      <c r="P116" s="4"/>
    </row>
    <row r="117" spans="1:16" customFormat="1" x14ac:dyDescent="0.3">
      <c r="A117" s="2"/>
      <c r="B117" s="3"/>
      <c r="P117" s="4"/>
    </row>
    <row r="118" spans="1:16" customFormat="1" x14ac:dyDescent="0.3">
      <c r="A118" s="2"/>
      <c r="B118" s="3"/>
      <c r="P118" s="4"/>
    </row>
    <row r="119" spans="1:16" customFormat="1" x14ac:dyDescent="0.3">
      <c r="A119" s="2"/>
      <c r="B119" s="3"/>
      <c r="P119" s="4"/>
    </row>
    <row r="120" spans="1:16" customFormat="1" x14ac:dyDescent="0.3">
      <c r="A120" s="2"/>
      <c r="B120" s="3"/>
      <c r="P120" s="4"/>
    </row>
    <row r="121" spans="1:16" customFormat="1" x14ac:dyDescent="0.3">
      <c r="A121" s="2"/>
      <c r="B121" s="3"/>
      <c r="P121" s="4"/>
    </row>
    <row r="122" spans="1:16" customFormat="1" x14ac:dyDescent="0.3">
      <c r="A122" s="2"/>
      <c r="B122" s="3"/>
      <c r="P122" s="4"/>
    </row>
    <row r="123" spans="1:16" customFormat="1" x14ac:dyDescent="0.3">
      <c r="A123" s="2"/>
      <c r="B123" s="3"/>
      <c r="P123" s="4"/>
    </row>
    <row r="124" spans="1:16" customFormat="1" x14ac:dyDescent="0.3">
      <c r="A124" s="2"/>
      <c r="B124" s="3"/>
      <c r="P124" s="4"/>
    </row>
    <row r="125" spans="1:16" customFormat="1" x14ac:dyDescent="0.3">
      <c r="A125" s="2"/>
      <c r="B125" s="3"/>
      <c r="P125" s="4"/>
    </row>
    <row r="126" spans="1:16" customFormat="1" x14ac:dyDescent="0.3">
      <c r="A126" s="2"/>
      <c r="B126" s="3"/>
      <c r="P126" s="4"/>
    </row>
    <row r="127" spans="1:16" customFormat="1" x14ac:dyDescent="0.3">
      <c r="A127" s="2"/>
      <c r="B127" s="3"/>
      <c r="P127" s="4"/>
    </row>
    <row r="128" spans="1:16" customFormat="1" x14ac:dyDescent="0.3">
      <c r="A128" s="2"/>
      <c r="B128" s="3"/>
      <c r="P128" s="4"/>
    </row>
    <row r="129" spans="1:16" customFormat="1" x14ac:dyDescent="0.3">
      <c r="A129" s="2"/>
      <c r="B129" s="3"/>
      <c r="P129" s="4"/>
    </row>
    <row r="130" spans="1:16" customFormat="1" x14ac:dyDescent="0.3">
      <c r="A130" s="2"/>
      <c r="B130" s="3"/>
      <c r="P130" s="4"/>
    </row>
    <row r="131" spans="1:16" customFormat="1" x14ac:dyDescent="0.3">
      <c r="A131" s="2"/>
      <c r="B131" s="3"/>
      <c r="P131" s="4"/>
    </row>
    <row r="132" spans="1:16" customFormat="1" x14ac:dyDescent="0.3">
      <c r="A132" s="2"/>
      <c r="B132" s="3"/>
      <c r="P132" s="4"/>
    </row>
    <row r="133" spans="1:16" customFormat="1" x14ac:dyDescent="0.3">
      <c r="A133" s="2"/>
      <c r="B133" s="3"/>
      <c r="P133" s="4"/>
    </row>
    <row r="134" spans="1:16" customFormat="1" x14ac:dyDescent="0.3">
      <c r="A134" s="2"/>
      <c r="B134" s="3"/>
      <c r="P134" s="4"/>
    </row>
    <row r="135" spans="1:16" customFormat="1" x14ac:dyDescent="0.3">
      <c r="A135" s="2"/>
      <c r="B135" s="3"/>
      <c r="P135" s="4"/>
    </row>
    <row r="136" spans="1:16" customFormat="1" x14ac:dyDescent="0.3">
      <c r="A136" s="2"/>
      <c r="B136" s="3"/>
      <c r="P136" s="4"/>
    </row>
    <row r="137" spans="1:16" customFormat="1" x14ac:dyDescent="0.3">
      <c r="A137" s="2"/>
      <c r="B137" s="3"/>
      <c r="P137" s="4"/>
    </row>
    <row r="138" spans="1:16" customFormat="1" x14ac:dyDescent="0.3">
      <c r="A138" s="2"/>
      <c r="B138" s="3"/>
      <c r="P138" s="4"/>
    </row>
    <row r="139" spans="1:16" customFormat="1" x14ac:dyDescent="0.3">
      <c r="A139" s="2"/>
      <c r="B139" s="3"/>
      <c r="P139" s="4"/>
    </row>
    <row r="140" spans="1:16" customFormat="1" x14ac:dyDescent="0.3">
      <c r="A140" s="2"/>
      <c r="B140" s="3"/>
      <c r="P140" s="4"/>
    </row>
    <row r="141" spans="1:16" customFormat="1" x14ac:dyDescent="0.3">
      <c r="A141" s="2"/>
      <c r="B141" s="3"/>
      <c r="P141" s="4"/>
    </row>
    <row r="142" spans="1:16" customFormat="1" x14ac:dyDescent="0.3">
      <c r="A142" s="2"/>
      <c r="B142" s="3"/>
      <c r="P142" s="4"/>
    </row>
    <row r="143" spans="1:16" customFormat="1" x14ac:dyDescent="0.3">
      <c r="A143" s="2"/>
      <c r="B143" s="3"/>
      <c r="P143" s="4"/>
    </row>
    <row r="144" spans="1:16" customFormat="1" x14ac:dyDescent="0.3">
      <c r="A144" s="2"/>
      <c r="B144" s="3"/>
      <c r="P144" s="4"/>
    </row>
    <row r="145" spans="1:16" customFormat="1" x14ac:dyDescent="0.3">
      <c r="A145" s="2"/>
      <c r="B145" s="3"/>
      <c r="P145" s="4"/>
    </row>
    <row r="146" spans="1:16" customFormat="1" x14ac:dyDescent="0.3">
      <c r="A146" s="2"/>
      <c r="B146" s="3"/>
      <c r="P146" s="4"/>
    </row>
    <row r="147" spans="1:16" customFormat="1" x14ac:dyDescent="0.3">
      <c r="A147" s="2"/>
      <c r="B147" s="3"/>
      <c r="P147" s="4"/>
    </row>
    <row r="148" spans="1:16" customFormat="1" x14ac:dyDescent="0.3">
      <c r="A148" s="2"/>
      <c r="B148" s="3"/>
      <c r="P148" s="4"/>
    </row>
    <row r="149" spans="1:16" customFormat="1" x14ac:dyDescent="0.3">
      <c r="A149" s="2"/>
      <c r="B149" s="3"/>
      <c r="P149" s="4"/>
    </row>
    <row r="150" spans="1:16" customFormat="1" x14ac:dyDescent="0.3">
      <c r="A150" s="2"/>
      <c r="B150" s="3"/>
      <c r="P150" s="4"/>
    </row>
    <row r="151" spans="1:16" customFormat="1" x14ac:dyDescent="0.3">
      <c r="A151" s="2"/>
      <c r="B151" s="3"/>
      <c r="P151" s="4"/>
    </row>
    <row r="152" spans="1:16" customFormat="1" x14ac:dyDescent="0.3">
      <c r="A152" s="2"/>
      <c r="B152" s="3"/>
      <c r="P152" s="4"/>
    </row>
    <row r="153" spans="1:16" customFormat="1" x14ac:dyDescent="0.3">
      <c r="A153" s="2"/>
      <c r="B153" s="3"/>
      <c r="P153" s="4"/>
    </row>
    <row r="154" spans="1:16" customFormat="1" x14ac:dyDescent="0.3">
      <c r="A154" s="2"/>
      <c r="B154" s="3"/>
      <c r="P154" s="4"/>
    </row>
    <row r="155" spans="1:16" customFormat="1" x14ac:dyDescent="0.3">
      <c r="A155" s="2"/>
      <c r="B155" s="3"/>
      <c r="P155" s="4"/>
    </row>
    <row r="156" spans="1:16" customFormat="1" x14ac:dyDescent="0.3">
      <c r="A156" s="2"/>
      <c r="B156" s="3"/>
      <c r="P156" s="4"/>
    </row>
    <row r="157" spans="1:16" customFormat="1" x14ac:dyDescent="0.3">
      <c r="A157" s="2"/>
      <c r="B157" s="3"/>
      <c r="P157" s="4"/>
    </row>
    <row r="158" spans="1:16" customFormat="1" x14ac:dyDescent="0.3">
      <c r="A158" s="2"/>
      <c r="B158" s="3"/>
      <c r="P158" s="4"/>
    </row>
    <row r="159" spans="1:16" customFormat="1" x14ac:dyDescent="0.3">
      <c r="A159" s="2"/>
      <c r="B159" s="3"/>
      <c r="P159" s="4"/>
    </row>
    <row r="160" spans="1:16" customFormat="1" x14ac:dyDescent="0.3">
      <c r="A160" s="2"/>
      <c r="B160" s="3"/>
      <c r="P160" s="4"/>
    </row>
    <row r="161" spans="1:16" customFormat="1" x14ac:dyDescent="0.3">
      <c r="A161" s="2"/>
      <c r="B161" s="3"/>
      <c r="P161" s="4"/>
    </row>
    <row r="162" spans="1:16" customFormat="1" x14ac:dyDescent="0.3">
      <c r="A162" s="2"/>
      <c r="B162" s="3"/>
      <c r="P162" s="4"/>
    </row>
    <row r="163" spans="1:16" customFormat="1" x14ac:dyDescent="0.3">
      <c r="A163" s="2"/>
      <c r="B163" s="3"/>
      <c r="P163" s="4"/>
    </row>
    <row r="164" spans="1:16" customFormat="1" x14ac:dyDescent="0.3">
      <c r="A164" s="2"/>
      <c r="B164" s="3"/>
      <c r="P164" s="4"/>
    </row>
    <row r="165" spans="1:16" customFormat="1" x14ac:dyDescent="0.3">
      <c r="A165" s="2"/>
      <c r="B165" s="3"/>
      <c r="P165" s="4"/>
    </row>
    <row r="166" spans="1:16" customFormat="1" x14ac:dyDescent="0.3">
      <c r="A166" s="2"/>
      <c r="B166" s="3"/>
      <c r="P166" s="4"/>
    </row>
    <row r="167" spans="1:16" customFormat="1" x14ac:dyDescent="0.3">
      <c r="A167" s="2"/>
      <c r="B167" s="3"/>
      <c r="P167" s="4"/>
    </row>
    <row r="168" spans="1:16" customFormat="1" x14ac:dyDescent="0.3">
      <c r="A168" s="2"/>
      <c r="B168" s="3"/>
      <c r="P168" s="4"/>
    </row>
    <row r="169" spans="1:16" customFormat="1" x14ac:dyDescent="0.3">
      <c r="A169" s="2"/>
      <c r="B169" s="3"/>
      <c r="P169" s="4"/>
    </row>
    <row r="170" spans="1:16" customFormat="1" x14ac:dyDescent="0.3">
      <c r="A170" s="2"/>
      <c r="B170" s="3"/>
      <c r="P170" s="4"/>
    </row>
    <row r="171" spans="1:16" customFormat="1" x14ac:dyDescent="0.3">
      <c r="A171" s="2"/>
      <c r="B171" s="3"/>
      <c r="P171" s="4"/>
    </row>
    <row r="172" spans="1:16" customFormat="1" x14ac:dyDescent="0.3">
      <c r="A172" s="2"/>
      <c r="B172" s="3"/>
      <c r="P172" s="4"/>
    </row>
    <row r="173" spans="1:16" customFormat="1" x14ac:dyDescent="0.3">
      <c r="A173" s="2"/>
      <c r="B173" s="3"/>
      <c r="P173" s="4"/>
    </row>
    <row r="174" spans="1:16" customFormat="1" x14ac:dyDescent="0.3">
      <c r="A174" s="2"/>
      <c r="B174" s="3"/>
      <c r="P174" s="4"/>
    </row>
    <row r="175" spans="1:16" customFormat="1" x14ac:dyDescent="0.3">
      <c r="A175" s="2"/>
      <c r="B175" s="3"/>
      <c r="P175" s="4"/>
    </row>
    <row r="176" spans="1:16" customFormat="1" x14ac:dyDescent="0.3">
      <c r="A176" s="2"/>
      <c r="B176" s="3"/>
      <c r="P176" s="4"/>
    </row>
    <row r="177" spans="1:16" customFormat="1" x14ac:dyDescent="0.3">
      <c r="A177" s="2"/>
      <c r="B177" s="3"/>
      <c r="P177" s="4"/>
    </row>
    <row r="178" spans="1:16" customFormat="1" x14ac:dyDescent="0.3">
      <c r="A178" s="2"/>
      <c r="B178" s="3"/>
      <c r="P178" s="4"/>
    </row>
    <row r="179" spans="1:16" customFormat="1" x14ac:dyDescent="0.3">
      <c r="A179" s="2"/>
      <c r="B179" s="3"/>
      <c r="P179" s="4"/>
    </row>
    <row r="180" spans="1:16" customFormat="1" x14ac:dyDescent="0.3">
      <c r="A180" s="2"/>
      <c r="B180" s="3"/>
      <c r="P180" s="4"/>
    </row>
    <row r="181" spans="1:16" customFormat="1" x14ac:dyDescent="0.3">
      <c r="A181" s="2"/>
      <c r="B181" s="3"/>
      <c r="P181" s="4"/>
    </row>
    <row r="182" spans="1:16" customFormat="1" x14ac:dyDescent="0.3">
      <c r="A182" s="2"/>
      <c r="B182" s="3"/>
      <c r="P182" s="4"/>
    </row>
    <row r="183" spans="1:16" customFormat="1" x14ac:dyDescent="0.3">
      <c r="A183" s="2"/>
      <c r="B183" s="3"/>
      <c r="P183" s="4"/>
    </row>
    <row r="184" spans="1:16" customFormat="1" x14ac:dyDescent="0.3">
      <c r="A184" s="2"/>
      <c r="B184" s="3"/>
      <c r="P184" s="4"/>
    </row>
    <row r="185" spans="1:16" customFormat="1" x14ac:dyDescent="0.3">
      <c r="A185" s="2"/>
      <c r="B185" s="3"/>
      <c r="P185" s="4"/>
    </row>
    <row r="186" spans="1:16" customFormat="1" x14ac:dyDescent="0.3">
      <c r="A186" s="2"/>
      <c r="B186" s="3"/>
      <c r="P186" s="4"/>
    </row>
    <row r="187" spans="1:16" customFormat="1" x14ac:dyDescent="0.3">
      <c r="A187" s="2"/>
      <c r="B187" s="3"/>
      <c r="P187" s="4"/>
    </row>
    <row r="188" spans="1:16" customFormat="1" x14ac:dyDescent="0.3">
      <c r="A188" s="2"/>
      <c r="B188" s="3"/>
      <c r="P188" s="4"/>
    </row>
    <row r="189" spans="1:16" customFormat="1" x14ac:dyDescent="0.3">
      <c r="A189" s="2"/>
      <c r="B189" s="3"/>
      <c r="P189" s="4"/>
    </row>
    <row r="190" spans="1:16" customFormat="1" x14ac:dyDescent="0.3">
      <c r="A190" s="2"/>
      <c r="B190" s="3"/>
      <c r="P190" s="4"/>
    </row>
    <row r="191" spans="1:16" customFormat="1" x14ac:dyDescent="0.3">
      <c r="A191" s="2"/>
      <c r="B191" s="3"/>
      <c r="P191" s="4"/>
    </row>
    <row r="192" spans="1:16" customFormat="1" x14ac:dyDescent="0.3">
      <c r="A192" s="2"/>
      <c r="B192" s="3"/>
      <c r="P192" s="4"/>
    </row>
    <row r="193" spans="1:16" customFormat="1" x14ac:dyDescent="0.3">
      <c r="A193" s="2"/>
      <c r="B193" s="3"/>
      <c r="P193" s="4"/>
    </row>
    <row r="194" spans="1:16" customFormat="1" x14ac:dyDescent="0.3">
      <c r="A194" s="2"/>
      <c r="B194" s="3"/>
      <c r="P194" s="4"/>
    </row>
    <row r="195" spans="1:16" customFormat="1" x14ac:dyDescent="0.3">
      <c r="A195" s="2"/>
      <c r="B195" s="3"/>
      <c r="P195" s="4"/>
    </row>
    <row r="196" spans="1:16" customFormat="1" x14ac:dyDescent="0.3">
      <c r="A196" s="2"/>
      <c r="B196" s="3"/>
      <c r="P196" s="4"/>
    </row>
    <row r="197" spans="1:16" customFormat="1" x14ac:dyDescent="0.3">
      <c r="A197" s="2"/>
      <c r="B197" s="3"/>
      <c r="P197" s="4"/>
    </row>
    <row r="198" spans="1:16" customFormat="1" x14ac:dyDescent="0.3">
      <c r="A198" s="2"/>
      <c r="B198" s="3"/>
      <c r="P198" s="4"/>
    </row>
    <row r="199" spans="1:16" customFormat="1" x14ac:dyDescent="0.3">
      <c r="A199" s="2"/>
      <c r="B199" s="3"/>
      <c r="P199" s="4"/>
    </row>
    <row r="200" spans="1:16" customFormat="1" x14ac:dyDescent="0.3">
      <c r="A200" s="2"/>
      <c r="B200" s="3"/>
      <c r="P200" s="4"/>
    </row>
    <row r="201" spans="1:16" customFormat="1" x14ac:dyDescent="0.3">
      <c r="A201" s="2"/>
      <c r="B201" s="3"/>
      <c r="P201" s="4"/>
    </row>
    <row r="202" spans="1:16" customFormat="1" x14ac:dyDescent="0.3">
      <c r="A202" s="2"/>
      <c r="B202" s="3"/>
      <c r="P202" s="4"/>
    </row>
    <row r="203" spans="1:16" customFormat="1" x14ac:dyDescent="0.3">
      <c r="A203" s="2"/>
      <c r="B203" s="3"/>
      <c r="P203" s="4"/>
    </row>
    <row r="204" spans="1:16" customFormat="1" x14ac:dyDescent="0.3">
      <c r="A204" s="2"/>
      <c r="B204" s="3"/>
      <c r="P204" s="4"/>
    </row>
    <row r="205" spans="1:16" customFormat="1" x14ac:dyDescent="0.3">
      <c r="A205" s="2"/>
      <c r="B205" s="3"/>
      <c r="P205" s="4"/>
    </row>
    <row r="206" spans="1:16" customFormat="1" x14ac:dyDescent="0.3">
      <c r="A206" s="2"/>
      <c r="B206" s="3"/>
      <c r="P206" s="4"/>
    </row>
    <row r="207" spans="1:16" customFormat="1" x14ac:dyDescent="0.3">
      <c r="A207" s="2"/>
      <c r="B207" s="3"/>
      <c r="P207" s="4"/>
    </row>
    <row r="208" spans="1:16" customFormat="1" x14ac:dyDescent="0.3">
      <c r="A208" s="2"/>
      <c r="B208" s="3"/>
      <c r="P208" s="4"/>
    </row>
    <row r="209" spans="1:16" customFormat="1" x14ac:dyDescent="0.3">
      <c r="A209" s="2"/>
      <c r="B209" s="3"/>
      <c r="P209" s="4"/>
    </row>
    <row r="210" spans="1:16" customFormat="1" x14ac:dyDescent="0.3">
      <c r="A210" s="2"/>
      <c r="B210" s="3"/>
      <c r="P210" s="4"/>
    </row>
    <row r="211" spans="1:16" customFormat="1" x14ac:dyDescent="0.3">
      <c r="A211" s="2"/>
      <c r="B211" s="3"/>
      <c r="P211" s="4"/>
    </row>
    <row r="212" spans="1:16" customFormat="1" x14ac:dyDescent="0.3">
      <c r="A212" s="2"/>
      <c r="B212" s="3"/>
      <c r="P212" s="4"/>
    </row>
    <row r="213" spans="1:16" customFormat="1" x14ac:dyDescent="0.3">
      <c r="A213" s="2"/>
      <c r="B213" s="3"/>
      <c r="P213" s="4"/>
    </row>
    <row r="214" spans="1:16" customFormat="1" x14ac:dyDescent="0.3">
      <c r="A214" s="2"/>
      <c r="B214" s="3"/>
      <c r="P214" s="4"/>
    </row>
    <row r="215" spans="1:16" customFormat="1" x14ac:dyDescent="0.3">
      <c r="A215" s="2"/>
      <c r="B215" s="3"/>
      <c r="P215" s="4"/>
    </row>
    <row r="216" spans="1:16" customFormat="1" x14ac:dyDescent="0.3">
      <c r="A216" s="2"/>
      <c r="B216" s="3"/>
      <c r="P216" s="4"/>
    </row>
    <row r="217" spans="1:16" customFormat="1" x14ac:dyDescent="0.3">
      <c r="A217" s="2"/>
      <c r="B217" s="3"/>
      <c r="P217" s="4"/>
    </row>
    <row r="218" spans="1:16" customFormat="1" x14ac:dyDescent="0.3">
      <c r="A218" s="2"/>
      <c r="B218" s="3"/>
      <c r="P218" s="4"/>
    </row>
    <row r="219" spans="1:16" customFormat="1" x14ac:dyDescent="0.3">
      <c r="A219" s="2"/>
      <c r="B219" s="3"/>
      <c r="P219" s="4"/>
    </row>
    <row r="220" spans="1:16" customFormat="1" x14ac:dyDescent="0.3">
      <c r="A220" s="2"/>
      <c r="B220" s="3"/>
      <c r="P220" s="4"/>
    </row>
    <row r="221" spans="1:16" customFormat="1" x14ac:dyDescent="0.3">
      <c r="A221" s="2"/>
      <c r="B221" s="3"/>
      <c r="P221" s="4"/>
    </row>
    <row r="222" spans="1:16" customFormat="1" x14ac:dyDescent="0.3">
      <c r="A222" s="2"/>
      <c r="B222" s="3"/>
      <c r="P222" s="4"/>
    </row>
    <row r="223" spans="1:16" customFormat="1" x14ac:dyDescent="0.3">
      <c r="A223" s="2"/>
      <c r="B223" s="3"/>
      <c r="P223" s="4"/>
    </row>
    <row r="224" spans="1:16" customFormat="1" x14ac:dyDescent="0.3">
      <c r="A224" s="2"/>
      <c r="B224" s="3"/>
      <c r="P224" s="4"/>
    </row>
    <row r="225" spans="1:16" customFormat="1" x14ac:dyDescent="0.3">
      <c r="A225" s="2"/>
      <c r="B225" s="3"/>
      <c r="P225" s="4"/>
    </row>
    <row r="226" spans="1:16" customFormat="1" x14ac:dyDescent="0.3">
      <c r="A226" s="2"/>
      <c r="B226" s="3"/>
      <c r="P226" s="4"/>
    </row>
    <row r="227" spans="1:16" customFormat="1" x14ac:dyDescent="0.3">
      <c r="A227" s="2"/>
      <c r="B227" s="3"/>
      <c r="P227" s="4"/>
    </row>
    <row r="228" spans="1:16" customFormat="1" x14ac:dyDescent="0.3">
      <c r="A228" s="2"/>
      <c r="B228" s="3"/>
      <c r="P228" s="4"/>
    </row>
    <row r="229" spans="1:16" customFormat="1" x14ac:dyDescent="0.3">
      <c r="A229" s="2"/>
      <c r="B229" s="3"/>
      <c r="P229" s="4"/>
    </row>
    <row r="230" spans="1:16" customFormat="1" x14ac:dyDescent="0.3">
      <c r="A230" s="2"/>
      <c r="B230" s="3"/>
      <c r="P230" s="4"/>
    </row>
    <row r="231" spans="1:16" customFormat="1" x14ac:dyDescent="0.3">
      <c r="A231" s="2"/>
      <c r="B231" s="3"/>
      <c r="P231" s="4"/>
    </row>
    <row r="232" spans="1:16" customFormat="1" x14ac:dyDescent="0.3">
      <c r="A232" s="2"/>
      <c r="B232" s="3"/>
      <c r="P232" s="4"/>
    </row>
    <row r="233" spans="1:16" customFormat="1" x14ac:dyDescent="0.3">
      <c r="A233" s="2"/>
      <c r="B233" s="3"/>
      <c r="P233" s="4"/>
    </row>
    <row r="234" spans="1:16" customFormat="1" x14ac:dyDescent="0.3">
      <c r="A234" s="2"/>
      <c r="B234" s="3"/>
      <c r="P234" s="4"/>
    </row>
    <row r="235" spans="1:16" customFormat="1" x14ac:dyDescent="0.3">
      <c r="A235" s="2"/>
      <c r="B235" s="3"/>
      <c r="P235" s="4"/>
    </row>
    <row r="236" spans="1:16" customFormat="1" x14ac:dyDescent="0.3">
      <c r="A236" s="2"/>
      <c r="B236" s="3"/>
      <c r="P236" s="4"/>
    </row>
    <row r="237" spans="1:16" customFormat="1" x14ac:dyDescent="0.3">
      <c r="A237" s="2"/>
      <c r="B237" s="3"/>
      <c r="P237" s="4"/>
    </row>
    <row r="238" spans="1:16" customFormat="1" x14ac:dyDescent="0.3">
      <c r="A238" s="2"/>
      <c r="B238" s="3"/>
      <c r="P238" s="4"/>
    </row>
    <row r="239" spans="1:16" customFormat="1" x14ac:dyDescent="0.3">
      <c r="A239" s="2"/>
      <c r="B239" s="3"/>
      <c r="P239" s="4"/>
    </row>
    <row r="240" spans="1:16" customFormat="1" x14ac:dyDescent="0.3">
      <c r="A240" s="2"/>
      <c r="B240" s="3"/>
      <c r="P240" s="4"/>
    </row>
    <row r="241" spans="1:16" customFormat="1" x14ac:dyDescent="0.3">
      <c r="A241" s="2"/>
      <c r="B241" s="3"/>
      <c r="P241" s="4"/>
    </row>
    <row r="242" spans="1:16" customFormat="1" x14ac:dyDescent="0.3">
      <c r="A242" s="2"/>
      <c r="B242" s="3"/>
      <c r="P242" s="4"/>
    </row>
    <row r="243" spans="1:16" customFormat="1" x14ac:dyDescent="0.3">
      <c r="A243" s="2"/>
      <c r="B243" s="3"/>
      <c r="P243" s="4"/>
    </row>
    <row r="244" spans="1:16" customFormat="1" x14ac:dyDescent="0.3">
      <c r="A244" s="2"/>
      <c r="B244" s="3"/>
      <c r="P244" s="4"/>
    </row>
    <row r="245" spans="1:16" customFormat="1" x14ac:dyDescent="0.3">
      <c r="A245" s="2"/>
      <c r="B245" s="3"/>
      <c r="P245" s="4"/>
    </row>
    <row r="246" spans="1:16" customFormat="1" x14ac:dyDescent="0.3">
      <c r="A246" s="2"/>
      <c r="B246" s="3"/>
      <c r="P246" s="4"/>
    </row>
    <row r="247" spans="1:16" customFormat="1" x14ac:dyDescent="0.3">
      <c r="A247" s="2"/>
      <c r="B247" s="3"/>
      <c r="P247" s="4"/>
    </row>
    <row r="248" spans="1:16" customFormat="1" x14ac:dyDescent="0.3">
      <c r="A248" s="2"/>
      <c r="B248" s="3"/>
      <c r="P248" s="4"/>
    </row>
    <row r="249" spans="1:16" customFormat="1" x14ac:dyDescent="0.3">
      <c r="A249" s="2"/>
      <c r="B249" s="3"/>
      <c r="P249" s="4"/>
    </row>
    <row r="250" spans="1:16" customFormat="1" x14ac:dyDescent="0.3">
      <c r="A250" s="2"/>
      <c r="B250" s="3"/>
      <c r="P250" s="4"/>
    </row>
    <row r="251" spans="1:16" customFormat="1" x14ac:dyDescent="0.3">
      <c r="A251" s="2"/>
      <c r="B251" s="3"/>
      <c r="P251" s="4"/>
    </row>
    <row r="252" spans="1:16" customFormat="1" x14ac:dyDescent="0.3">
      <c r="A252" s="2"/>
      <c r="B252" s="3"/>
      <c r="P252" s="4"/>
    </row>
    <row r="253" spans="1:16" customFormat="1" x14ac:dyDescent="0.3">
      <c r="A253" s="2"/>
      <c r="B253" s="3"/>
      <c r="P253" s="4"/>
    </row>
    <row r="254" spans="1:16" customFormat="1" x14ac:dyDescent="0.3">
      <c r="A254" s="2"/>
      <c r="B254" s="3"/>
      <c r="P254" s="4"/>
    </row>
    <row r="255" spans="1:16" customFormat="1" x14ac:dyDescent="0.3">
      <c r="A255" s="2"/>
      <c r="B255" s="3"/>
      <c r="P255" s="4"/>
    </row>
    <row r="256" spans="1:16" customFormat="1" x14ac:dyDescent="0.3">
      <c r="A256" s="2"/>
      <c r="B256" s="3"/>
      <c r="P256" s="4"/>
    </row>
    <row r="257" spans="1:16" customFormat="1" x14ac:dyDescent="0.3">
      <c r="A257" s="2"/>
      <c r="B257" s="3"/>
      <c r="P257" s="4"/>
    </row>
    <row r="258" spans="1:16" customFormat="1" x14ac:dyDescent="0.3">
      <c r="A258" s="2"/>
      <c r="B258" s="3"/>
      <c r="P258" s="4"/>
    </row>
    <row r="259" spans="1:16" customFormat="1" x14ac:dyDescent="0.3">
      <c r="A259" s="2"/>
      <c r="B259" s="3"/>
      <c r="P259" s="4"/>
    </row>
    <row r="260" spans="1:16" customFormat="1" x14ac:dyDescent="0.3">
      <c r="A260" s="2"/>
      <c r="B260" s="3"/>
      <c r="P260" s="4"/>
    </row>
    <row r="261" spans="1:16" customFormat="1" x14ac:dyDescent="0.3">
      <c r="A261" s="2"/>
      <c r="B261" s="3"/>
      <c r="P261" s="4"/>
    </row>
    <row r="262" spans="1:16" customFormat="1" x14ac:dyDescent="0.3">
      <c r="A262" s="2"/>
      <c r="B262" s="3"/>
      <c r="P262" s="4"/>
    </row>
    <row r="263" spans="1:16" customFormat="1" x14ac:dyDescent="0.3">
      <c r="A263" s="2"/>
      <c r="B263" s="3"/>
      <c r="P263" s="4"/>
    </row>
    <row r="264" spans="1:16" customFormat="1" x14ac:dyDescent="0.3">
      <c r="A264" s="2"/>
      <c r="B264" s="3"/>
      <c r="P264" s="4"/>
    </row>
    <row r="265" spans="1:16" customFormat="1" x14ac:dyDescent="0.3">
      <c r="A265" s="2"/>
      <c r="B265" s="3"/>
      <c r="P265" s="4"/>
    </row>
    <row r="266" spans="1:16" customFormat="1" x14ac:dyDescent="0.3">
      <c r="A266" s="2"/>
      <c r="B266" s="3"/>
      <c r="P266" s="4"/>
    </row>
    <row r="267" spans="1:16" customFormat="1" x14ac:dyDescent="0.3">
      <c r="A267" s="2"/>
      <c r="B267" s="3"/>
      <c r="P267" s="4"/>
    </row>
    <row r="268" spans="1:16" customFormat="1" x14ac:dyDescent="0.3">
      <c r="A268" s="2"/>
      <c r="B268" s="3"/>
      <c r="P268" s="4"/>
    </row>
    <row r="269" spans="1:16" customFormat="1" x14ac:dyDescent="0.3">
      <c r="A269" s="2"/>
      <c r="B269" s="3"/>
      <c r="P269" s="4"/>
    </row>
    <row r="270" spans="1:16" customFormat="1" x14ac:dyDescent="0.3">
      <c r="A270" s="2"/>
      <c r="B270" s="3"/>
      <c r="P270" s="4"/>
    </row>
    <row r="271" spans="1:16" customFormat="1" x14ac:dyDescent="0.3">
      <c r="A271" s="2"/>
      <c r="B271" s="3"/>
      <c r="P271" s="4"/>
    </row>
    <row r="272" spans="1:16" customFormat="1" x14ac:dyDescent="0.3">
      <c r="A272" s="2"/>
      <c r="B272" s="3"/>
      <c r="P272" s="4"/>
    </row>
    <row r="273" spans="1:16" customFormat="1" x14ac:dyDescent="0.3">
      <c r="A273" s="2"/>
      <c r="B273" s="3"/>
      <c r="P273" s="4"/>
    </row>
    <row r="274" spans="1:16" customFormat="1" x14ac:dyDescent="0.3">
      <c r="A274" s="2"/>
      <c r="B274" s="3"/>
      <c r="P274" s="4"/>
    </row>
    <row r="275" spans="1:16" customFormat="1" x14ac:dyDescent="0.3">
      <c r="A275" s="2"/>
      <c r="B275" s="3"/>
      <c r="P275" s="4"/>
    </row>
    <row r="276" spans="1:16" customFormat="1" x14ac:dyDescent="0.3">
      <c r="A276" s="2"/>
      <c r="B276" s="3"/>
      <c r="P276" s="4"/>
    </row>
    <row r="277" spans="1:16" customFormat="1" x14ac:dyDescent="0.3">
      <c r="A277" s="2"/>
      <c r="B277" s="3"/>
      <c r="P277" s="4"/>
    </row>
    <row r="278" spans="1:16" customFormat="1" x14ac:dyDescent="0.3">
      <c r="A278" s="2"/>
      <c r="B278" s="3"/>
      <c r="P278" s="4"/>
    </row>
    <row r="279" spans="1:16" customFormat="1" x14ac:dyDescent="0.3">
      <c r="A279" s="2"/>
      <c r="B279" s="3"/>
      <c r="P279" s="4"/>
    </row>
    <row r="280" spans="1:16" customFormat="1" x14ac:dyDescent="0.3">
      <c r="A280" s="2"/>
      <c r="B280" s="3"/>
      <c r="P280" s="4"/>
    </row>
    <row r="281" spans="1:16" customFormat="1" x14ac:dyDescent="0.3">
      <c r="A281" s="2"/>
      <c r="B281" s="3"/>
      <c r="P281" s="4"/>
    </row>
    <row r="282" spans="1:16" customFormat="1" x14ac:dyDescent="0.3">
      <c r="A282" s="2"/>
      <c r="B282" s="3"/>
      <c r="P282" s="4"/>
    </row>
    <row r="283" spans="1:16" customFormat="1" x14ac:dyDescent="0.3">
      <c r="A283" s="2"/>
      <c r="B283" s="3"/>
      <c r="P283" s="4"/>
    </row>
    <row r="284" spans="1:16" customFormat="1" x14ac:dyDescent="0.3">
      <c r="A284" s="2"/>
      <c r="B284" s="3"/>
      <c r="P284" s="4"/>
    </row>
    <row r="285" spans="1:16" customFormat="1" x14ac:dyDescent="0.3">
      <c r="A285" s="2"/>
      <c r="B285" s="3"/>
      <c r="P285" s="4"/>
    </row>
    <row r="286" spans="1:16" customFormat="1" x14ac:dyDescent="0.3">
      <c r="A286" s="2"/>
      <c r="B286" s="3"/>
      <c r="P286" s="4"/>
    </row>
    <row r="287" spans="1:16" customFormat="1" x14ac:dyDescent="0.3">
      <c r="A287" s="2"/>
      <c r="B287" s="3"/>
      <c r="P287" s="4"/>
    </row>
    <row r="288" spans="1:16" customFormat="1" x14ac:dyDescent="0.3">
      <c r="A288" s="2"/>
      <c r="B288" s="3"/>
      <c r="P288" s="4"/>
    </row>
    <row r="289" spans="1:16" customFormat="1" x14ac:dyDescent="0.3">
      <c r="A289" s="2"/>
      <c r="B289" s="3"/>
      <c r="P289" s="4"/>
    </row>
    <row r="290" spans="1:16" customFormat="1" x14ac:dyDescent="0.3">
      <c r="A290" s="2"/>
      <c r="B290" s="3"/>
      <c r="P290" s="4"/>
    </row>
    <row r="291" spans="1:16" customFormat="1" x14ac:dyDescent="0.3">
      <c r="A291" s="2"/>
      <c r="B291" s="3"/>
      <c r="P291" s="4"/>
    </row>
    <row r="292" spans="1:16" customFormat="1" x14ac:dyDescent="0.3">
      <c r="A292" s="2"/>
      <c r="B292" s="3"/>
      <c r="P292" s="4"/>
    </row>
    <row r="293" spans="1:16" customFormat="1" x14ac:dyDescent="0.3">
      <c r="A293" s="2"/>
      <c r="B293" s="3"/>
      <c r="P293" s="4"/>
    </row>
    <row r="294" spans="1:16" customFormat="1" x14ac:dyDescent="0.3">
      <c r="A294" s="2"/>
      <c r="B294" s="3"/>
      <c r="P294" s="4"/>
    </row>
    <row r="295" spans="1:16" customFormat="1" x14ac:dyDescent="0.3">
      <c r="A295" s="2"/>
      <c r="B295" s="3"/>
      <c r="P295" s="4"/>
    </row>
    <row r="296" spans="1:16" customFormat="1" x14ac:dyDescent="0.3">
      <c r="A296" s="2"/>
      <c r="B296" s="3"/>
      <c r="P296" s="4"/>
    </row>
    <row r="297" spans="1:16" customFormat="1" x14ac:dyDescent="0.3">
      <c r="A297" s="2"/>
      <c r="B297" s="3"/>
      <c r="P297" s="4"/>
    </row>
    <row r="298" spans="1:16" customFormat="1" x14ac:dyDescent="0.3">
      <c r="A298" s="2"/>
      <c r="B298" s="3"/>
      <c r="P298" s="4"/>
    </row>
    <row r="299" spans="1:16" customFormat="1" x14ac:dyDescent="0.3">
      <c r="A299" s="2"/>
      <c r="B299" s="3"/>
      <c r="P299" s="4"/>
    </row>
    <row r="300" spans="1:16" customFormat="1" x14ac:dyDescent="0.3">
      <c r="A300" s="2"/>
      <c r="B300" s="3"/>
      <c r="P300" s="4"/>
    </row>
    <row r="301" spans="1:16" customFormat="1" x14ac:dyDescent="0.3">
      <c r="A301" s="2"/>
      <c r="B301" s="3"/>
      <c r="P301" s="4"/>
    </row>
    <row r="302" spans="1:16" customFormat="1" x14ac:dyDescent="0.3">
      <c r="A302" s="2"/>
      <c r="B302" s="3"/>
      <c r="P302" s="4"/>
    </row>
    <row r="303" spans="1:16" customFormat="1" x14ac:dyDescent="0.3">
      <c r="A303" s="2"/>
      <c r="B303" s="3"/>
      <c r="P303" s="4"/>
    </row>
    <row r="304" spans="1:16" customFormat="1" x14ac:dyDescent="0.3">
      <c r="A304" s="2"/>
      <c r="B304" s="3"/>
      <c r="P304" s="4"/>
    </row>
    <row r="305" spans="1:16" customFormat="1" x14ac:dyDescent="0.3">
      <c r="A305" s="2"/>
      <c r="B305" s="3"/>
      <c r="P305" s="4"/>
    </row>
    <row r="306" spans="1:16" customFormat="1" x14ac:dyDescent="0.3">
      <c r="A306" s="2"/>
      <c r="B306" s="3"/>
      <c r="P306" s="4"/>
    </row>
    <row r="307" spans="1:16" customFormat="1" x14ac:dyDescent="0.3">
      <c r="A307" s="2"/>
      <c r="B307" s="3"/>
      <c r="P307" s="4"/>
    </row>
    <row r="308" spans="1:16" customFormat="1" x14ac:dyDescent="0.3">
      <c r="A308" s="2"/>
      <c r="B308" s="3"/>
      <c r="P308" s="4"/>
    </row>
    <row r="309" spans="1:16" customFormat="1" x14ac:dyDescent="0.3">
      <c r="A309" s="2"/>
      <c r="B309" s="3"/>
      <c r="P309" s="4"/>
    </row>
    <row r="310" spans="1:16" customFormat="1" x14ac:dyDescent="0.3">
      <c r="A310" s="2"/>
      <c r="B310" s="3"/>
      <c r="P310" s="4"/>
    </row>
    <row r="311" spans="1:16" customFormat="1" x14ac:dyDescent="0.3">
      <c r="A311" s="2"/>
      <c r="B311" s="3"/>
      <c r="P311" s="4"/>
    </row>
    <row r="312" spans="1:16" customFormat="1" x14ac:dyDescent="0.3">
      <c r="A312" s="2"/>
      <c r="B312" s="3"/>
      <c r="P312" s="4"/>
    </row>
    <row r="313" spans="1:16" customFormat="1" x14ac:dyDescent="0.3">
      <c r="A313" s="2"/>
      <c r="B313" s="3"/>
      <c r="P313" s="4"/>
    </row>
    <row r="314" spans="1:16" customFormat="1" x14ac:dyDescent="0.3">
      <c r="A314" s="2"/>
      <c r="B314" s="3"/>
      <c r="P314" s="4"/>
    </row>
    <row r="315" spans="1:16" customFormat="1" x14ac:dyDescent="0.3">
      <c r="A315" s="2"/>
      <c r="B315" s="3"/>
      <c r="P315" s="4"/>
    </row>
    <row r="316" spans="1:16" customFormat="1" x14ac:dyDescent="0.3">
      <c r="A316" s="2"/>
      <c r="B316" s="3"/>
      <c r="P316" s="4"/>
    </row>
    <row r="317" spans="1:16" customFormat="1" x14ac:dyDescent="0.3">
      <c r="A317" s="2"/>
      <c r="B317" s="3"/>
      <c r="P317" s="4"/>
    </row>
    <row r="318" spans="1:16" customFormat="1" x14ac:dyDescent="0.3">
      <c r="A318" s="2"/>
      <c r="B318" s="3"/>
      <c r="P318" s="4"/>
    </row>
    <row r="319" spans="1:16" customFormat="1" x14ac:dyDescent="0.3">
      <c r="A319" s="2"/>
      <c r="B319" s="3"/>
      <c r="P319" s="4"/>
    </row>
    <row r="320" spans="1:16" customFormat="1" x14ac:dyDescent="0.3">
      <c r="A320" s="2"/>
      <c r="B320" s="3"/>
      <c r="P320" s="4"/>
    </row>
    <row r="321" spans="1:16" customFormat="1" x14ac:dyDescent="0.3">
      <c r="A321" s="2"/>
      <c r="B321" s="3"/>
      <c r="P321" s="4"/>
    </row>
    <row r="322" spans="1:16" customFormat="1" x14ac:dyDescent="0.3">
      <c r="A322" s="2"/>
      <c r="B322" s="3"/>
      <c r="P322" s="4"/>
    </row>
    <row r="323" spans="1:16" customFormat="1" x14ac:dyDescent="0.3">
      <c r="A323" s="2"/>
      <c r="B323" s="3"/>
      <c r="P323" s="4"/>
    </row>
    <row r="324" spans="1:16" customFormat="1" x14ac:dyDescent="0.3">
      <c r="A324" s="2"/>
      <c r="B324" s="3"/>
      <c r="P324" s="4"/>
    </row>
    <row r="325" spans="1:16" customFormat="1" x14ac:dyDescent="0.3">
      <c r="A325" s="2"/>
      <c r="B325" s="3"/>
      <c r="P325" s="4"/>
    </row>
    <row r="326" spans="1:16" customFormat="1" x14ac:dyDescent="0.3">
      <c r="A326" s="2"/>
      <c r="B326" s="3"/>
      <c r="P326" s="4"/>
    </row>
    <row r="327" spans="1:16" customFormat="1" x14ac:dyDescent="0.3">
      <c r="A327" s="2"/>
      <c r="B327" s="3"/>
      <c r="P327" s="4"/>
    </row>
    <row r="328" spans="1:16" customFormat="1" x14ac:dyDescent="0.3">
      <c r="A328" s="2"/>
      <c r="B328" s="3"/>
      <c r="P328" s="4"/>
    </row>
    <row r="329" spans="1:16" customFormat="1" x14ac:dyDescent="0.3">
      <c r="A329" s="2"/>
      <c r="B329" s="3"/>
      <c r="P329" s="4"/>
    </row>
    <row r="330" spans="1:16" customFormat="1" x14ac:dyDescent="0.3">
      <c r="A330" s="2"/>
      <c r="B330" s="3"/>
      <c r="P330" s="4"/>
    </row>
    <row r="331" spans="1:16" customFormat="1" x14ac:dyDescent="0.3">
      <c r="A331" s="2"/>
      <c r="B331" s="3"/>
      <c r="P331" s="4"/>
    </row>
    <row r="332" spans="1:16" customFormat="1" x14ac:dyDescent="0.3">
      <c r="A332" s="2"/>
      <c r="B332" s="3"/>
      <c r="P332" s="4"/>
    </row>
    <row r="333" spans="1:16" customFormat="1" x14ac:dyDescent="0.3">
      <c r="A333" s="2"/>
      <c r="B333" s="3"/>
      <c r="P333" s="4"/>
    </row>
    <row r="334" spans="1:16" customFormat="1" x14ac:dyDescent="0.3">
      <c r="A334" s="2"/>
      <c r="B334" s="3"/>
      <c r="P334" s="4"/>
    </row>
    <row r="335" spans="1:16" customFormat="1" x14ac:dyDescent="0.3">
      <c r="A335" s="2"/>
      <c r="B335" s="3"/>
      <c r="P335" s="4"/>
    </row>
    <row r="336" spans="1:16" customFormat="1" x14ac:dyDescent="0.3">
      <c r="A336" s="2"/>
      <c r="B336" s="3"/>
      <c r="P336" s="4"/>
    </row>
    <row r="337" spans="1:16" customFormat="1" x14ac:dyDescent="0.3">
      <c r="A337" s="2"/>
      <c r="B337" s="3"/>
      <c r="P337" s="4"/>
    </row>
    <row r="338" spans="1:16" customFormat="1" x14ac:dyDescent="0.3">
      <c r="A338" s="2"/>
      <c r="B338" s="3"/>
      <c r="P338" s="4"/>
    </row>
    <row r="339" spans="1:16" customFormat="1" x14ac:dyDescent="0.3">
      <c r="A339" s="2"/>
      <c r="B339" s="3"/>
      <c r="P339" s="4"/>
    </row>
    <row r="340" spans="1:16" customFormat="1" x14ac:dyDescent="0.3">
      <c r="A340" s="2"/>
      <c r="B340" s="3"/>
      <c r="P340" s="4"/>
    </row>
    <row r="341" spans="1:16" customFormat="1" x14ac:dyDescent="0.3">
      <c r="A341" s="2"/>
      <c r="B341" s="3"/>
      <c r="P341" s="4"/>
    </row>
    <row r="342" spans="1:16" customFormat="1" x14ac:dyDescent="0.3">
      <c r="A342" s="2"/>
      <c r="B342" s="3"/>
      <c r="P342" s="4"/>
    </row>
    <row r="343" spans="1:16" customFormat="1" x14ac:dyDescent="0.3">
      <c r="A343" s="2"/>
      <c r="B343" s="3"/>
      <c r="P343" s="4"/>
    </row>
    <row r="344" spans="1:16" customFormat="1" x14ac:dyDescent="0.3">
      <c r="A344" s="2"/>
      <c r="B344" s="3"/>
      <c r="P344" s="4"/>
    </row>
    <row r="345" spans="1:16" customFormat="1" x14ac:dyDescent="0.3">
      <c r="A345" s="2"/>
      <c r="B345" s="3"/>
      <c r="P345" s="4"/>
    </row>
    <row r="346" spans="1:16" customFormat="1" x14ac:dyDescent="0.3">
      <c r="A346" s="2"/>
      <c r="B346" s="3"/>
      <c r="P346" s="4"/>
    </row>
    <row r="347" spans="1:16" customFormat="1" x14ac:dyDescent="0.3">
      <c r="A347" s="2"/>
      <c r="B347" s="3"/>
      <c r="P347" s="4"/>
    </row>
    <row r="348" spans="1:16" customFormat="1" x14ac:dyDescent="0.3">
      <c r="A348" s="2"/>
      <c r="B348" s="3"/>
      <c r="P348" s="4"/>
    </row>
    <row r="349" spans="1:16" customFormat="1" x14ac:dyDescent="0.3">
      <c r="A349" s="2"/>
      <c r="B349" s="3"/>
      <c r="P349" s="4"/>
    </row>
    <row r="350" spans="1:16" customFormat="1" x14ac:dyDescent="0.3">
      <c r="A350" s="2"/>
      <c r="B350" s="3"/>
      <c r="P350" s="4"/>
    </row>
    <row r="351" spans="1:16" customFormat="1" x14ac:dyDescent="0.3">
      <c r="A351" s="2"/>
      <c r="B351" s="3"/>
      <c r="P351" s="4"/>
    </row>
    <row r="352" spans="1:16" customFormat="1" x14ac:dyDescent="0.3">
      <c r="A352" s="2"/>
      <c r="B352" s="3"/>
      <c r="P352" s="4"/>
    </row>
    <row r="353" spans="1:16" customFormat="1" x14ac:dyDescent="0.3">
      <c r="A353" s="2"/>
      <c r="B353" s="3"/>
      <c r="P353" s="4"/>
    </row>
    <row r="354" spans="1:16" customFormat="1" x14ac:dyDescent="0.3">
      <c r="A354" s="2"/>
      <c r="B354" s="3"/>
      <c r="P354" s="4"/>
    </row>
    <row r="355" spans="1:16" customFormat="1" x14ac:dyDescent="0.3">
      <c r="A355" s="2"/>
      <c r="B355" s="3"/>
      <c r="P355" s="4"/>
    </row>
    <row r="356" spans="1:16" customFormat="1" x14ac:dyDescent="0.3">
      <c r="A356" s="2"/>
      <c r="B356" s="3"/>
      <c r="P356" s="4"/>
    </row>
    <row r="357" spans="1:16" customFormat="1" x14ac:dyDescent="0.3">
      <c r="A357" s="2"/>
      <c r="B357" s="3"/>
      <c r="P357" s="4"/>
    </row>
    <row r="358" spans="1:16" customFormat="1" x14ac:dyDescent="0.3">
      <c r="A358" s="2"/>
      <c r="B358" s="3"/>
      <c r="P358" s="4"/>
    </row>
    <row r="359" spans="1:16" customFormat="1" x14ac:dyDescent="0.3">
      <c r="A359" s="2"/>
      <c r="B359" s="3"/>
      <c r="P359" s="4"/>
    </row>
    <row r="360" spans="1:16" customFormat="1" x14ac:dyDescent="0.3">
      <c r="A360" s="2"/>
      <c r="B360" s="3"/>
      <c r="P360" s="4"/>
    </row>
    <row r="361" spans="1:16" customFormat="1" x14ac:dyDescent="0.3">
      <c r="A361" s="2"/>
      <c r="B361" s="3"/>
      <c r="P361" s="4"/>
    </row>
    <row r="362" spans="1:16" customFormat="1" x14ac:dyDescent="0.3">
      <c r="A362" s="2"/>
      <c r="B362" s="3"/>
      <c r="P362" s="4"/>
    </row>
    <row r="363" spans="1:16" customFormat="1" x14ac:dyDescent="0.3">
      <c r="A363" s="2"/>
      <c r="B363" s="3"/>
      <c r="P363" s="4"/>
    </row>
    <row r="364" spans="1:16" customFormat="1" x14ac:dyDescent="0.3">
      <c r="A364" s="2"/>
      <c r="B364" s="3"/>
      <c r="P364" s="4"/>
    </row>
    <row r="365" spans="1:16" customFormat="1" x14ac:dyDescent="0.3">
      <c r="A365" s="2"/>
      <c r="B365" s="3"/>
      <c r="P365" s="4"/>
    </row>
    <row r="366" spans="1:16" customFormat="1" x14ac:dyDescent="0.3">
      <c r="A366" s="2"/>
      <c r="B366" s="3"/>
      <c r="P366" s="4"/>
    </row>
    <row r="367" spans="1:16" customFormat="1" x14ac:dyDescent="0.3">
      <c r="A367" s="2"/>
      <c r="B367" s="3"/>
      <c r="P367" s="4"/>
    </row>
    <row r="368" spans="1:16" customFormat="1" x14ac:dyDescent="0.3">
      <c r="A368" s="2"/>
      <c r="B368" s="3"/>
      <c r="P368" s="4"/>
    </row>
    <row r="369" spans="1:16" customFormat="1" x14ac:dyDescent="0.3">
      <c r="A369" s="2"/>
      <c r="B369" s="3"/>
      <c r="P369" s="4"/>
    </row>
    <row r="370" spans="1:16" customFormat="1" x14ac:dyDescent="0.3">
      <c r="A370" s="2"/>
      <c r="B370" s="3"/>
      <c r="P370" s="4"/>
    </row>
    <row r="371" spans="1:16" customFormat="1" x14ac:dyDescent="0.3">
      <c r="A371" s="2"/>
      <c r="B371" s="3"/>
      <c r="P371" s="4"/>
    </row>
    <row r="372" spans="1:16" customFormat="1" x14ac:dyDescent="0.3">
      <c r="A372" s="2"/>
      <c r="B372" s="3"/>
      <c r="P372" s="4"/>
    </row>
    <row r="373" spans="1:16" customFormat="1" x14ac:dyDescent="0.3">
      <c r="A373" s="2"/>
      <c r="B373" s="3"/>
      <c r="P373" s="4"/>
    </row>
    <row r="374" spans="1:16" customFormat="1" x14ac:dyDescent="0.3">
      <c r="A374" s="2"/>
      <c r="B374" s="3"/>
      <c r="P374" s="4"/>
    </row>
    <row r="375" spans="1:16" customFormat="1" x14ac:dyDescent="0.3">
      <c r="A375" s="2"/>
      <c r="B375" s="3"/>
      <c r="P375" s="4"/>
    </row>
    <row r="376" spans="1:16" customFormat="1" x14ac:dyDescent="0.3">
      <c r="A376" s="2"/>
      <c r="B376" s="3"/>
      <c r="P376" s="4"/>
    </row>
    <row r="377" spans="1:16" customFormat="1" x14ac:dyDescent="0.3">
      <c r="A377" s="2"/>
      <c r="B377" s="3"/>
      <c r="P377" s="4"/>
    </row>
    <row r="378" spans="1:16" customFormat="1" x14ac:dyDescent="0.3">
      <c r="A378" s="2"/>
      <c r="B378" s="3"/>
      <c r="P378" s="4"/>
    </row>
    <row r="379" spans="1:16" customFormat="1" x14ac:dyDescent="0.3">
      <c r="A379" s="2"/>
      <c r="B379" s="3"/>
      <c r="P379" s="4"/>
    </row>
    <row r="380" spans="1:16" customFormat="1" x14ac:dyDescent="0.3">
      <c r="A380" s="2"/>
      <c r="B380" s="3"/>
      <c r="P380" s="4"/>
    </row>
    <row r="381" spans="1:16" customFormat="1" x14ac:dyDescent="0.3">
      <c r="A381" s="2"/>
      <c r="B381" s="3"/>
      <c r="P381" s="4"/>
    </row>
    <row r="382" spans="1:16" customFormat="1" x14ac:dyDescent="0.3">
      <c r="A382" s="2"/>
      <c r="B382" s="3"/>
      <c r="P382" s="4"/>
    </row>
    <row r="383" spans="1:16" customFormat="1" x14ac:dyDescent="0.3">
      <c r="A383" s="2"/>
      <c r="B383" s="3"/>
      <c r="P383" s="4"/>
    </row>
    <row r="384" spans="1:16" customFormat="1" x14ac:dyDescent="0.3">
      <c r="A384" s="2"/>
      <c r="B384" s="3"/>
      <c r="P384" s="4"/>
    </row>
    <row r="385" spans="1:16" customFormat="1" x14ac:dyDescent="0.3">
      <c r="A385" s="2"/>
      <c r="B385" s="3"/>
      <c r="P385" s="4"/>
    </row>
    <row r="386" spans="1:16" customFormat="1" x14ac:dyDescent="0.3">
      <c r="A386" s="2"/>
      <c r="B386" s="3"/>
      <c r="P386" s="4"/>
    </row>
    <row r="387" spans="1:16" customFormat="1" x14ac:dyDescent="0.3">
      <c r="A387" s="2"/>
      <c r="B387" s="3"/>
      <c r="P387" s="4"/>
    </row>
    <row r="388" spans="1:16" customFormat="1" x14ac:dyDescent="0.3">
      <c r="A388" s="2"/>
      <c r="B388" s="3"/>
      <c r="P388" s="4"/>
    </row>
    <row r="389" spans="1:16" customFormat="1" x14ac:dyDescent="0.3">
      <c r="A389" s="2"/>
      <c r="B389" s="3"/>
      <c r="P389" s="4"/>
    </row>
    <row r="390" spans="1:16" customFormat="1" x14ac:dyDescent="0.3">
      <c r="A390" s="2"/>
      <c r="B390" s="3"/>
      <c r="P390" s="4"/>
    </row>
    <row r="391" spans="1:16" customFormat="1" x14ac:dyDescent="0.3">
      <c r="A391" s="2"/>
      <c r="B391" s="3"/>
      <c r="P391" s="4"/>
    </row>
    <row r="392" spans="1:16" customFormat="1" x14ac:dyDescent="0.3">
      <c r="A392" s="2"/>
      <c r="B392" s="3"/>
      <c r="P392" s="4"/>
    </row>
    <row r="393" spans="1:16" customFormat="1" x14ac:dyDescent="0.3">
      <c r="A393" s="2"/>
      <c r="B393" s="3"/>
      <c r="P393" s="4"/>
    </row>
    <row r="394" spans="1:16" customFormat="1" x14ac:dyDescent="0.3">
      <c r="A394" s="2"/>
      <c r="B394" s="3"/>
      <c r="P394" s="4"/>
    </row>
    <row r="395" spans="1:16" customFormat="1" x14ac:dyDescent="0.3">
      <c r="A395" s="2"/>
      <c r="B395" s="3"/>
      <c r="P395" s="4"/>
    </row>
    <row r="396" spans="1:16" customFormat="1" x14ac:dyDescent="0.3">
      <c r="A396" s="2"/>
      <c r="B396" s="3"/>
      <c r="P396" s="4"/>
    </row>
    <row r="397" spans="1:16" customFormat="1" x14ac:dyDescent="0.3">
      <c r="A397" s="2"/>
      <c r="B397" s="3"/>
      <c r="P397" s="4"/>
    </row>
    <row r="398" spans="1:16" customFormat="1" x14ac:dyDescent="0.3">
      <c r="A398" s="2"/>
      <c r="B398" s="3"/>
      <c r="P398" s="4"/>
    </row>
    <row r="399" spans="1:16" customFormat="1" x14ac:dyDescent="0.3">
      <c r="A399" s="2"/>
      <c r="B399" s="3"/>
      <c r="P399" s="4"/>
    </row>
    <row r="400" spans="1:16" customFormat="1" x14ac:dyDescent="0.3">
      <c r="A400" s="2"/>
      <c r="B400" s="3"/>
      <c r="P400" s="4"/>
    </row>
    <row r="401" spans="1:16" customFormat="1" x14ac:dyDescent="0.3">
      <c r="A401" s="2"/>
      <c r="B401" s="3"/>
      <c r="P401" s="4"/>
    </row>
    <row r="402" spans="1:16" customFormat="1" x14ac:dyDescent="0.3">
      <c r="A402" s="2"/>
      <c r="B402" s="3"/>
      <c r="P402" s="4"/>
    </row>
    <row r="403" spans="1:16" customFormat="1" x14ac:dyDescent="0.3">
      <c r="A403" s="2"/>
      <c r="B403" s="3"/>
      <c r="P403" s="4"/>
    </row>
    <row r="404" spans="1:16" customFormat="1" x14ac:dyDescent="0.3">
      <c r="A404" s="2"/>
      <c r="B404" s="3"/>
      <c r="P404" s="4"/>
    </row>
    <row r="405" spans="1:16" customFormat="1" x14ac:dyDescent="0.3">
      <c r="A405" s="2"/>
      <c r="B405" s="3"/>
      <c r="P405" s="4"/>
    </row>
    <row r="406" spans="1:16" customFormat="1" x14ac:dyDescent="0.3">
      <c r="A406" s="2"/>
      <c r="B406" s="3"/>
      <c r="P406" s="4"/>
    </row>
    <row r="407" spans="1:16" customFormat="1" x14ac:dyDescent="0.3">
      <c r="A407" s="2"/>
      <c r="B407" s="3"/>
      <c r="P407" s="4"/>
    </row>
    <row r="408" spans="1:16" customFormat="1" x14ac:dyDescent="0.3">
      <c r="A408" s="2"/>
      <c r="B408" s="3"/>
      <c r="P408" s="4"/>
    </row>
    <row r="409" spans="1:16" customFormat="1" x14ac:dyDescent="0.3">
      <c r="A409" s="2"/>
      <c r="B409" s="3"/>
      <c r="P409" s="4"/>
    </row>
    <row r="410" spans="1:16" customFormat="1" x14ac:dyDescent="0.3">
      <c r="A410" s="2"/>
      <c r="B410" s="3"/>
      <c r="P410" s="4"/>
    </row>
    <row r="411" spans="1:16" customFormat="1" x14ac:dyDescent="0.3">
      <c r="A411" s="2"/>
      <c r="B411" s="3"/>
      <c r="P411" s="4"/>
    </row>
    <row r="412" spans="1:16" customFormat="1" x14ac:dyDescent="0.3">
      <c r="A412" s="2"/>
      <c r="B412" s="3"/>
      <c r="P412" s="4"/>
    </row>
    <row r="413" spans="1:16" customFormat="1" x14ac:dyDescent="0.3">
      <c r="A413" s="2"/>
      <c r="B413" s="3"/>
      <c r="P413" s="4"/>
    </row>
    <row r="414" spans="1:16" customFormat="1" x14ac:dyDescent="0.3">
      <c r="A414" s="2"/>
      <c r="B414" s="3"/>
      <c r="P414" s="4"/>
    </row>
    <row r="415" spans="1:16" customFormat="1" x14ac:dyDescent="0.3">
      <c r="A415" s="2"/>
      <c r="B415" s="3"/>
      <c r="P415" s="4"/>
    </row>
    <row r="416" spans="1:16" customFormat="1" x14ac:dyDescent="0.3">
      <c r="A416" s="2"/>
      <c r="B416" s="3"/>
      <c r="P416" s="4"/>
    </row>
    <row r="417" spans="1:16" customFormat="1" x14ac:dyDescent="0.3">
      <c r="A417" s="2"/>
      <c r="B417" s="3"/>
      <c r="P417" s="4"/>
    </row>
    <row r="418" spans="1:16" customFormat="1" x14ac:dyDescent="0.3">
      <c r="A418" s="2"/>
      <c r="B418" s="3"/>
      <c r="P418" s="4"/>
    </row>
    <row r="419" spans="1:16" customFormat="1" x14ac:dyDescent="0.3">
      <c r="A419" s="2"/>
      <c r="B419" s="3"/>
      <c r="P419" s="4"/>
    </row>
    <row r="420" spans="1:16" customFormat="1" x14ac:dyDescent="0.3">
      <c r="A420" s="2"/>
      <c r="B420" s="3"/>
      <c r="P420" s="4"/>
    </row>
    <row r="421" spans="1:16" customFormat="1" x14ac:dyDescent="0.3">
      <c r="A421" s="2"/>
      <c r="B421" s="3"/>
      <c r="P421" s="4"/>
    </row>
    <row r="422" spans="1:16" customFormat="1" x14ac:dyDescent="0.3">
      <c r="A422" s="2"/>
      <c r="B422" s="3"/>
      <c r="P422" s="4"/>
    </row>
    <row r="423" spans="1:16" customFormat="1" x14ac:dyDescent="0.3">
      <c r="A423" s="2"/>
      <c r="B423" s="3"/>
      <c r="P423" s="4"/>
    </row>
    <row r="424" spans="1:16" customFormat="1" x14ac:dyDescent="0.3">
      <c r="A424" s="2"/>
      <c r="B424" s="3"/>
      <c r="P424" s="4"/>
    </row>
    <row r="425" spans="1:16" customFormat="1" x14ac:dyDescent="0.3">
      <c r="A425" s="2"/>
      <c r="B425" s="3"/>
      <c r="P425" s="4"/>
    </row>
    <row r="426" spans="1:16" customFormat="1" x14ac:dyDescent="0.3">
      <c r="A426" s="2"/>
      <c r="B426" s="3"/>
      <c r="P426" s="4"/>
    </row>
    <row r="427" spans="1:16" customFormat="1" x14ac:dyDescent="0.3">
      <c r="A427" s="2"/>
      <c r="B427" s="3"/>
      <c r="P427" s="4"/>
    </row>
    <row r="428" spans="1:16" customFormat="1" x14ac:dyDescent="0.3">
      <c r="A428" s="2"/>
      <c r="B428" s="3"/>
      <c r="P428" s="4"/>
    </row>
    <row r="429" spans="1:16" customFormat="1" x14ac:dyDescent="0.3">
      <c r="A429" s="2"/>
      <c r="B429" s="3"/>
      <c r="P429" s="4"/>
    </row>
    <row r="430" spans="1:16" customFormat="1" x14ac:dyDescent="0.3">
      <c r="A430" s="2"/>
      <c r="B430" s="3"/>
      <c r="P430" s="4"/>
    </row>
    <row r="431" spans="1:16" customFormat="1" x14ac:dyDescent="0.3">
      <c r="A431" s="2"/>
      <c r="B431" s="3"/>
      <c r="P431" s="4"/>
    </row>
    <row r="432" spans="1:16" customFormat="1" x14ac:dyDescent="0.3">
      <c r="A432" s="2"/>
      <c r="B432" s="3"/>
      <c r="P432" s="4"/>
    </row>
    <row r="433" spans="1:16" customFormat="1" x14ac:dyDescent="0.3">
      <c r="A433" s="2"/>
      <c r="B433" s="3"/>
      <c r="P433" s="4"/>
    </row>
    <row r="434" spans="1:16" customFormat="1" x14ac:dyDescent="0.3">
      <c r="A434" s="2"/>
      <c r="B434" s="3"/>
      <c r="P434" s="4"/>
    </row>
    <row r="435" spans="1:16" customFormat="1" x14ac:dyDescent="0.3">
      <c r="A435" s="2"/>
      <c r="B435" s="3"/>
      <c r="P435" s="4"/>
    </row>
    <row r="436" spans="1:16" customFormat="1" x14ac:dyDescent="0.3">
      <c r="A436" s="2"/>
      <c r="B436" s="3"/>
      <c r="P436" s="4"/>
    </row>
    <row r="437" spans="1:16" customFormat="1" x14ac:dyDescent="0.3">
      <c r="A437" s="2"/>
      <c r="B437" s="3"/>
      <c r="P437" s="4"/>
    </row>
    <row r="438" spans="1:16" customFormat="1" x14ac:dyDescent="0.3">
      <c r="A438" s="2"/>
      <c r="B438" s="3"/>
      <c r="P438" s="4"/>
    </row>
    <row r="439" spans="1:16" customFormat="1" x14ac:dyDescent="0.3">
      <c r="A439" s="2"/>
      <c r="B439" s="3"/>
      <c r="P439" s="4"/>
    </row>
    <row r="440" spans="1:16" customFormat="1" x14ac:dyDescent="0.3">
      <c r="A440" s="2"/>
      <c r="B440" s="3"/>
      <c r="P440" s="4"/>
    </row>
    <row r="441" spans="1:16" customFormat="1" x14ac:dyDescent="0.3">
      <c r="A441" s="2"/>
      <c r="B441" s="3"/>
      <c r="P441" s="4"/>
    </row>
    <row r="442" spans="1:16" customFormat="1" x14ac:dyDescent="0.3">
      <c r="A442" s="2"/>
      <c r="B442" s="3"/>
      <c r="P442" s="4"/>
    </row>
    <row r="443" spans="1:16" customFormat="1" x14ac:dyDescent="0.3">
      <c r="A443" s="2"/>
      <c r="B443" s="3"/>
      <c r="P443" s="4"/>
    </row>
    <row r="444" spans="1:16" customFormat="1" x14ac:dyDescent="0.3">
      <c r="A444" s="2"/>
      <c r="B444" s="3"/>
      <c r="P444" s="4"/>
    </row>
    <row r="445" spans="1:16" customFormat="1" x14ac:dyDescent="0.3">
      <c r="A445" s="2"/>
      <c r="B445" s="3"/>
      <c r="P445" s="4"/>
    </row>
    <row r="446" spans="1:16" customFormat="1" x14ac:dyDescent="0.3">
      <c r="A446" s="2"/>
      <c r="B446" s="3"/>
      <c r="P446" s="4"/>
    </row>
    <row r="447" spans="1:16" customFormat="1" x14ac:dyDescent="0.3">
      <c r="A447" s="2"/>
      <c r="B447" s="3"/>
      <c r="P447" s="4"/>
    </row>
    <row r="448" spans="1:16" customFormat="1" x14ac:dyDescent="0.3">
      <c r="A448" s="2"/>
      <c r="B448" s="3"/>
      <c r="P448" s="4"/>
    </row>
    <row r="449" spans="1:16" customFormat="1" x14ac:dyDescent="0.3">
      <c r="A449" s="2"/>
      <c r="B449" s="3"/>
      <c r="P449" s="4"/>
    </row>
    <row r="450" spans="1:16" customFormat="1" x14ac:dyDescent="0.3">
      <c r="A450" s="2"/>
      <c r="B450" s="3"/>
      <c r="P450" s="4"/>
    </row>
    <row r="451" spans="1:16" customFormat="1" x14ac:dyDescent="0.3">
      <c r="A451" s="2"/>
      <c r="B451" s="3"/>
      <c r="P451" s="4"/>
    </row>
    <row r="452" spans="1:16" customFormat="1" x14ac:dyDescent="0.3">
      <c r="A452" s="2"/>
      <c r="B452" s="3"/>
      <c r="P452" s="4"/>
    </row>
    <row r="453" spans="1:16" customFormat="1" x14ac:dyDescent="0.3">
      <c r="A453" s="2"/>
      <c r="B453" s="3"/>
      <c r="P453" s="4"/>
    </row>
    <row r="454" spans="1:16" customFormat="1" x14ac:dyDescent="0.3">
      <c r="A454" s="2"/>
      <c r="B454" s="3"/>
      <c r="P454" s="4"/>
    </row>
    <row r="455" spans="1:16" customFormat="1" x14ac:dyDescent="0.3">
      <c r="A455" s="2"/>
      <c r="B455" s="3"/>
      <c r="P455" s="4"/>
    </row>
    <row r="456" spans="1:16" customFormat="1" x14ac:dyDescent="0.3">
      <c r="A456" s="2"/>
      <c r="B456" s="3"/>
      <c r="P456" s="4"/>
    </row>
    <row r="457" spans="1:16" customFormat="1" x14ac:dyDescent="0.3">
      <c r="A457" s="2"/>
      <c r="B457" s="3"/>
      <c r="P457" s="4"/>
    </row>
    <row r="458" spans="1:16" customFormat="1" x14ac:dyDescent="0.3">
      <c r="A458" s="2"/>
      <c r="B458" s="3"/>
      <c r="P458" s="4"/>
    </row>
    <row r="459" spans="1:16" customFormat="1" x14ac:dyDescent="0.3">
      <c r="A459" s="2"/>
      <c r="B459" s="3"/>
      <c r="P459" s="4"/>
    </row>
    <row r="460" spans="1:16" customFormat="1" x14ac:dyDescent="0.3">
      <c r="A460" s="2"/>
      <c r="B460" s="3"/>
      <c r="P460" s="4"/>
    </row>
    <row r="461" spans="1:16" customFormat="1" x14ac:dyDescent="0.3">
      <c r="A461" s="2"/>
      <c r="B461" s="3"/>
      <c r="P461" s="4"/>
    </row>
    <row r="462" spans="1:16" customFormat="1" x14ac:dyDescent="0.3">
      <c r="A462" s="2"/>
      <c r="B462" s="3"/>
      <c r="P462" s="4"/>
    </row>
    <row r="463" spans="1:16" customFormat="1" x14ac:dyDescent="0.3">
      <c r="A463" s="2"/>
      <c r="B463" s="3"/>
      <c r="P463" s="4"/>
    </row>
    <row r="464" spans="1:16" customFormat="1" x14ac:dyDescent="0.3">
      <c r="A464" s="2"/>
      <c r="B464" s="3"/>
      <c r="P464" s="4"/>
    </row>
    <row r="465" spans="1:16" customFormat="1" x14ac:dyDescent="0.3">
      <c r="A465" s="2"/>
      <c r="B465" s="3"/>
      <c r="P465" s="4"/>
    </row>
    <row r="466" spans="1:16" customFormat="1" x14ac:dyDescent="0.3">
      <c r="A466" s="2"/>
      <c r="B466" s="3"/>
      <c r="P466" s="4"/>
    </row>
    <row r="467" spans="1:16" customFormat="1" x14ac:dyDescent="0.3">
      <c r="A467" s="2"/>
      <c r="B467" s="3"/>
      <c r="P467" s="4"/>
    </row>
    <row r="468" spans="1:16" customFormat="1" x14ac:dyDescent="0.3">
      <c r="A468" s="2"/>
      <c r="B468" s="3"/>
      <c r="P468" s="4"/>
    </row>
    <row r="469" spans="1:16" customFormat="1" x14ac:dyDescent="0.3">
      <c r="A469" s="2"/>
      <c r="B469" s="3"/>
      <c r="P469" s="4"/>
    </row>
    <row r="470" spans="1:16" customFormat="1" x14ac:dyDescent="0.3">
      <c r="A470" s="2"/>
      <c r="B470" s="3"/>
      <c r="P470" s="4"/>
    </row>
    <row r="471" spans="1:16" customFormat="1" x14ac:dyDescent="0.3">
      <c r="A471" s="2"/>
      <c r="B471" s="3"/>
      <c r="P471" s="4"/>
    </row>
    <row r="472" spans="1:16" customFormat="1" x14ac:dyDescent="0.3">
      <c r="A472" s="2"/>
      <c r="B472" s="3"/>
      <c r="P472" s="4"/>
    </row>
    <row r="473" spans="1:16" customFormat="1" x14ac:dyDescent="0.3">
      <c r="A473" s="2"/>
      <c r="B473" s="3"/>
      <c r="P473" s="4"/>
    </row>
    <row r="474" spans="1:16" customFormat="1" x14ac:dyDescent="0.3">
      <c r="A474" s="2"/>
      <c r="B474" s="3"/>
      <c r="P474" s="4"/>
    </row>
    <row r="475" spans="1:16" customFormat="1" x14ac:dyDescent="0.3">
      <c r="A475" s="2"/>
      <c r="B475" s="3"/>
      <c r="P475" s="4"/>
    </row>
    <row r="476" spans="1:16" customFormat="1" x14ac:dyDescent="0.3">
      <c r="A476" s="2"/>
      <c r="B476" s="3"/>
      <c r="P476" s="4"/>
    </row>
    <row r="477" spans="1:16" customFormat="1" x14ac:dyDescent="0.3">
      <c r="A477" s="2"/>
      <c r="B477" s="3"/>
      <c r="P477" s="4"/>
    </row>
    <row r="478" spans="1:16" customFormat="1" x14ac:dyDescent="0.3">
      <c r="A478" s="2"/>
      <c r="B478" s="3"/>
      <c r="P478" s="4"/>
    </row>
    <row r="479" spans="1:16" customFormat="1" x14ac:dyDescent="0.3">
      <c r="A479" s="2"/>
      <c r="B479" s="3"/>
      <c r="P479" s="4"/>
    </row>
    <row r="480" spans="1:16" customFormat="1" x14ac:dyDescent="0.3">
      <c r="A480" s="2"/>
      <c r="B480" s="3"/>
      <c r="P480" s="4"/>
    </row>
    <row r="481" spans="1:16" customFormat="1" x14ac:dyDescent="0.3">
      <c r="A481" s="2"/>
      <c r="B481" s="3"/>
      <c r="P481" s="4"/>
    </row>
    <row r="482" spans="1:16" customFormat="1" x14ac:dyDescent="0.3">
      <c r="A482" s="2"/>
      <c r="B482" s="3"/>
      <c r="P482" s="4"/>
    </row>
    <row r="483" spans="1:16" customFormat="1" x14ac:dyDescent="0.3">
      <c r="A483" s="2"/>
      <c r="B483" s="3"/>
      <c r="P483" s="4"/>
    </row>
    <row r="484" spans="1:16" customFormat="1" x14ac:dyDescent="0.3">
      <c r="A484" s="2"/>
      <c r="B484" s="3"/>
      <c r="P484" s="4"/>
    </row>
    <row r="485" spans="1:16" customFormat="1" x14ac:dyDescent="0.3">
      <c r="A485" s="2"/>
      <c r="B485" s="3"/>
      <c r="P485" s="4"/>
    </row>
    <row r="486" spans="1:16" customFormat="1" x14ac:dyDescent="0.3">
      <c r="A486" s="2"/>
      <c r="B486" s="3"/>
      <c r="P486" s="4"/>
    </row>
    <row r="487" spans="1:16" customFormat="1" x14ac:dyDescent="0.3">
      <c r="A487" s="2"/>
      <c r="B487" s="3"/>
      <c r="P487" s="4"/>
    </row>
    <row r="488" spans="1:16" customFormat="1" x14ac:dyDescent="0.3">
      <c r="A488" s="2"/>
      <c r="B488" s="3"/>
      <c r="P488" s="4"/>
    </row>
    <row r="489" spans="1:16" customFormat="1" x14ac:dyDescent="0.3">
      <c r="A489" s="2"/>
      <c r="B489" s="3"/>
      <c r="P489" s="4"/>
    </row>
    <row r="490" spans="1:16" customFormat="1" x14ac:dyDescent="0.3">
      <c r="A490" s="2"/>
      <c r="B490" s="3"/>
      <c r="P490" s="4"/>
    </row>
    <row r="491" spans="1:16" customFormat="1" x14ac:dyDescent="0.3">
      <c r="A491" s="2"/>
      <c r="B491" s="3"/>
      <c r="P491" s="4"/>
    </row>
    <row r="492" spans="1:16" customFormat="1" x14ac:dyDescent="0.3">
      <c r="A492" s="2"/>
      <c r="B492" s="3"/>
      <c r="P492" s="4"/>
    </row>
    <row r="493" spans="1:16" customFormat="1" x14ac:dyDescent="0.3">
      <c r="A493" s="2"/>
      <c r="B493" s="3"/>
      <c r="P493" s="4"/>
    </row>
    <row r="494" spans="1:16" customFormat="1" x14ac:dyDescent="0.3">
      <c r="A494" s="2"/>
      <c r="B494" s="3"/>
      <c r="P494" s="4"/>
    </row>
    <row r="495" spans="1:16" customFormat="1" x14ac:dyDescent="0.3">
      <c r="A495" s="2"/>
      <c r="B495" s="3"/>
      <c r="P495" s="4"/>
    </row>
    <row r="496" spans="1:16" customFormat="1" x14ac:dyDescent="0.3">
      <c r="A496" s="2"/>
      <c r="B496" s="3"/>
      <c r="P496" s="4"/>
    </row>
    <row r="497" spans="1:16" customFormat="1" x14ac:dyDescent="0.3">
      <c r="A497" s="2"/>
      <c r="B497" s="3"/>
      <c r="P497" s="4"/>
    </row>
    <row r="498" spans="1:16" customFormat="1" x14ac:dyDescent="0.3">
      <c r="A498" s="2"/>
      <c r="B498" s="3"/>
      <c r="P498" s="4"/>
    </row>
    <row r="499" spans="1:16" customFormat="1" x14ac:dyDescent="0.3">
      <c r="A499" s="2"/>
      <c r="B499" s="3"/>
      <c r="P499" s="4"/>
    </row>
    <row r="500" spans="1:16" customFormat="1" x14ac:dyDescent="0.3">
      <c r="A500" s="2"/>
      <c r="B500" s="3"/>
      <c r="P500" s="4"/>
    </row>
    <row r="501" spans="1:16" customFormat="1" x14ac:dyDescent="0.3">
      <c r="A501" s="2"/>
      <c r="B501" s="3"/>
      <c r="P501" s="4"/>
    </row>
    <row r="502" spans="1:16" customFormat="1" x14ac:dyDescent="0.3">
      <c r="A502" s="2"/>
      <c r="B502" s="3"/>
      <c r="P502" s="4"/>
    </row>
    <row r="503" spans="1:16" customFormat="1" x14ac:dyDescent="0.3">
      <c r="A503" s="2"/>
      <c r="B503" s="3"/>
      <c r="P503" s="4"/>
    </row>
    <row r="504" spans="1:16" customFormat="1" x14ac:dyDescent="0.3">
      <c r="A504" s="2"/>
      <c r="B504" s="3"/>
      <c r="P504" s="4"/>
    </row>
    <row r="505" spans="1:16" customFormat="1" x14ac:dyDescent="0.3">
      <c r="A505" s="2"/>
      <c r="B505" s="3"/>
      <c r="P505" s="4"/>
    </row>
    <row r="506" spans="1:16" customFormat="1" x14ac:dyDescent="0.3">
      <c r="A506" s="2"/>
      <c r="B506" s="3"/>
      <c r="P506" s="4"/>
    </row>
    <row r="507" spans="1:16" customFormat="1" x14ac:dyDescent="0.3">
      <c r="A507" s="2"/>
      <c r="B507" s="3"/>
      <c r="P507" s="4"/>
    </row>
    <row r="508" spans="1:16" customFormat="1" x14ac:dyDescent="0.3">
      <c r="A508" s="2"/>
      <c r="B508" s="3"/>
      <c r="P508" s="4"/>
    </row>
    <row r="509" spans="1:16" customFormat="1" x14ac:dyDescent="0.3">
      <c r="A509" s="2"/>
      <c r="B509" s="3"/>
      <c r="P509" s="4"/>
    </row>
    <row r="510" spans="1:16" customFormat="1" x14ac:dyDescent="0.3">
      <c r="A510" s="2"/>
      <c r="B510" s="3"/>
      <c r="P510" s="4"/>
    </row>
    <row r="511" spans="1:16" customFormat="1" x14ac:dyDescent="0.3">
      <c r="A511" s="2"/>
      <c r="B511" s="3"/>
      <c r="P511" s="4"/>
    </row>
    <row r="512" spans="1:16" customFormat="1" x14ac:dyDescent="0.3">
      <c r="A512" s="2"/>
      <c r="B512" s="3"/>
      <c r="P512" s="4"/>
    </row>
    <row r="513" spans="1:16" customFormat="1" x14ac:dyDescent="0.3">
      <c r="A513" s="2"/>
      <c r="B513" s="3"/>
      <c r="P513" s="4"/>
    </row>
    <row r="514" spans="1:16" customFormat="1" x14ac:dyDescent="0.3">
      <c r="A514" s="2"/>
      <c r="B514" s="3"/>
      <c r="P514" s="4"/>
    </row>
    <row r="515" spans="1:16" customFormat="1" x14ac:dyDescent="0.3">
      <c r="A515" s="2"/>
      <c r="B515" s="3"/>
      <c r="P515" s="4"/>
    </row>
    <row r="516" spans="1:16" customFormat="1" x14ac:dyDescent="0.3">
      <c r="A516" s="2"/>
      <c r="B516" s="3"/>
      <c r="P516" s="4"/>
    </row>
    <row r="517" spans="1:16" customFormat="1" x14ac:dyDescent="0.3">
      <c r="A517" s="2"/>
      <c r="B517" s="3"/>
      <c r="P517" s="4"/>
    </row>
    <row r="518" spans="1:16" customFormat="1" x14ac:dyDescent="0.3">
      <c r="A518" s="2"/>
      <c r="B518" s="3"/>
      <c r="P518" s="4"/>
    </row>
    <row r="519" spans="1:16" customFormat="1" x14ac:dyDescent="0.3">
      <c r="A519" s="2"/>
      <c r="B519" s="3"/>
      <c r="P519" s="4"/>
    </row>
    <row r="520" spans="1:16" customFormat="1" x14ac:dyDescent="0.3">
      <c r="A520" s="2"/>
      <c r="B520" s="3"/>
      <c r="P520" s="4"/>
    </row>
    <row r="521" spans="1:16" customFormat="1" x14ac:dyDescent="0.3">
      <c r="A521" s="2"/>
      <c r="B521" s="3"/>
      <c r="P521" s="4"/>
    </row>
    <row r="522" spans="1:16" customFormat="1" x14ac:dyDescent="0.3">
      <c r="A522" s="2"/>
      <c r="B522" s="3"/>
      <c r="P522" s="4"/>
    </row>
    <row r="523" spans="1:16" customFormat="1" x14ac:dyDescent="0.3">
      <c r="A523" s="2"/>
      <c r="B523" s="3"/>
      <c r="P523" s="4"/>
    </row>
    <row r="524" spans="1:16" customFormat="1" x14ac:dyDescent="0.3">
      <c r="A524" s="2"/>
      <c r="B524" s="3"/>
      <c r="P524" s="4"/>
    </row>
    <row r="525" spans="1:16" customFormat="1" x14ac:dyDescent="0.3">
      <c r="A525" s="2"/>
      <c r="B525" s="3"/>
      <c r="P525" s="4"/>
    </row>
    <row r="526" spans="1:16" customFormat="1" x14ac:dyDescent="0.3">
      <c r="A526" s="2"/>
      <c r="B526" s="3"/>
      <c r="P526" s="4"/>
    </row>
    <row r="527" spans="1:16" customFormat="1" x14ac:dyDescent="0.3">
      <c r="A527" s="2"/>
      <c r="B527" s="3"/>
      <c r="P527" s="4"/>
    </row>
    <row r="528" spans="1:16" customFormat="1" x14ac:dyDescent="0.3">
      <c r="A528" s="2"/>
      <c r="B528" s="3"/>
      <c r="P528" s="4"/>
    </row>
    <row r="529" spans="1:16" customFormat="1" x14ac:dyDescent="0.3">
      <c r="A529" s="2"/>
      <c r="B529" s="3"/>
      <c r="P529" s="4"/>
    </row>
    <row r="530" spans="1:16" customFormat="1" x14ac:dyDescent="0.3">
      <c r="A530" s="2"/>
      <c r="B530" s="3"/>
      <c r="P530" s="4"/>
    </row>
    <row r="531" spans="1:16" customFormat="1" x14ac:dyDescent="0.3">
      <c r="A531" s="2"/>
      <c r="B531" s="3"/>
      <c r="P531" s="4"/>
    </row>
    <row r="532" spans="1:16" customFormat="1" x14ac:dyDescent="0.3">
      <c r="A532" s="2"/>
      <c r="B532" s="3"/>
      <c r="P532" s="4"/>
    </row>
    <row r="533" spans="1:16" customFormat="1" x14ac:dyDescent="0.3">
      <c r="A533" s="2"/>
      <c r="B533" s="3"/>
      <c r="P533" s="4"/>
    </row>
    <row r="534" spans="1:16" customFormat="1" x14ac:dyDescent="0.3">
      <c r="A534" s="2"/>
      <c r="B534" s="3"/>
      <c r="P534" s="4"/>
    </row>
    <row r="535" spans="1:16" customFormat="1" x14ac:dyDescent="0.3">
      <c r="A535" s="2"/>
      <c r="B535" s="3"/>
      <c r="P535" s="4"/>
    </row>
    <row r="536" spans="1:16" customFormat="1" x14ac:dyDescent="0.3">
      <c r="A536" s="2"/>
      <c r="B536" s="3"/>
      <c r="P536" s="4"/>
    </row>
    <row r="537" spans="1:16" customFormat="1" x14ac:dyDescent="0.3">
      <c r="A537" s="2"/>
      <c r="B537" s="3"/>
      <c r="P537" s="4"/>
    </row>
    <row r="538" spans="1:16" customFormat="1" x14ac:dyDescent="0.3">
      <c r="A538" s="2"/>
      <c r="B538" s="3"/>
      <c r="P538" s="4"/>
    </row>
    <row r="539" spans="1:16" customFormat="1" x14ac:dyDescent="0.3">
      <c r="A539" s="2"/>
      <c r="B539" s="3"/>
      <c r="P539" s="4"/>
    </row>
    <row r="540" spans="1:16" customFormat="1" x14ac:dyDescent="0.3">
      <c r="A540" s="2"/>
      <c r="B540" s="3"/>
      <c r="P540" s="4"/>
    </row>
    <row r="541" spans="1:16" customFormat="1" x14ac:dyDescent="0.3">
      <c r="A541" s="2"/>
      <c r="B541" s="3"/>
      <c r="P541" s="4"/>
    </row>
    <row r="542" spans="1:16" customFormat="1" x14ac:dyDescent="0.3">
      <c r="A542" s="2"/>
      <c r="B542" s="3"/>
      <c r="P542" s="4"/>
    </row>
    <row r="543" spans="1:16" customFormat="1" x14ac:dyDescent="0.3">
      <c r="A543" s="2"/>
      <c r="B543" s="3"/>
      <c r="P543" s="4"/>
    </row>
    <row r="544" spans="1:16" customFormat="1" x14ac:dyDescent="0.3">
      <c r="A544" s="2"/>
      <c r="B544" s="3"/>
      <c r="P544" s="4"/>
    </row>
    <row r="545" spans="1:16" customFormat="1" x14ac:dyDescent="0.3">
      <c r="A545" s="2"/>
      <c r="B545" s="3"/>
      <c r="P545" s="4"/>
    </row>
    <row r="546" spans="1:16" customFormat="1" x14ac:dyDescent="0.3">
      <c r="A546" s="2"/>
      <c r="B546" s="3"/>
      <c r="P546" s="4"/>
    </row>
    <row r="547" spans="1:16" customFormat="1" x14ac:dyDescent="0.3">
      <c r="A547" s="2"/>
      <c r="B547" s="3"/>
      <c r="P547" s="4"/>
    </row>
    <row r="548" spans="1:16" customFormat="1" x14ac:dyDescent="0.3">
      <c r="A548" s="2"/>
      <c r="B548" s="3"/>
      <c r="P548" s="4"/>
    </row>
    <row r="549" spans="1:16" customFormat="1" x14ac:dyDescent="0.3">
      <c r="A549" s="2"/>
      <c r="B549" s="3"/>
      <c r="P549" s="4"/>
    </row>
    <row r="550" spans="1:16" customFormat="1" x14ac:dyDescent="0.3">
      <c r="A550" s="2"/>
      <c r="B550" s="3"/>
      <c r="P550" s="4"/>
    </row>
    <row r="551" spans="1:16" customFormat="1" x14ac:dyDescent="0.3">
      <c r="A551" s="2"/>
      <c r="B551" s="3"/>
      <c r="P551" s="4"/>
    </row>
    <row r="552" spans="1:16" customFormat="1" x14ac:dyDescent="0.3">
      <c r="A552" s="2"/>
      <c r="B552" s="3"/>
      <c r="P552" s="4"/>
    </row>
    <row r="553" spans="1:16" customFormat="1" x14ac:dyDescent="0.3">
      <c r="A553" s="2"/>
      <c r="B553" s="3"/>
      <c r="P553" s="4"/>
    </row>
    <row r="554" spans="1:16" customFormat="1" x14ac:dyDescent="0.3">
      <c r="A554" s="2"/>
      <c r="B554" s="3"/>
      <c r="P554" s="4"/>
    </row>
    <row r="555" spans="1:16" customFormat="1" x14ac:dyDescent="0.3">
      <c r="A555" s="2"/>
      <c r="B555" s="3"/>
      <c r="P555" s="4"/>
    </row>
    <row r="556" spans="1:16" customFormat="1" x14ac:dyDescent="0.3">
      <c r="A556" s="2"/>
      <c r="B556" s="3"/>
      <c r="P556" s="4"/>
    </row>
    <row r="557" spans="1:16" customFormat="1" x14ac:dyDescent="0.3">
      <c r="A557" s="2"/>
      <c r="B557" s="3"/>
      <c r="P557" s="4"/>
    </row>
    <row r="558" spans="1:16" customFormat="1" x14ac:dyDescent="0.3">
      <c r="A558" s="2"/>
      <c r="B558" s="3"/>
      <c r="P558" s="4"/>
    </row>
    <row r="559" spans="1:16" customFormat="1" x14ac:dyDescent="0.3">
      <c r="A559" s="2"/>
      <c r="B559" s="3"/>
      <c r="P559" s="4"/>
    </row>
    <row r="560" spans="1:16" customFormat="1" x14ac:dyDescent="0.3">
      <c r="A560" s="2"/>
      <c r="B560" s="3"/>
      <c r="P560" s="4"/>
    </row>
    <row r="561" spans="1:16" customFormat="1" x14ac:dyDescent="0.3">
      <c r="A561" s="2"/>
      <c r="B561" s="3"/>
      <c r="P561" s="4"/>
    </row>
    <row r="562" spans="1:16" customFormat="1" x14ac:dyDescent="0.3">
      <c r="A562" s="2"/>
      <c r="B562" s="3"/>
      <c r="P562" s="4"/>
    </row>
    <row r="563" spans="1:16" customFormat="1" x14ac:dyDescent="0.3">
      <c r="A563" s="2"/>
      <c r="B563" s="3"/>
      <c r="P563" s="4"/>
    </row>
    <row r="564" spans="1:16" customFormat="1" x14ac:dyDescent="0.3">
      <c r="A564" s="2"/>
      <c r="B564" s="3"/>
      <c r="P564" s="4"/>
    </row>
    <row r="565" spans="1:16" customFormat="1" x14ac:dyDescent="0.3">
      <c r="A565" s="2"/>
      <c r="B565" s="3"/>
      <c r="P565" s="4"/>
    </row>
    <row r="566" spans="1:16" customFormat="1" x14ac:dyDescent="0.3">
      <c r="A566" s="2"/>
      <c r="B566" s="3"/>
      <c r="P566" s="4"/>
    </row>
    <row r="567" spans="1:16" customFormat="1" x14ac:dyDescent="0.3">
      <c r="A567" s="2"/>
      <c r="B567" s="3"/>
      <c r="P567" s="4"/>
    </row>
    <row r="568" spans="1:16" customFormat="1" x14ac:dyDescent="0.3">
      <c r="A568" s="2"/>
      <c r="B568" s="3"/>
      <c r="P568" s="4"/>
    </row>
    <row r="569" spans="1:16" customFormat="1" x14ac:dyDescent="0.3">
      <c r="A569" s="2"/>
      <c r="B569" s="3"/>
      <c r="P569" s="4"/>
    </row>
    <row r="570" spans="1:16" customFormat="1" x14ac:dyDescent="0.3">
      <c r="A570" s="2"/>
      <c r="B570" s="3"/>
      <c r="P570" s="4"/>
    </row>
    <row r="571" spans="1:16" customFormat="1" x14ac:dyDescent="0.3">
      <c r="A571" s="2"/>
      <c r="B571" s="3"/>
      <c r="P571" s="4"/>
    </row>
    <row r="572" spans="1:16" customFormat="1" x14ac:dyDescent="0.3">
      <c r="A572" s="2"/>
      <c r="B572" s="3"/>
      <c r="P572" s="4"/>
    </row>
    <row r="573" spans="1:16" customFormat="1" x14ac:dyDescent="0.3">
      <c r="A573" s="2"/>
      <c r="B573" s="3"/>
      <c r="P573" s="4"/>
    </row>
    <row r="574" spans="1:16" customFormat="1" x14ac:dyDescent="0.3">
      <c r="A574" s="2"/>
      <c r="B574" s="3"/>
      <c r="P574" s="4"/>
    </row>
    <row r="575" spans="1:16" customFormat="1" x14ac:dyDescent="0.3">
      <c r="A575" s="2"/>
      <c r="B575" s="3"/>
      <c r="P575" s="4"/>
    </row>
    <row r="576" spans="1:16" customFormat="1" x14ac:dyDescent="0.3">
      <c r="A576" s="2"/>
      <c r="B576" s="3"/>
      <c r="P576" s="4"/>
    </row>
    <row r="577" spans="1:16" customFormat="1" x14ac:dyDescent="0.3">
      <c r="A577" s="2"/>
      <c r="B577" s="3"/>
      <c r="P577" s="4"/>
    </row>
    <row r="578" spans="1:16" customFormat="1" x14ac:dyDescent="0.3">
      <c r="A578" s="2"/>
      <c r="B578" s="3"/>
      <c r="P578" s="4"/>
    </row>
    <row r="579" spans="1:16" customFormat="1" x14ac:dyDescent="0.3">
      <c r="A579" s="2"/>
      <c r="B579" s="3"/>
      <c r="P579" s="4"/>
    </row>
    <row r="580" spans="1:16" customFormat="1" x14ac:dyDescent="0.3">
      <c r="A580" s="2"/>
      <c r="B580" s="3"/>
      <c r="P580" s="4"/>
    </row>
    <row r="581" spans="1:16" customFormat="1" x14ac:dyDescent="0.3">
      <c r="A581" s="2"/>
      <c r="B581" s="3"/>
      <c r="P581" s="4"/>
    </row>
    <row r="582" spans="1:16" customFormat="1" x14ac:dyDescent="0.3">
      <c r="A582" s="2"/>
      <c r="B582" s="3"/>
      <c r="P582" s="4"/>
    </row>
    <row r="583" spans="1:16" customFormat="1" x14ac:dyDescent="0.3">
      <c r="A583" s="2"/>
      <c r="B583" s="3"/>
      <c r="P583" s="4"/>
    </row>
    <row r="584" spans="1:16" customFormat="1" x14ac:dyDescent="0.3">
      <c r="A584" s="2"/>
      <c r="B584" s="3"/>
      <c r="P584" s="4"/>
    </row>
    <row r="585" spans="1:16" customFormat="1" x14ac:dyDescent="0.3">
      <c r="A585" s="2"/>
      <c r="B585" s="3"/>
      <c r="P585" s="4"/>
    </row>
    <row r="586" spans="1:16" customFormat="1" x14ac:dyDescent="0.3">
      <c r="A586" s="2"/>
      <c r="B586" s="3"/>
      <c r="P586" s="4"/>
    </row>
    <row r="587" spans="1:16" customFormat="1" x14ac:dyDescent="0.3">
      <c r="A587" s="2"/>
      <c r="B587" s="3"/>
      <c r="P587" s="4"/>
    </row>
    <row r="588" spans="1:16" customFormat="1" x14ac:dyDescent="0.3">
      <c r="A588" s="2"/>
      <c r="B588" s="3"/>
      <c r="P588" s="4"/>
    </row>
    <row r="589" spans="1:16" customFormat="1" x14ac:dyDescent="0.3">
      <c r="A589" s="2"/>
      <c r="B589" s="3"/>
      <c r="P589" s="4"/>
    </row>
    <row r="590" spans="1:16" customFormat="1" x14ac:dyDescent="0.3">
      <c r="A590" s="2"/>
      <c r="B590" s="3"/>
      <c r="P590" s="4"/>
    </row>
    <row r="591" spans="1:16" customFormat="1" x14ac:dyDescent="0.3">
      <c r="A591" s="2"/>
      <c r="B591" s="3"/>
      <c r="P591" s="4"/>
    </row>
    <row r="592" spans="1:16" customFormat="1" x14ac:dyDescent="0.3">
      <c r="A592" s="2"/>
      <c r="B592" s="3"/>
      <c r="P592" s="4"/>
    </row>
    <row r="593" spans="1:16" customFormat="1" x14ac:dyDescent="0.3">
      <c r="A593" s="2"/>
      <c r="B593" s="3"/>
      <c r="P593" s="4"/>
    </row>
    <row r="594" spans="1:16" customFormat="1" x14ac:dyDescent="0.3">
      <c r="A594" s="2"/>
      <c r="B594" s="3"/>
      <c r="P594" s="4"/>
    </row>
    <row r="595" spans="1:16" customFormat="1" x14ac:dyDescent="0.3">
      <c r="A595" s="2"/>
      <c r="B595" s="3"/>
      <c r="P595" s="4"/>
    </row>
    <row r="596" spans="1:16" customFormat="1" x14ac:dyDescent="0.3">
      <c r="A596" s="2"/>
      <c r="B596" s="3"/>
      <c r="P596" s="4"/>
    </row>
    <row r="597" spans="1:16" customFormat="1" x14ac:dyDescent="0.3">
      <c r="A597" s="2"/>
      <c r="B597" s="3"/>
      <c r="P597" s="4"/>
    </row>
    <row r="598" spans="1:16" customFormat="1" x14ac:dyDescent="0.3">
      <c r="A598" s="2"/>
      <c r="B598" s="3"/>
      <c r="P598" s="4"/>
    </row>
    <row r="599" spans="1:16" customFormat="1" x14ac:dyDescent="0.3">
      <c r="A599" s="2"/>
      <c r="B599" s="3"/>
      <c r="P599" s="4"/>
    </row>
    <row r="600" spans="1:16" customFormat="1" x14ac:dyDescent="0.3">
      <c r="A600" s="2"/>
      <c r="B600" s="3"/>
      <c r="P600" s="4"/>
    </row>
    <row r="601" spans="1:16" customFormat="1" x14ac:dyDescent="0.3">
      <c r="A601" s="2"/>
      <c r="B601" s="3"/>
      <c r="P601" s="4"/>
    </row>
    <row r="602" spans="1:16" customFormat="1" x14ac:dyDescent="0.3">
      <c r="A602" s="2"/>
      <c r="B602" s="3"/>
      <c r="P602" s="4"/>
    </row>
    <row r="603" spans="1:16" customFormat="1" x14ac:dyDescent="0.3">
      <c r="A603" s="2"/>
      <c r="B603" s="3"/>
      <c r="P603" s="4"/>
    </row>
    <row r="604" spans="1:16" customFormat="1" x14ac:dyDescent="0.3">
      <c r="A604" s="2"/>
      <c r="B604" s="3"/>
      <c r="P604" s="4"/>
    </row>
    <row r="605" spans="1:16" customFormat="1" x14ac:dyDescent="0.3">
      <c r="A605" s="2"/>
      <c r="B605" s="3"/>
      <c r="P605" s="4"/>
    </row>
    <row r="606" spans="1:16" customFormat="1" x14ac:dyDescent="0.3">
      <c r="A606" s="2"/>
      <c r="B606" s="3"/>
      <c r="P606" s="4"/>
    </row>
    <row r="607" spans="1:16" customFormat="1" x14ac:dyDescent="0.3">
      <c r="A607" s="2"/>
      <c r="B607" s="3"/>
      <c r="P607" s="4"/>
    </row>
    <row r="608" spans="1:16" customFormat="1" x14ac:dyDescent="0.3">
      <c r="A608" s="2"/>
      <c r="B608" s="3"/>
      <c r="P608" s="4"/>
    </row>
    <row r="609" spans="1:16" customFormat="1" x14ac:dyDescent="0.3">
      <c r="A609" s="2"/>
      <c r="B609" s="3"/>
      <c r="P609" s="4"/>
    </row>
    <row r="610" spans="1:16" customFormat="1" x14ac:dyDescent="0.3">
      <c r="A610" s="2"/>
      <c r="B610" s="3"/>
      <c r="P610" s="4"/>
    </row>
    <row r="611" spans="1:16" customFormat="1" x14ac:dyDescent="0.3">
      <c r="A611" s="2"/>
      <c r="B611" s="3"/>
      <c r="P611" s="4"/>
    </row>
    <row r="612" spans="1:16" customFormat="1" x14ac:dyDescent="0.3">
      <c r="A612" s="2"/>
      <c r="B612" s="3"/>
      <c r="P612" s="4"/>
    </row>
    <row r="613" spans="1:16" customFormat="1" x14ac:dyDescent="0.3">
      <c r="A613" s="2"/>
      <c r="B613" s="3"/>
      <c r="P613" s="4"/>
    </row>
    <row r="614" spans="1:16" customFormat="1" x14ac:dyDescent="0.3">
      <c r="A614" s="2"/>
      <c r="B614" s="3"/>
      <c r="P614" s="4"/>
    </row>
    <row r="615" spans="1:16" customFormat="1" x14ac:dyDescent="0.3">
      <c r="A615" s="2"/>
      <c r="B615" s="3"/>
      <c r="P615" s="4"/>
    </row>
    <row r="616" spans="1:16" customFormat="1" x14ac:dyDescent="0.3">
      <c r="A616" s="2"/>
      <c r="B616" s="3"/>
      <c r="P616" s="4"/>
    </row>
    <row r="617" spans="1:16" customFormat="1" x14ac:dyDescent="0.3">
      <c r="A617" s="2"/>
      <c r="B617" s="3"/>
      <c r="P617" s="4"/>
    </row>
    <row r="618" spans="1:16" customFormat="1" x14ac:dyDescent="0.3">
      <c r="A618" s="2"/>
      <c r="B618" s="3"/>
      <c r="P618" s="4"/>
    </row>
    <row r="619" spans="1:16" customFormat="1" x14ac:dyDescent="0.3">
      <c r="A619" s="2"/>
      <c r="B619" s="3"/>
      <c r="P619" s="4"/>
    </row>
    <row r="620" spans="1:16" customFormat="1" x14ac:dyDescent="0.3">
      <c r="A620" s="2"/>
      <c r="B620" s="3"/>
      <c r="P620" s="4"/>
    </row>
    <row r="621" spans="1:16" customFormat="1" x14ac:dyDescent="0.3">
      <c r="A621" s="2"/>
      <c r="B621" s="3"/>
      <c r="P621" s="4"/>
    </row>
    <row r="622" spans="1:16" customFormat="1" x14ac:dyDescent="0.3">
      <c r="A622" s="2"/>
      <c r="B622" s="3"/>
      <c r="P622" s="4"/>
    </row>
    <row r="623" spans="1:16" customFormat="1" x14ac:dyDescent="0.3">
      <c r="A623" s="2"/>
      <c r="B623" s="3"/>
      <c r="P623" s="4"/>
    </row>
    <row r="624" spans="1:16" customFormat="1" x14ac:dyDescent="0.3">
      <c r="A624" s="2"/>
      <c r="B624" s="3"/>
      <c r="P624" s="4"/>
    </row>
    <row r="625" spans="1:16" customFormat="1" x14ac:dyDescent="0.3">
      <c r="A625" s="2"/>
      <c r="B625" s="3"/>
      <c r="P625" s="4"/>
    </row>
    <row r="626" spans="1:16" customFormat="1" x14ac:dyDescent="0.3">
      <c r="A626" s="2"/>
      <c r="B626" s="3"/>
      <c r="P626" s="4"/>
    </row>
    <row r="627" spans="1:16" customFormat="1" x14ac:dyDescent="0.3">
      <c r="A627" s="2"/>
      <c r="B627" s="3"/>
      <c r="P627" s="4"/>
    </row>
    <row r="628" spans="1:16" customFormat="1" x14ac:dyDescent="0.3">
      <c r="A628" s="2"/>
      <c r="B628" s="3"/>
      <c r="P628" s="4"/>
    </row>
    <row r="629" spans="1:16" customFormat="1" x14ac:dyDescent="0.3">
      <c r="A629" s="2"/>
      <c r="B629" s="3"/>
      <c r="P629" s="4"/>
    </row>
    <row r="630" spans="1:16" customFormat="1" x14ac:dyDescent="0.3">
      <c r="A630" s="2"/>
      <c r="B630" s="3"/>
      <c r="P630" s="4"/>
    </row>
    <row r="631" spans="1:16" customFormat="1" x14ac:dyDescent="0.3">
      <c r="A631" s="2"/>
      <c r="B631" s="3"/>
      <c r="P631" s="4"/>
    </row>
    <row r="632" spans="1:16" customFormat="1" x14ac:dyDescent="0.3">
      <c r="A632" s="2"/>
      <c r="B632" s="3"/>
      <c r="P632" s="4"/>
    </row>
    <row r="633" spans="1:16" customFormat="1" x14ac:dyDescent="0.3">
      <c r="A633" s="2"/>
      <c r="B633" s="3"/>
      <c r="P633" s="4"/>
    </row>
    <row r="634" spans="1:16" customFormat="1" x14ac:dyDescent="0.3">
      <c r="A634" s="2"/>
      <c r="B634" s="3"/>
      <c r="P634" s="4"/>
    </row>
    <row r="635" spans="1:16" customFormat="1" x14ac:dyDescent="0.3">
      <c r="A635" s="2"/>
      <c r="B635" s="3"/>
      <c r="P635" s="4"/>
    </row>
    <row r="636" spans="1:16" customFormat="1" x14ac:dyDescent="0.3">
      <c r="A636" s="2"/>
      <c r="B636" s="3"/>
      <c r="P636" s="4"/>
    </row>
    <row r="637" spans="1:16" customFormat="1" x14ac:dyDescent="0.3">
      <c r="A637" s="2"/>
      <c r="B637" s="3"/>
      <c r="P637" s="4"/>
    </row>
    <row r="638" spans="1:16" customFormat="1" x14ac:dyDescent="0.3">
      <c r="A638" s="2"/>
      <c r="B638" s="3"/>
      <c r="P638" s="4"/>
    </row>
    <row r="639" spans="1:16" customFormat="1" x14ac:dyDescent="0.3">
      <c r="A639" s="2"/>
      <c r="B639" s="3"/>
      <c r="P639" s="4"/>
    </row>
    <row r="640" spans="1:16" customFormat="1" x14ac:dyDescent="0.3">
      <c r="A640" s="2"/>
      <c r="B640" s="3"/>
      <c r="P640" s="4"/>
    </row>
    <row r="641" spans="1:16" customFormat="1" x14ac:dyDescent="0.3">
      <c r="A641" s="2"/>
      <c r="B641" s="3"/>
      <c r="P641" s="4"/>
    </row>
    <row r="642" spans="1:16" customFormat="1" x14ac:dyDescent="0.3">
      <c r="A642" s="2"/>
      <c r="B642" s="3"/>
      <c r="P642" s="4"/>
    </row>
    <row r="643" spans="1:16" customFormat="1" x14ac:dyDescent="0.3">
      <c r="A643" s="2"/>
      <c r="B643" s="3"/>
      <c r="P643" s="4"/>
    </row>
    <row r="644" spans="1:16" customFormat="1" x14ac:dyDescent="0.3">
      <c r="A644" s="2"/>
      <c r="B644" s="3"/>
      <c r="P644" s="4"/>
    </row>
    <row r="645" spans="1:16" customFormat="1" x14ac:dyDescent="0.3">
      <c r="A645" s="2"/>
      <c r="B645" s="3"/>
      <c r="P645" s="4"/>
    </row>
    <row r="646" spans="1:16" customFormat="1" x14ac:dyDescent="0.3">
      <c r="A646" s="2"/>
      <c r="B646" s="3"/>
      <c r="P646" s="4"/>
    </row>
    <row r="647" spans="1:16" customFormat="1" x14ac:dyDescent="0.3">
      <c r="A647" s="2"/>
      <c r="B647" s="3"/>
      <c r="P647" s="4"/>
    </row>
    <row r="648" spans="1:16" customFormat="1" x14ac:dyDescent="0.3">
      <c r="A648" s="2"/>
      <c r="B648" s="3"/>
      <c r="P648" s="4"/>
    </row>
    <row r="649" spans="1:16" customFormat="1" x14ac:dyDescent="0.3">
      <c r="A649" s="2"/>
      <c r="B649" s="3"/>
      <c r="P649" s="4"/>
    </row>
    <row r="650" spans="1:16" customFormat="1" x14ac:dyDescent="0.3">
      <c r="A650" s="2"/>
      <c r="B650" s="3"/>
      <c r="P650" s="4"/>
    </row>
    <row r="651" spans="1:16" customFormat="1" x14ac:dyDescent="0.3">
      <c r="A651" s="2"/>
      <c r="B651" s="3"/>
      <c r="P651" s="4"/>
    </row>
    <row r="652" spans="1:16" customFormat="1" x14ac:dyDescent="0.3">
      <c r="A652" s="2"/>
      <c r="B652" s="3"/>
      <c r="P652" s="4"/>
    </row>
    <row r="653" spans="1:16" customFormat="1" x14ac:dyDescent="0.3">
      <c r="A653" s="2"/>
      <c r="B653" s="3"/>
      <c r="P653" s="4"/>
    </row>
    <row r="654" spans="1:16" customFormat="1" x14ac:dyDescent="0.3">
      <c r="A654" s="2"/>
      <c r="B654" s="3"/>
      <c r="P654" s="4"/>
    </row>
    <row r="655" spans="1:16" customFormat="1" x14ac:dyDescent="0.3">
      <c r="A655" s="2"/>
      <c r="B655" s="3"/>
      <c r="P655" s="4"/>
    </row>
    <row r="656" spans="1:16" customFormat="1" x14ac:dyDescent="0.3">
      <c r="A656" s="2"/>
      <c r="B656" s="3"/>
      <c r="P656" s="4"/>
    </row>
    <row r="657" spans="1:16" customFormat="1" x14ac:dyDescent="0.3">
      <c r="A657" s="2"/>
      <c r="B657" s="3"/>
      <c r="P657" s="4"/>
    </row>
    <row r="658" spans="1:16" customFormat="1" x14ac:dyDescent="0.3">
      <c r="A658" s="2"/>
      <c r="B658" s="3"/>
      <c r="P658" s="4"/>
    </row>
    <row r="659" spans="1:16" customFormat="1" x14ac:dyDescent="0.3">
      <c r="A659" s="2"/>
      <c r="B659" s="3"/>
      <c r="P659" s="4"/>
    </row>
    <row r="660" spans="1:16" customFormat="1" x14ac:dyDescent="0.3">
      <c r="A660" s="2"/>
      <c r="B660" s="3"/>
      <c r="P660" s="4"/>
    </row>
    <row r="661" spans="1:16" customFormat="1" x14ac:dyDescent="0.3">
      <c r="A661" s="2"/>
      <c r="B661" s="3"/>
      <c r="P661" s="4"/>
    </row>
    <row r="662" spans="1:16" customFormat="1" x14ac:dyDescent="0.3">
      <c r="A662" s="2"/>
      <c r="B662" s="3"/>
      <c r="P662" s="4"/>
    </row>
    <row r="663" spans="1:16" customFormat="1" x14ac:dyDescent="0.3">
      <c r="A663" s="2"/>
      <c r="B663" s="3"/>
      <c r="P663" s="4"/>
    </row>
    <row r="664" spans="1:16" customFormat="1" x14ac:dyDescent="0.3">
      <c r="A664" s="2"/>
      <c r="B664" s="3"/>
      <c r="P664" s="4"/>
    </row>
    <row r="665" spans="1:16" customFormat="1" x14ac:dyDescent="0.3">
      <c r="A665" s="2"/>
      <c r="B665" s="3"/>
      <c r="P665" s="4"/>
    </row>
    <row r="666" spans="1:16" customFormat="1" x14ac:dyDescent="0.3">
      <c r="A666" s="2"/>
      <c r="B666" s="3"/>
      <c r="P666" s="4"/>
    </row>
    <row r="667" spans="1:16" customFormat="1" x14ac:dyDescent="0.3">
      <c r="A667" s="2"/>
      <c r="B667" s="3"/>
      <c r="P667" s="4"/>
    </row>
    <row r="668" spans="1:16" customFormat="1" x14ac:dyDescent="0.3">
      <c r="A668" s="2"/>
      <c r="B668" s="3"/>
      <c r="P668" s="4"/>
    </row>
    <row r="669" spans="1:16" customFormat="1" x14ac:dyDescent="0.3">
      <c r="A669" s="2"/>
      <c r="B669" s="3"/>
      <c r="P669" s="4"/>
    </row>
    <row r="670" spans="1:16" customFormat="1" x14ac:dyDescent="0.3">
      <c r="A670" s="2"/>
      <c r="B670" s="3"/>
      <c r="P670" s="4"/>
    </row>
    <row r="671" spans="1:16" customFormat="1" x14ac:dyDescent="0.3">
      <c r="A671" s="2"/>
      <c r="B671" s="3"/>
      <c r="P671" s="4"/>
    </row>
    <row r="672" spans="1:16" customFormat="1" x14ac:dyDescent="0.3">
      <c r="A672" s="2"/>
      <c r="B672" s="3"/>
      <c r="P672" s="4"/>
    </row>
    <row r="673" spans="1:16" customFormat="1" x14ac:dyDescent="0.3">
      <c r="A673" s="2"/>
      <c r="B673" s="3"/>
      <c r="P673" s="4"/>
    </row>
    <row r="674" spans="1:16" customFormat="1" x14ac:dyDescent="0.3">
      <c r="A674" s="2"/>
      <c r="B674" s="3"/>
      <c r="P674" s="4"/>
    </row>
    <row r="675" spans="1:16" customFormat="1" x14ac:dyDescent="0.3">
      <c r="A675" s="2"/>
      <c r="B675" s="3"/>
      <c r="P675" s="4"/>
    </row>
    <row r="676" spans="1:16" customFormat="1" x14ac:dyDescent="0.3">
      <c r="A676" s="2"/>
      <c r="B676" s="3"/>
      <c r="P676" s="4"/>
    </row>
    <row r="677" spans="1:16" customFormat="1" x14ac:dyDescent="0.3">
      <c r="A677" s="2"/>
      <c r="B677" s="3"/>
      <c r="P677" s="4"/>
    </row>
    <row r="678" spans="1:16" customFormat="1" x14ac:dyDescent="0.3">
      <c r="A678" s="2"/>
      <c r="B678" s="3"/>
      <c r="P678" s="4"/>
    </row>
    <row r="679" spans="1:16" customFormat="1" x14ac:dyDescent="0.3">
      <c r="A679" s="2"/>
      <c r="B679" s="3"/>
      <c r="P679" s="4"/>
    </row>
    <row r="680" spans="1:16" customFormat="1" x14ac:dyDescent="0.3">
      <c r="A680" s="2"/>
      <c r="B680" s="3"/>
      <c r="P680" s="4"/>
    </row>
    <row r="681" spans="1:16" customFormat="1" x14ac:dyDescent="0.3">
      <c r="A681" s="2"/>
      <c r="B681" s="3"/>
      <c r="P681" s="4"/>
    </row>
    <row r="682" spans="1:16" customFormat="1" x14ac:dyDescent="0.3">
      <c r="A682" s="2"/>
      <c r="B682" s="3"/>
      <c r="P682" s="4"/>
    </row>
    <row r="683" spans="1:16" customFormat="1" x14ac:dyDescent="0.3">
      <c r="A683" s="2"/>
      <c r="B683" s="3"/>
      <c r="P683" s="4"/>
    </row>
    <row r="684" spans="1:16" customFormat="1" x14ac:dyDescent="0.3">
      <c r="A684" s="2"/>
      <c r="B684" s="3"/>
      <c r="P684" s="4"/>
    </row>
    <row r="685" spans="1:16" customFormat="1" x14ac:dyDescent="0.3">
      <c r="A685" s="2"/>
      <c r="B685" s="3"/>
      <c r="P685" s="4"/>
    </row>
    <row r="686" spans="1:16" customFormat="1" x14ac:dyDescent="0.3">
      <c r="A686" s="2"/>
      <c r="B686" s="3"/>
      <c r="P686" s="4"/>
    </row>
    <row r="687" spans="1:16" customFormat="1" x14ac:dyDescent="0.3">
      <c r="A687" s="2"/>
      <c r="B687" s="3"/>
      <c r="P687" s="4"/>
    </row>
    <row r="688" spans="1:16" customFormat="1" x14ac:dyDescent="0.3">
      <c r="A688" s="2"/>
      <c r="B688" s="3"/>
      <c r="P688" s="4"/>
    </row>
    <row r="689" spans="1:16" customFormat="1" x14ac:dyDescent="0.3">
      <c r="A689" s="2"/>
      <c r="B689" s="3"/>
      <c r="P689" s="4"/>
    </row>
    <row r="690" spans="1:16" customFormat="1" x14ac:dyDescent="0.3">
      <c r="A690" s="2"/>
      <c r="B690" s="3"/>
      <c r="P690" s="4"/>
    </row>
    <row r="691" spans="1:16" customFormat="1" x14ac:dyDescent="0.3">
      <c r="A691" s="2"/>
      <c r="B691" s="3"/>
      <c r="P691" s="4"/>
    </row>
    <row r="692" spans="1:16" customFormat="1" x14ac:dyDescent="0.3">
      <c r="A692" s="2"/>
      <c r="B692" s="3"/>
      <c r="P692" s="4"/>
    </row>
    <row r="693" spans="1:16" customFormat="1" x14ac:dyDescent="0.3">
      <c r="A693" s="2"/>
      <c r="B693" s="3"/>
      <c r="P693" s="4"/>
    </row>
    <row r="694" spans="1:16" customFormat="1" x14ac:dyDescent="0.3">
      <c r="A694" s="2"/>
      <c r="B694" s="3"/>
      <c r="P694" s="4"/>
    </row>
    <row r="695" spans="1:16" customFormat="1" x14ac:dyDescent="0.3">
      <c r="A695" s="2"/>
      <c r="B695" s="3"/>
      <c r="P695" s="4"/>
    </row>
    <row r="696" spans="1:16" customFormat="1" x14ac:dyDescent="0.3">
      <c r="A696" s="2"/>
      <c r="B696" s="3"/>
      <c r="P696" s="4"/>
    </row>
    <row r="697" spans="1:16" customFormat="1" x14ac:dyDescent="0.3">
      <c r="A697" s="2"/>
      <c r="B697" s="3"/>
      <c r="P697" s="4"/>
    </row>
    <row r="698" spans="1:16" customFormat="1" x14ac:dyDescent="0.3">
      <c r="A698" s="2"/>
      <c r="B698" s="3"/>
      <c r="P698" s="4"/>
    </row>
    <row r="699" spans="1:16" customFormat="1" x14ac:dyDescent="0.3">
      <c r="A699" s="2"/>
      <c r="B699" s="3"/>
      <c r="P699" s="4"/>
    </row>
    <row r="700" spans="1:16" customFormat="1" x14ac:dyDescent="0.3">
      <c r="A700" s="2"/>
      <c r="B700" s="3"/>
      <c r="P700" s="4"/>
    </row>
    <row r="701" spans="1:16" customFormat="1" x14ac:dyDescent="0.3">
      <c r="A701" s="2"/>
      <c r="B701" s="3"/>
      <c r="P701" s="4"/>
    </row>
    <row r="702" spans="1:16" customFormat="1" x14ac:dyDescent="0.3">
      <c r="A702" s="2"/>
      <c r="B702" s="3"/>
      <c r="P702" s="4"/>
    </row>
    <row r="703" spans="1:16" customFormat="1" x14ac:dyDescent="0.3">
      <c r="A703" s="2"/>
      <c r="B703" s="3"/>
      <c r="P703" s="4"/>
    </row>
    <row r="704" spans="1:16" customFormat="1" x14ac:dyDescent="0.3">
      <c r="A704" s="2"/>
      <c r="B704" s="3"/>
      <c r="P704" s="4"/>
    </row>
    <row r="705" spans="1:16" customFormat="1" x14ac:dyDescent="0.3">
      <c r="A705" s="2"/>
      <c r="B705" s="3"/>
      <c r="P705" s="4"/>
    </row>
    <row r="706" spans="1:16" customFormat="1" x14ac:dyDescent="0.3">
      <c r="A706" s="2"/>
      <c r="B706" s="3"/>
      <c r="P706" s="4"/>
    </row>
    <row r="707" spans="1:16" customFormat="1" x14ac:dyDescent="0.3">
      <c r="A707" s="2"/>
      <c r="B707" s="3"/>
      <c r="P707" s="4"/>
    </row>
    <row r="708" spans="1:16" customFormat="1" x14ac:dyDescent="0.3">
      <c r="A708" s="2"/>
      <c r="B708" s="3"/>
      <c r="P708" s="4"/>
    </row>
    <row r="709" spans="1:16" customFormat="1" x14ac:dyDescent="0.3">
      <c r="A709" s="2"/>
      <c r="B709" s="3"/>
      <c r="P709" s="4"/>
    </row>
    <row r="710" spans="1:16" customFormat="1" x14ac:dyDescent="0.3">
      <c r="A710" s="2"/>
      <c r="B710" s="3"/>
      <c r="P710" s="4"/>
    </row>
    <row r="711" spans="1:16" customFormat="1" x14ac:dyDescent="0.3">
      <c r="A711" s="2"/>
      <c r="B711" s="3"/>
      <c r="P711" s="4"/>
    </row>
    <row r="712" spans="1:16" customFormat="1" x14ac:dyDescent="0.3">
      <c r="A712" s="2"/>
      <c r="B712" s="3"/>
      <c r="P712" s="4"/>
    </row>
    <row r="713" spans="1:16" customFormat="1" x14ac:dyDescent="0.3">
      <c r="A713" s="2"/>
      <c r="B713" s="3"/>
      <c r="P713" s="4"/>
    </row>
    <row r="714" spans="1:16" customFormat="1" x14ac:dyDescent="0.3">
      <c r="A714" s="2"/>
      <c r="B714" s="3"/>
      <c r="P714" s="4"/>
    </row>
    <row r="715" spans="1:16" customFormat="1" x14ac:dyDescent="0.3">
      <c r="A715" s="2"/>
      <c r="B715" s="3"/>
      <c r="P715" s="4"/>
    </row>
    <row r="716" spans="1:16" customFormat="1" x14ac:dyDescent="0.3">
      <c r="A716" s="2"/>
      <c r="B716" s="3"/>
      <c r="P716" s="4"/>
    </row>
    <row r="717" spans="1:16" customFormat="1" x14ac:dyDescent="0.3">
      <c r="A717" s="2"/>
      <c r="B717" s="3"/>
      <c r="P717" s="4"/>
    </row>
    <row r="718" spans="1:16" customFormat="1" x14ac:dyDescent="0.3">
      <c r="A718" s="2"/>
      <c r="B718" s="3"/>
      <c r="P718" s="4"/>
    </row>
    <row r="719" spans="1:16" customFormat="1" x14ac:dyDescent="0.3">
      <c r="A719" s="2"/>
      <c r="B719" s="3"/>
      <c r="P719" s="4"/>
    </row>
    <row r="720" spans="1:16" customFormat="1" x14ac:dyDescent="0.3">
      <c r="A720" s="2"/>
      <c r="B720" s="3"/>
      <c r="P720" s="4"/>
    </row>
    <row r="721" spans="1:16" customFormat="1" x14ac:dyDescent="0.3">
      <c r="A721" s="2"/>
      <c r="B721" s="3"/>
      <c r="P721" s="4"/>
    </row>
    <row r="722" spans="1:16" customFormat="1" x14ac:dyDescent="0.3">
      <c r="A722" s="2"/>
      <c r="B722" s="3"/>
      <c r="P722" s="4"/>
    </row>
    <row r="723" spans="1:16" customFormat="1" x14ac:dyDescent="0.3">
      <c r="A723" s="2"/>
      <c r="B723" s="3"/>
      <c r="P723" s="4"/>
    </row>
    <row r="724" spans="1:16" customFormat="1" x14ac:dyDescent="0.3">
      <c r="A724" s="2"/>
      <c r="B724" s="3"/>
      <c r="P724" s="4"/>
    </row>
    <row r="725" spans="1:16" customFormat="1" x14ac:dyDescent="0.3">
      <c r="A725" s="2"/>
      <c r="B725" s="3"/>
      <c r="P725" s="4"/>
    </row>
    <row r="726" spans="1:16" customFormat="1" x14ac:dyDescent="0.3">
      <c r="A726" s="2"/>
      <c r="B726" s="3"/>
      <c r="P726" s="4"/>
    </row>
    <row r="727" spans="1:16" customFormat="1" x14ac:dyDescent="0.3">
      <c r="A727" s="2"/>
      <c r="B727" s="3"/>
      <c r="P727" s="4"/>
    </row>
    <row r="728" spans="1:16" customFormat="1" x14ac:dyDescent="0.3">
      <c r="A728" s="2"/>
      <c r="B728" s="3"/>
      <c r="P728" s="4"/>
    </row>
    <row r="729" spans="1:16" customFormat="1" x14ac:dyDescent="0.3">
      <c r="A729" s="2"/>
      <c r="B729" s="3"/>
      <c r="P729" s="4"/>
    </row>
    <row r="730" spans="1:16" customFormat="1" x14ac:dyDescent="0.3">
      <c r="A730" s="2"/>
      <c r="B730" s="3"/>
      <c r="P730" s="4"/>
    </row>
    <row r="731" spans="1:16" customFormat="1" x14ac:dyDescent="0.3">
      <c r="A731" s="2"/>
      <c r="B731" s="3"/>
      <c r="P731" s="4"/>
    </row>
    <row r="732" spans="1:16" customFormat="1" x14ac:dyDescent="0.3">
      <c r="A732" s="2"/>
      <c r="B732" s="3"/>
      <c r="P732" s="4"/>
    </row>
    <row r="733" spans="1:16" customFormat="1" x14ac:dyDescent="0.3">
      <c r="A733" s="2"/>
      <c r="B733" s="3"/>
      <c r="P733" s="4"/>
    </row>
    <row r="734" spans="1:16" customFormat="1" x14ac:dyDescent="0.3">
      <c r="A734" s="2"/>
      <c r="B734" s="3"/>
      <c r="P734" s="4"/>
    </row>
    <row r="735" spans="1:16" customFormat="1" x14ac:dyDescent="0.3">
      <c r="A735" s="2"/>
      <c r="B735" s="3"/>
      <c r="P735" s="4"/>
    </row>
    <row r="736" spans="1:16" customFormat="1" x14ac:dyDescent="0.3">
      <c r="A736" s="2"/>
      <c r="B736" s="3"/>
      <c r="P736" s="4"/>
    </row>
    <row r="737" spans="1:16" customFormat="1" x14ac:dyDescent="0.3">
      <c r="A737" s="2"/>
      <c r="B737" s="3"/>
      <c r="P737" s="4"/>
    </row>
    <row r="738" spans="1:16" customFormat="1" x14ac:dyDescent="0.3">
      <c r="A738" s="2"/>
      <c r="B738" s="3"/>
      <c r="P738" s="4"/>
    </row>
    <row r="739" spans="1:16" customFormat="1" x14ac:dyDescent="0.3">
      <c r="A739" s="2"/>
      <c r="B739" s="3"/>
      <c r="P739" s="4"/>
    </row>
    <row r="740" spans="1:16" customFormat="1" x14ac:dyDescent="0.3">
      <c r="A740" s="2"/>
      <c r="B740" s="3"/>
      <c r="P740" s="4"/>
    </row>
    <row r="741" spans="1:16" customFormat="1" x14ac:dyDescent="0.3">
      <c r="A741" s="2"/>
      <c r="B741" s="3"/>
      <c r="P741" s="4"/>
    </row>
    <row r="742" spans="1:16" customFormat="1" x14ac:dyDescent="0.3">
      <c r="A742" s="2"/>
      <c r="B742" s="3"/>
      <c r="P742" s="4"/>
    </row>
    <row r="743" spans="1:16" customFormat="1" x14ac:dyDescent="0.3">
      <c r="A743" s="2"/>
      <c r="B743" s="3"/>
      <c r="P743" s="4"/>
    </row>
    <row r="744" spans="1:16" customFormat="1" x14ac:dyDescent="0.3">
      <c r="A744" s="2"/>
      <c r="B744" s="3"/>
      <c r="P744" s="4"/>
    </row>
    <row r="745" spans="1:16" customFormat="1" x14ac:dyDescent="0.3">
      <c r="A745" s="2"/>
      <c r="B745" s="3"/>
      <c r="P745" s="4"/>
    </row>
    <row r="746" spans="1:16" customFormat="1" x14ac:dyDescent="0.3">
      <c r="A746" s="2"/>
      <c r="B746" s="3"/>
      <c r="P746" s="4"/>
    </row>
    <row r="747" spans="1:16" customFormat="1" x14ac:dyDescent="0.3">
      <c r="A747" s="2"/>
      <c r="B747" s="3"/>
      <c r="P747" s="4"/>
    </row>
    <row r="748" spans="1:16" customFormat="1" x14ac:dyDescent="0.3">
      <c r="A748" s="2"/>
      <c r="B748" s="3"/>
      <c r="P748" s="4"/>
    </row>
    <row r="749" spans="1:16" customFormat="1" x14ac:dyDescent="0.3">
      <c r="A749" s="2"/>
      <c r="B749" s="3"/>
      <c r="P749" s="4"/>
    </row>
    <row r="750" spans="1:16" customFormat="1" x14ac:dyDescent="0.3">
      <c r="A750" s="2"/>
      <c r="B750" s="3"/>
      <c r="P750" s="4"/>
    </row>
    <row r="751" spans="1:16" customFormat="1" x14ac:dyDescent="0.3">
      <c r="A751" s="2"/>
      <c r="B751" s="3"/>
      <c r="P751" s="4"/>
    </row>
    <row r="752" spans="1:16" customFormat="1" x14ac:dyDescent="0.3">
      <c r="A752" s="2"/>
      <c r="B752" s="3"/>
      <c r="P752" s="4"/>
    </row>
    <row r="753" spans="1:16" customFormat="1" x14ac:dyDescent="0.3">
      <c r="A753" s="2"/>
      <c r="B753" s="3"/>
      <c r="P753" s="4"/>
    </row>
    <row r="754" spans="1:16" customFormat="1" x14ac:dyDescent="0.3">
      <c r="A754" s="2"/>
      <c r="B754" s="3"/>
      <c r="P754" s="4"/>
    </row>
    <row r="755" spans="1:16" customFormat="1" x14ac:dyDescent="0.3">
      <c r="A755" s="2"/>
      <c r="B755" s="3"/>
      <c r="P755" s="4"/>
    </row>
    <row r="756" spans="1:16" customFormat="1" x14ac:dyDescent="0.3">
      <c r="A756" s="2"/>
      <c r="B756" s="3"/>
      <c r="P756" s="4"/>
    </row>
    <row r="757" spans="1:16" customFormat="1" x14ac:dyDescent="0.3">
      <c r="A757" s="2"/>
      <c r="B757" s="3"/>
      <c r="P757" s="4"/>
    </row>
    <row r="758" spans="1:16" customFormat="1" x14ac:dyDescent="0.3">
      <c r="A758" s="2"/>
      <c r="B758" s="3"/>
      <c r="P758" s="4"/>
    </row>
    <row r="759" spans="1:16" customFormat="1" x14ac:dyDescent="0.3">
      <c r="A759" s="2"/>
      <c r="B759" s="3"/>
      <c r="P759" s="4"/>
    </row>
    <row r="760" spans="1:16" customFormat="1" x14ac:dyDescent="0.3">
      <c r="A760" s="2"/>
      <c r="B760" s="3"/>
      <c r="P760" s="4"/>
    </row>
    <row r="761" spans="1:16" customFormat="1" x14ac:dyDescent="0.3">
      <c r="A761" s="2"/>
      <c r="B761" s="3"/>
      <c r="P761" s="4"/>
    </row>
    <row r="762" spans="1:16" customFormat="1" x14ac:dyDescent="0.3">
      <c r="A762" s="2"/>
      <c r="B762" s="3"/>
      <c r="P762" s="4"/>
    </row>
    <row r="763" spans="1:16" customFormat="1" x14ac:dyDescent="0.3">
      <c r="A763" s="2"/>
      <c r="B763" s="3"/>
      <c r="P763" s="4"/>
    </row>
    <row r="764" spans="1:16" customFormat="1" x14ac:dyDescent="0.3">
      <c r="A764" s="2"/>
      <c r="B764" s="3"/>
      <c r="P764" s="4"/>
    </row>
    <row r="765" spans="1:16" customFormat="1" x14ac:dyDescent="0.3">
      <c r="A765" s="2"/>
      <c r="B765" s="3"/>
      <c r="P765" s="4"/>
    </row>
    <row r="766" spans="1:16" customFormat="1" x14ac:dyDescent="0.3">
      <c r="A766" s="2"/>
      <c r="B766" s="3"/>
      <c r="P766" s="4"/>
    </row>
    <row r="767" spans="1:16" customFormat="1" x14ac:dyDescent="0.3">
      <c r="A767" s="2"/>
      <c r="B767" s="3"/>
      <c r="P767" s="4"/>
    </row>
    <row r="768" spans="1:16" customFormat="1" x14ac:dyDescent="0.3">
      <c r="A768" s="2"/>
      <c r="B768" s="3"/>
      <c r="P768" s="4"/>
    </row>
    <row r="769" spans="1:16" customFormat="1" x14ac:dyDescent="0.3">
      <c r="A769" s="2"/>
      <c r="B769" s="3"/>
      <c r="P769" s="4"/>
    </row>
    <row r="770" spans="1:16" customFormat="1" x14ac:dyDescent="0.3">
      <c r="A770" s="2"/>
      <c r="B770" s="3"/>
      <c r="P770" s="4"/>
    </row>
    <row r="771" spans="1:16" customFormat="1" x14ac:dyDescent="0.3">
      <c r="A771" s="2"/>
      <c r="B771" s="3"/>
      <c r="P771" s="4"/>
    </row>
    <row r="772" spans="1:16" customFormat="1" x14ac:dyDescent="0.3">
      <c r="A772" s="2"/>
      <c r="B772" s="3"/>
      <c r="P772" s="4"/>
    </row>
    <row r="773" spans="1:16" customFormat="1" x14ac:dyDescent="0.3">
      <c r="A773" s="2"/>
      <c r="B773" s="3"/>
      <c r="P773" s="4"/>
    </row>
    <row r="774" spans="1:16" customFormat="1" x14ac:dyDescent="0.3">
      <c r="A774" s="2"/>
      <c r="B774" s="3"/>
      <c r="P774" s="4"/>
    </row>
    <row r="775" spans="1:16" customFormat="1" x14ac:dyDescent="0.3">
      <c r="A775" s="2"/>
      <c r="B775" s="3"/>
      <c r="P775" s="4"/>
    </row>
    <row r="776" spans="1:16" customFormat="1" x14ac:dyDescent="0.3">
      <c r="A776" s="2"/>
      <c r="B776" s="3"/>
      <c r="P776" s="4"/>
    </row>
    <row r="777" spans="1:16" customFormat="1" x14ac:dyDescent="0.3">
      <c r="A777" s="2"/>
      <c r="B777" s="3"/>
      <c r="P777" s="4"/>
    </row>
    <row r="778" spans="1:16" customFormat="1" x14ac:dyDescent="0.3">
      <c r="A778" s="2"/>
      <c r="B778" s="3"/>
      <c r="P778" s="4"/>
    </row>
    <row r="779" spans="1:16" customFormat="1" x14ac:dyDescent="0.3">
      <c r="A779" s="2"/>
      <c r="B779" s="3"/>
      <c r="P779" s="4"/>
    </row>
    <row r="780" spans="1:16" customFormat="1" x14ac:dyDescent="0.3">
      <c r="A780" s="2"/>
      <c r="B780" s="3"/>
      <c r="P780" s="4"/>
    </row>
    <row r="781" spans="1:16" customFormat="1" x14ac:dyDescent="0.3">
      <c r="A781" s="2"/>
      <c r="B781" s="3"/>
      <c r="P781" s="4"/>
    </row>
    <row r="782" spans="1:16" customFormat="1" x14ac:dyDescent="0.3">
      <c r="A782" s="2"/>
      <c r="B782" s="3"/>
      <c r="P782" s="4"/>
    </row>
    <row r="783" spans="1:16" customFormat="1" x14ac:dyDescent="0.3">
      <c r="A783" s="2"/>
      <c r="B783" s="3"/>
      <c r="P783" s="4"/>
    </row>
    <row r="784" spans="1:16" customFormat="1" x14ac:dyDescent="0.3">
      <c r="A784" s="2"/>
      <c r="B784" s="3"/>
      <c r="P784" s="4"/>
    </row>
    <row r="785" spans="1:16" customFormat="1" x14ac:dyDescent="0.3">
      <c r="A785" s="2"/>
      <c r="B785" s="3"/>
      <c r="P785" s="4"/>
    </row>
    <row r="786" spans="1:16" customFormat="1" x14ac:dyDescent="0.3">
      <c r="A786" s="2"/>
      <c r="B786" s="3"/>
      <c r="P786" s="4"/>
    </row>
    <row r="787" spans="1:16" customFormat="1" x14ac:dyDescent="0.3">
      <c r="A787" s="2"/>
      <c r="B787" s="3"/>
      <c r="P787" s="4"/>
    </row>
    <row r="788" spans="1:16" customFormat="1" x14ac:dyDescent="0.3">
      <c r="A788" s="2"/>
      <c r="B788" s="3"/>
      <c r="P788" s="4"/>
    </row>
    <row r="789" spans="1:16" customFormat="1" x14ac:dyDescent="0.3">
      <c r="A789" s="2"/>
      <c r="B789" s="3"/>
      <c r="P789" s="4"/>
    </row>
    <row r="790" spans="1:16" customFormat="1" x14ac:dyDescent="0.3">
      <c r="A790" s="2"/>
      <c r="B790" s="3"/>
      <c r="P790" s="4"/>
    </row>
    <row r="791" spans="1:16" customFormat="1" x14ac:dyDescent="0.3">
      <c r="A791" s="2"/>
      <c r="B791" s="3"/>
      <c r="P791" s="4"/>
    </row>
    <row r="792" spans="1:16" customFormat="1" x14ac:dyDescent="0.3">
      <c r="A792" s="2"/>
      <c r="B792" s="3"/>
      <c r="P792" s="4"/>
    </row>
    <row r="793" spans="1:16" customFormat="1" x14ac:dyDescent="0.3">
      <c r="A793" s="2"/>
      <c r="B793" s="3"/>
      <c r="P793" s="4"/>
    </row>
    <row r="794" spans="1:16" customFormat="1" x14ac:dyDescent="0.3">
      <c r="A794" s="2"/>
      <c r="B794" s="3"/>
      <c r="P794" s="4"/>
    </row>
    <row r="795" spans="1:16" customFormat="1" x14ac:dyDescent="0.3">
      <c r="A795" s="2"/>
      <c r="B795" s="3"/>
      <c r="P795" s="4"/>
    </row>
    <row r="796" spans="1:16" customFormat="1" x14ac:dyDescent="0.3">
      <c r="A796" s="2"/>
      <c r="B796" s="3"/>
      <c r="P796" s="4"/>
    </row>
    <row r="797" spans="1:16" customFormat="1" x14ac:dyDescent="0.3">
      <c r="A797" s="2"/>
      <c r="B797" s="3"/>
      <c r="P797" s="4"/>
    </row>
    <row r="798" spans="1:16" customFormat="1" x14ac:dyDescent="0.3">
      <c r="A798" s="2"/>
      <c r="B798" s="3"/>
      <c r="P798" s="4"/>
    </row>
    <row r="799" spans="1:16" customFormat="1" x14ac:dyDescent="0.3">
      <c r="A799" s="2"/>
      <c r="B799" s="3"/>
      <c r="P799" s="4"/>
    </row>
    <row r="800" spans="1:16" customFormat="1" x14ac:dyDescent="0.3">
      <c r="A800" s="2"/>
      <c r="B800" s="3"/>
      <c r="P800" s="4"/>
    </row>
    <row r="801" spans="1:16" customFormat="1" x14ac:dyDescent="0.3">
      <c r="A801" s="2"/>
      <c r="B801" s="3"/>
      <c r="P801" s="4"/>
    </row>
    <row r="802" spans="1:16" customFormat="1" x14ac:dyDescent="0.3">
      <c r="A802" s="2"/>
      <c r="B802" s="3"/>
      <c r="P802" s="4"/>
    </row>
    <row r="803" spans="1:16" customFormat="1" x14ac:dyDescent="0.3">
      <c r="A803" s="2"/>
      <c r="B803" s="3"/>
      <c r="P803" s="4"/>
    </row>
    <row r="804" spans="1:16" customFormat="1" x14ac:dyDescent="0.3">
      <c r="A804" s="2"/>
      <c r="B804" s="3"/>
      <c r="P804" s="4"/>
    </row>
    <row r="805" spans="1:16" customFormat="1" x14ac:dyDescent="0.3">
      <c r="A805" s="2"/>
      <c r="B805" s="3"/>
      <c r="P805" s="4"/>
    </row>
    <row r="806" spans="1:16" customFormat="1" x14ac:dyDescent="0.3">
      <c r="A806" s="2"/>
      <c r="B806" s="3"/>
      <c r="P806" s="4"/>
    </row>
    <row r="807" spans="1:16" customFormat="1" x14ac:dyDescent="0.3">
      <c r="A807" s="2"/>
      <c r="B807" s="3"/>
      <c r="P807" s="4"/>
    </row>
    <row r="808" spans="1:16" customFormat="1" x14ac:dyDescent="0.3">
      <c r="A808" s="2"/>
      <c r="B808" s="3"/>
      <c r="P808" s="4"/>
    </row>
    <row r="809" spans="1:16" customFormat="1" x14ac:dyDescent="0.3">
      <c r="A809" s="2"/>
      <c r="B809" s="3"/>
      <c r="P809" s="4"/>
    </row>
    <row r="810" spans="1:16" customFormat="1" x14ac:dyDescent="0.3">
      <c r="A810" s="2"/>
      <c r="B810" s="3"/>
      <c r="P810" s="4"/>
    </row>
    <row r="811" spans="1:16" customFormat="1" x14ac:dyDescent="0.3">
      <c r="A811" s="2"/>
      <c r="B811" s="3"/>
      <c r="P811" s="4"/>
    </row>
    <row r="812" spans="1:16" customFormat="1" x14ac:dyDescent="0.3">
      <c r="A812" s="2"/>
      <c r="B812" s="3"/>
      <c r="P812" s="4"/>
    </row>
    <row r="813" spans="1:16" customFormat="1" x14ac:dyDescent="0.3">
      <c r="A813" s="2"/>
      <c r="B813" s="3"/>
      <c r="P813" s="4"/>
    </row>
    <row r="814" spans="1:16" customFormat="1" x14ac:dyDescent="0.3">
      <c r="A814" s="2"/>
      <c r="B814" s="3"/>
      <c r="P814" s="4"/>
    </row>
    <row r="815" spans="1:16" customFormat="1" x14ac:dyDescent="0.3">
      <c r="A815" s="2"/>
      <c r="B815" s="3"/>
      <c r="P815" s="4"/>
    </row>
    <row r="816" spans="1:16" customFormat="1" x14ac:dyDescent="0.3">
      <c r="A816" s="2"/>
      <c r="B816" s="3"/>
      <c r="P816" s="4"/>
    </row>
    <row r="817" spans="1:16" customFormat="1" x14ac:dyDescent="0.3">
      <c r="A817" s="2"/>
      <c r="B817" s="3"/>
      <c r="P817" s="4"/>
    </row>
    <row r="818" spans="1:16" customFormat="1" x14ac:dyDescent="0.3">
      <c r="A818" s="2"/>
      <c r="B818" s="3"/>
      <c r="P818" s="4"/>
    </row>
    <row r="819" spans="1:16" customFormat="1" x14ac:dyDescent="0.3">
      <c r="A819" s="2"/>
      <c r="B819" s="3"/>
      <c r="P819" s="4"/>
    </row>
    <row r="820" spans="1:16" customFormat="1" x14ac:dyDescent="0.3">
      <c r="A820" s="2"/>
      <c r="B820" s="3"/>
      <c r="P820" s="4"/>
    </row>
    <row r="821" spans="1:16" customFormat="1" x14ac:dyDescent="0.3">
      <c r="A821" s="2"/>
      <c r="B821" s="3"/>
      <c r="P821" s="4"/>
    </row>
    <row r="822" spans="1:16" customFormat="1" x14ac:dyDescent="0.3">
      <c r="A822" s="2"/>
      <c r="B822" s="3"/>
      <c r="P822" s="4"/>
    </row>
    <row r="823" spans="1:16" customFormat="1" x14ac:dyDescent="0.3">
      <c r="A823" s="2"/>
      <c r="B823" s="3"/>
      <c r="P823" s="4"/>
    </row>
    <row r="824" spans="1:16" customFormat="1" x14ac:dyDescent="0.3">
      <c r="A824" s="2"/>
      <c r="B824" s="3"/>
      <c r="P824" s="4"/>
    </row>
    <row r="825" spans="1:16" customFormat="1" x14ac:dyDescent="0.3">
      <c r="A825" s="2"/>
      <c r="B825" s="3"/>
      <c r="P825" s="4"/>
    </row>
    <row r="826" spans="1:16" customFormat="1" x14ac:dyDescent="0.3">
      <c r="A826" s="2"/>
      <c r="B826" s="3"/>
      <c r="P826" s="4"/>
    </row>
    <row r="827" spans="1:16" customFormat="1" x14ac:dyDescent="0.3">
      <c r="A827" s="2"/>
      <c r="B827" s="3"/>
      <c r="P827" s="4"/>
    </row>
    <row r="828" spans="1:16" customFormat="1" x14ac:dyDescent="0.3">
      <c r="A828" s="2"/>
      <c r="B828" s="3"/>
      <c r="P828" s="4"/>
    </row>
    <row r="829" spans="1:16" customFormat="1" x14ac:dyDescent="0.3">
      <c r="A829" s="2"/>
      <c r="B829" s="3"/>
      <c r="P829" s="4"/>
    </row>
    <row r="830" spans="1:16" customFormat="1" x14ac:dyDescent="0.3">
      <c r="A830" s="2"/>
      <c r="B830" s="3"/>
      <c r="P830" s="4"/>
    </row>
    <row r="831" spans="1:16" customFormat="1" x14ac:dyDescent="0.3">
      <c r="A831" s="2"/>
      <c r="B831" s="3"/>
      <c r="P831" s="4"/>
    </row>
    <row r="832" spans="1:16" customFormat="1" x14ac:dyDescent="0.3">
      <c r="A832" s="2"/>
      <c r="B832" s="3"/>
      <c r="P832" s="4"/>
    </row>
    <row r="833" spans="1:16" customFormat="1" x14ac:dyDescent="0.3">
      <c r="A833" s="2"/>
      <c r="B833" s="3"/>
      <c r="P833" s="4"/>
    </row>
    <row r="834" spans="1:16" customFormat="1" x14ac:dyDescent="0.3">
      <c r="A834" s="2"/>
      <c r="B834" s="3"/>
      <c r="P834" s="4"/>
    </row>
    <row r="835" spans="1:16" customFormat="1" x14ac:dyDescent="0.3">
      <c r="A835" s="2"/>
      <c r="B835" s="3"/>
      <c r="P835" s="4"/>
    </row>
    <row r="836" spans="1:16" customFormat="1" x14ac:dyDescent="0.3">
      <c r="A836" s="2"/>
      <c r="B836" s="3"/>
      <c r="P836" s="4"/>
    </row>
    <row r="837" spans="1:16" customFormat="1" x14ac:dyDescent="0.3">
      <c r="A837" s="2"/>
      <c r="B837" s="3"/>
      <c r="P837" s="4"/>
    </row>
    <row r="838" spans="1:16" customFormat="1" x14ac:dyDescent="0.3">
      <c r="A838" s="2"/>
      <c r="B838" s="3"/>
      <c r="P838" s="4"/>
    </row>
    <row r="839" spans="1:16" customFormat="1" x14ac:dyDescent="0.3">
      <c r="A839" s="2"/>
      <c r="B839" s="3"/>
      <c r="P839" s="4"/>
    </row>
    <row r="840" spans="1:16" customFormat="1" x14ac:dyDescent="0.3">
      <c r="A840" s="2"/>
      <c r="B840" s="3"/>
      <c r="P840" s="4"/>
    </row>
    <row r="841" spans="1:16" customFormat="1" x14ac:dyDescent="0.3">
      <c r="A841" s="2"/>
      <c r="B841" s="3"/>
      <c r="P841" s="4"/>
    </row>
    <row r="842" spans="1:16" customFormat="1" x14ac:dyDescent="0.3">
      <c r="A842" s="2"/>
      <c r="B842" s="3"/>
      <c r="P842" s="4"/>
    </row>
    <row r="843" spans="1:16" customFormat="1" x14ac:dyDescent="0.3">
      <c r="A843" s="2"/>
      <c r="B843" s="3"/>
      <c r="P843" s="4"/>
    </row>
    <row r="844" spans="1:16" customFormat="1" x14ac:dyDescent="0.3">
      <c r="A844" s="2"/>
      <c r="B844" s="3"/>
      <c r="P844" s="4"/>
    </row>
    <row r="845" spans="1:16" customFormat="1" x14ac:dyDescent="0.3">
      <c r="A845" s="2"/>
      <c r="B845" s="3"/>
      <c r="P845" s="4"/>
    </row>
    <row r="846" spans="1:16" customFormat="1" x14ac:dyDescent="0.3">
      <c r="A846" s="2"/>
      <c r="B846" s="3"/>
      <c r="P846" s="4"/>
    </row>
    <row r="847" spans="1:16" customFormat="1" x14ac:dyDescent="0.3">
      <c r="A847" s="2"/>
      <c r="B847" s="3"/>
      <c r="P847" s="4"/>
    </row>
    <row r="848" spans="1:16" customFormat="1" x14ac:dyDescent="0.3">
      <c r="A848" s="2"/>
      <c r="B848" s="3"/>
      <c r="P848" s="4"/>
    </row>
    <row r="849" spans="1:16" customFormat="1" x14ac:dyDescent="0.3">
      <c r="A849" s="2"/>
      <c r="B849" s="3"/>
      <c r="P849" s="4"/>
    </row>
    <row r="850" spans="1:16" customFormat="1" x14ac:dyDescent="0.3">
      <c r="A850" s="2"/>
      <c r="B850" s="3"/>
      <c r="P850" s="4"/>
    </row>
    <row r="851" spans="1:16" customFormat="1" x14ac:dyDescent="0.3">
      <c r="A851" s="2"/>
      <c r="B851" s="3"/>
      <c r="P851" s="4"/>
    </row>
    <row r="852" spans="1:16" customFormat="1" x14ac:dyDescent="0.3">
      <c r="A852" s="2"/>
      <c r="B852" s="3"/>
      <c r="P852" s="4"/>
    </row>
    <row r="853" spans="1:16" customFormat="1" x14ac:dyDescent="0.3">
      <c r="A853" s="2"/>
      <c r="B853" s="3"/>
      <c r="P853" s="4"/>
    </row>
    <row r="854" spans="1:16" customFormat="1" x14ac:dyDescent="0.3">
      <c r="A854" s="2"/>
      <c r="B854" s="3"/>
      <c r="P854" s="4"/>
    </row>
    <row r="855" spans="1:16" customFormat="1" x14ac:dyDescent="0.3">
      <c r="A855" s="2"/>
      <c r="B855" s="3"/>
      <c r="P855" s="4"/>
    </row>
    <row r="856" spans="1:16" customFormat="1" x14ac:dyDescent="0.3">
      <c r="A856" s="2"/>
      <c r="B856" s="3"/>
      <c r="P856" s="4"/>
    </row>
    <row r="857" spans="1:16" customFormat="1" x14ac:dyDescent="0.3">
      <c r="A857" s="2"/>
      <c r="B857" s="3"/>
      <c r="P857" s="4"/>
    </row>
    <row r="858" spans="1:16" customFormat="1" x14ac:dyDescent="0.3">
      <c r="A858" s="2"/>
      <c r="B858" s="3"/>
      <c r="P858" s="4"/>
    </row>
    <row r="859" spans="1:16" customFormat="1" x14ac:dyDescent="0.3">
      <c r="A859" s="2"/>
      <c r="B859" s="3"/>
      <c r="P859" s="4"/>
    </row>
    <row r="860" spans="1:16" customFormat="1" x14ac:dyDescent="0.3">
      <c r="A860" s="2"/>
      <c r="B860" s="3"/>
      <c r="P860" s="4"/>
    </row>
    <row r="861" spans="1:16" customFormat="1" x14ac:dyDescent="0.3">
      <c r="A861" s="2"/>
      <c r="B861" s="3"/>
      <c r="P861" s="4"/>
    </row>
    <row r="862" spans="1:16" customFormat="1" x14ac:dyDescent="0.3">
      <c r="A862" s="2"/>
      <c r="B862" s="3"/>
      <c r="P862" s="4"/>
    </row>
    <row r="863" spans="1:16" customFormat="1" x14ac:dyDescent="0.3">
      <c r="A863" s="2"/>
      <c r="B863" s="3"/>
      <c r="P863" s="4"/>
    </row>
    <row r="864" spans="1:16" customFormat="1" x14ac:dyDescent="0.3">
      <c r="A864" s="2"/>
      <c r="B864" s="3"/>
      <c r="P864" s="4"/>
    </row>
    <row r="865" spans="1:16" customFormat="1" x14ac:dyDescent="0.3">
      <c r="A865" s="2"/>
      <c r="B865" s="3"/>
      <c r="P865" s="4"/>
    </row>
    <row r="866" spans="1:16" customFormat="1" x14ac:dyDescent="0.3">
      <c r="A866" s="2"/>
      <c r="B866" s="3"/>
      <c r="P866" s="4"/>
    </row>
    <row r="867" spans="1:16" customFormat="1" x14ac:dyDescent="0.3">
      <c r="A867" s="2"/>
      <c r="B867" s="3"/>
      <c r="P867" s="4"/>
    </row>
    <row r="868" spans="1:16" customFormat="1" x14ac:dyDescent="0.3">
      <c r="A868" s="2"/>
      <c r="B868" s="3"/>
      <c r="P868" s="4"/>
    </row>
    <row r="869" spans="1:16" customFormat="1" x14ac:dyDescent="0.3">
      <c r="A869" s="2"/>
      <c r="B869" s="3"/>
      <c r="P869" s="4"/>
    </row>
    <row r="870" spans="1:16" customFormat="1" x14ac:dyDescent="0.3">
      <c r="A870" s="2"/>
      <c r="B870" s="3"/>
      <c r="P870" s="4"/>
    </row>
    <row r="871" spans="1:16" customFormat="1" x14ac:dyDescent="0.3">
      <c r="A871" s="2"/>
      <c r="B871" s="3"/>
      <c r="P871" s="4"/>
    </row>
    <row r="872" spans="1:16" customFormat="1" x14ac:dyDescent="0.3">
      <c r="A872" s="2"/>
      <c r="B872" s="3"/>
      <c r="P872" s="4"/>
    </row>
    <row r="873" spans="1:16" customFormat="1" x14ac:dyDescent="0.3">
      <c r="A873" s="2"/>
      <c r="B873" s="3"/>
      <c r="P873" s="4"/>
    </row>
    <row r="874" spans="1:16" customFormat="1" x14ac:dyDescent="0.3">
      <c r="A874" s="2"/>
      <c r="B874" s="3"/>
      <c r="P874" s="4"/>
    </row>
    <row r="875" spans="1:16" customFormat="1" x14ac:dyDescent="0.3">
      <c r="A875" s="2"/>
      <c r="B875" s="3"/>
      <c r="P875" s="4"/>
    </row>
    <row r="876" spans="1:16" customFormat="1" x14ac:dyDescent="0.3">
      <c r="A876" s="2"/>
      <c r="B876" s="3"/>
      <c r="P876" s="4"/>
    </row>
    <row r="877" spans="1:16" customFormat="1" x14ac:dyDescent="0.3">
      <c r="A877" s="2"/>
      <c r="B877" s="3"/>
      <c r="P877" s="4"/>
    </row>
    <row r="878" spans="1:16" customFormat="1" x14ac:dyDescent="0.3">
      <c r="A878" s="2"/>
      <c r="B878" s="3"/>
      <c r="P878" s="4"/>
    </row>
    <row r="879" spans="1:16" customFormat="1" x14ac:dyDescent="0.3">
      <c r="A879" s="2"/>
      <c r="B879" s="3"/>
      <c r="P879" s="4"/>
    </row>
    <row r="880" spans="1:16" customFormat="1" x14ac:dyDescent="0.3">
      <c r="A880" s="2"/>
      <c r="B880" s="3"/>
      <c r="P880" s="4"/>
    </row>
    <row r="881" spans="1:16" customFormat="1" x14ac:dyDescent="0.3">
      <c r="A881" s="2"/>
      <c r="B881" s="3"/>
      <c r="P881" s="4"/>
    </row>
    <row r="882" spans="1:16" customFormat="1" x14ac:dyDescent="0.3">
      <c r="A882" s="2"/>
      <c r="B882" s="3"/>
      <c r="P882" s="4"/>
    </row>
    <row r="883" spans="1:16" customFormat="1" x14ac:dyDescent="0.3">
      <c r="A883" s="2"/>
      <c r="B883" s="3"/>
      <c r="P883" s="4"/>
    </row>
    <row r="884" spans="1:16" customFormat="1" x14ac:dyDescent="0.3">
      <c r="A884" s="2"/>
      <c r="B884" s="3"/>
      <c r="P884" s="4"/>
    </row>
    <row r="885" spans="1:16" customFormat="1" x14ac:dyDescent="0.3">
      <c r="A885" s="2"/>
      <c r="B885" s="3"/>
      <c r="P885" s="4"/>
    </row>
    <row r="886" spans="1:16" customFormat="1" x14ac:dyDescent="0.3">
      <c r="A886" s="2"/>
      <c r="B886" s="3"/>
      <c r="P886" s="4"/>
    </row>
    <row r="887" spans="1:16" customFormat="1" x14ac:dyDescent="0.3">
      <c r="A887" s="2"/>
      <c r="B887" s="3"/>
      <c r="P887" s="4"/>
    </row>
    <row r="888" spans="1:16" customFormat="1" x14ac:dyDescent="0.3">
      <c r="A888" s="2"/>
      <c r="B888" s="3"/>
      <c r="P888" s="4"/>
    </row>
    <row r="889" spans="1:16" customFormat="1" x14ac:dyDescent="0.3">
      <c r="A889" s="2"/>
      <c r="B889" s="3"/>
      <c r="P889" s="4"/>
    </row>
    <row r="890" spans="1:16" customFormat="1" x14ac:dyDescent="0.3">
      <c r="A890" s="2"/>
      <c r="B890" s="3"/>
      <c r="P890" s="4"/>
    </row>
    <row r="891" spans="1:16" customFormat="1" x14ac:dyDescent="0.3">
      <c r="A891" s="2"/>
      <c r="B891" s="3"/>
      <c r="P891" s="4"/>
    </row>
    <row r="892" spans="1:16" customFormat="1" x14ac:dyDescent="0.3">
      <c r="A892" s="2"/>
      <c r="B892" s="3"/>
      <c r="P892" s="4"/>
    </row>
    <row r="893" spans="1:16" customFormat="1" x14ac:dyDescent="0.3">
      <c r="A893" s="2"/>
      <c r="B893" s="3"/>
      <c r="P893" s="4"/>
    </row>
    <row r="894" spans="1:16" customFormat="1" x14ac:dyDescent="0.3">
      <c r="A894" s="2"/>
      <c r="B894" s="3"/>
      <c r="P894" s="4"/>
    </row>
    <row r="895" spans="1:16" customFormat="1" x14ac:dyDescent="0.3">
      <c r="A895" s="2"/>
      <c r="B895" s="3"/>
      <c r="P895" s="4"/>
    </row>
    <row r="896" spans="1:16" customFormat="1" x14ac:dyDescent="0.3">
      <c r="A896" s="2"/>
      <c r="B896" s="3"/>
      <c r="P896" s="4"/>
    </row>
    <row r="897" spans="1:16" customFormat="1" x14ac:dyDescent="0.3">
      <c r="A897" s="2"/>
      <c r="B897" s="3"/>
      <c r="P897" s="4"/>
    </row>
    <row r="898" spans="1:16" customFormat="1" x14ac:dyDescent="0.3">
      <c r="A898" s="2"/>
      <c r="B898" s="3"/>
      <c r="P898" s="4"/>
    </row>
    <row r="899" spans="1:16" customFormat="1" x14ac:dyDescent="0.3">
      <c r="A899" s="2"/>
      <c r="B899" s="3"/>
      <c r="P899" s="4"/>
    </row>
    <row r="900" spans="1:16" customFormat="1" x14ac:dyDescent="0.3">
      <c r="A900" s="2"/>
      <c r="B900" s="3"/>
      <c r="P900" s="4"/>
    </row>
    <row r="901" spans="1:16" customFormat="1" x14ac:dyDescent="0.3">
      <c r="A901" s="2"/>
      <c r="B901" s="3"/>
      <c r="P901" s="4"/>
    </row>
    <row r="902" spans="1:16" customFormat="1" x14ac:dyDescent="0.3">
      <c r="A902" s="2"/>
      <c r="B902" s="3"/>
      <c r="P902" s="4"/>
    </row>
    <row r="903" spans="1:16" customFormat="1" x14ac:dyDescent="0.3">
      <c r="A903" s="2"/>
      <c r="B903" s="3"/>
      <c r="P903" s="4"/>
    </row>
    <row r="904" spans="1:16" customFormat="1" x14ac:dyDescent="0.3">
      <c r="A904" s="2"/>
      <c r="B904" s="3"/>
      <c r="P904" s="4"/>
    </row>
    <row r="905" spans="1:16" customFormat="1" x14ac:dyDescent="0.3">
      <c r="A905" s="2"/>
      <c r="B905" s="3"/>
      <c r="P905" s="4"/>
    </row>
    <row r="906" spans="1:16" customFormat="1" x14ac:dyDescent="0.3">
      <c r="A906" s="2"/>
      <c r="B906" s="3"/>
      <c r="P906" s="4"/>
    </row>
    <row r="907" spans="1:16" customFormat="1" x14ac:dyDescent="0.3">
      <c r="A907" s="2"/>
      <c r="B907" s="3"/>
      <c r="P907" s="4"/>
    </row>
    <row r="908" spans="1:16" customFormat="1" x14ac:dyDescent="0.3">
      <c r="A908" s="2"/>
      <c r="B908" s="3"/>
      <c r="P908" s="4"/>
    </row>
    <row r="909" spans="1:16" customFormat="1" x14ac:dyDescent="0.3">
      <c r="A909" s="2"/>
      <c r="B909" s="3"/>
      <c r="P909" s="4"/>
    </row>
    <row r="910" spans="1:16" customFormat="1" x14ac:dyDescent="0.3">
      <c r="A910" s="2"/>
      <c r="B910" s="3"/>
      <c r="P910" s="4"/>
    </row>
    <row r="911" spans="1:16" customFormat="1" x14ac:dyDescent="0.3">
      <c r="A911" s="2"/>
      <c r="B911" s="3"/>
      <c r="P911" s="4"/>
    </row>
    <row r="912" spans="1:16" customFormat="1" x14ac:dyDescent="0.3">
      <c r="A912" s="2"/>
      <c r="B912" s="3"/>
      <c r="P912" s="4"/>
    </row>
    <row r="913" spans="1:16" customFormat="1" x14ac:dyDescent="0.3">
      <c r="A913" s="2"/>
      <c r="B913" s="3"/>
      <c r="P913" s="4"/>
    </row>
    <row r="914" spans="1:16" customFormat="1" x14ac:dyDescent="0.3">
      <c r="A914" s="2"/>
      <c r="B914" s="3"/>
      <c r="P914" s="4"/>
    </row>
    <row r="915" spans="1:16" customFormat="1" x14ac:dyDescent="0.3">
      <c r="A915" s="2"/>
      <c r="B915" s="3"/>
      <c r="P915" s="4"/>
    </row>
    <row r="916" spans="1:16" customFormat="1" x14ac:dyDescent="0.3">
      <c r="A916" s="2"/>
      <c r="B916" s="3"/>
      <c r="P916" s="4"/>
    </row>
    <row r="917" spans="1:16" customFormat="1" x14ac:dyDescent="0.3">
      <c r="A917" s="2"/>
      <c r="B917" s="3"/>
      <c r="P917" s="4"/>
    </row>
    <row r="918" spans="1:16" customFormat="1" x14ac:dyDescent="0.3">
      <c r="A918" s="2"/>
      <c r="B918" s="3"/>
      <c r="P918" s="4"/>
    </row>
    <row r="919" spans="1:16" customFormat="1" x14ac:dyDescent="0.3">
      <c r="A919" s="2"/>
      <c r="B919" s="3"/>
      <c r="P919" s="4"/>
    </row>
    <row r="920" spans="1:16" customFormat="1" x14ac:dyDescent="0.3">
      <c r="A920" s="2"/>
      <c r="B920" s="3"/>
      <c r="P920" s="4"/>
    </row>
    <row r="921" spans="1:16" customFormat="1" x14ac:dyDescent="0.3">
      <c r="A921" s="2"/>
      <c r="B921" s="3"/>
      <c r="P921" s="4"/>
    </row>
    <row r="922" spans="1:16" customFormat="1" x14ac:dyDescent="0.3">
      <c r="A922" s="2"/>
      <c r="B922" s="3"/>
      <c r="P922" s="4"/>
    </row>
    <row r="923" spans="1:16" customFormat="1" x14ac:dyDescent="0.3">
      <c r="A923" s="2"/>
      <c r="B923" s="3"/>
      <c r="P923" s="4"/>
    </row>
    <row r="924" spans="1:16" customFormat="1" x14ac:dyDescent="0.3">
      <c r="A924" s="2"/>
      <c r="B924" s="3"/>
      <c r="P924" s="4"/>
    </row>
    <row r="925" spans="1:16" customFormat="1" x14ac:dyDescent="0.3">
      <c r="A925" s="2"/>
      <c r="B925" s="3"/>
      <c r="P925" s="4"/>
    </row>
    <row r="926" spans="1:16" customFormat="1" x14ac:dyDescent="0.3">
      <c r="A926" s="2"/>
      <c r="B926" s="3"/>
      <c r="P926" s="4"/>
    </row>
    <row r="927" spans="1:16" customFormat="1" x14ac:dyDescent="0.3">
      <c r="A927" s="2"/>
      <c r="B927" s="3"/>
      <c r="P927" s="4"/>
    </row>
    <row r="928" spans="1:16" customFormat="1" x14ac:dyDescent="0.3">
      <c r="A928" s="2"/>
      <c r="B928" s="3"/>
      <c r="P928" s="4"/>
    </row>
    <row r="929" spans="1:16" customFormat="1" x14ac:dyDescent="0.3">
      <c r="A929" s="2"/>
      <c r="B929" s="3"/>
      <c r="P929" s="4"/>
    </row>
    <row r="930" spans="1:16" customFormat="1" x14ac:dyDescent="0.3">
      <c r="A930" s="2"/>
      <c r="B930" s="3"/>
      <c r="P930" s="4"/>
    </row>
    <row r="931" spans="1:16" customFormat="1" x14ac:dyDescent="0.3">
      <c r="A931" s="2"/>
      <c r="B931" s="3"/>
      <c r="P931" s="4"/>
    </row>
    <row r="932" spans="1:16" customFormat="1" x14ac:dyDescent="0.3">
      <c r="A932" s="2"/>
      <c r="B932" s="3"/>
      <c r="P932" s="4"/>
    </row>
    <row r="933" spans="1:16" customFormat="1" x14ac:dyDescent="0.3">
      <c r="A933" s="2"/>
      <c r="B933" s="3"/>
      <c r="P933" s="4"/>
    </row>
    <row r="934" spans="1:16" customFormat="1" x14ac:dyDescent="0.3">
      <c r="A934" s="2"/>
      <c r="B934" s="3"/>
      <c r="P934" s="4"/>
    </row>
    <row r="935" spans="1:16" customFormat="1" x14ac:dyDescent="0.3">
      <c r="A935" s="2"/>
      <c r="B935" s="3"/>
      <c r="P935" s="4"/>
    </row>
    <row r="936" spans="1:16" customFormat="1" x14ac:dyDescent="0.3">
      <c r="A936" s="2"/>
      <c r="B936" s="3"/>
      <c r="P936" s="4"/>
    </row>
    <row r="937" spans="1:16" customFormat="1" x14ac:dyDescent="0.3">
      <c r="A937" s="2"/>
      <c r="B937" s="3"/>
      <c r="P937" s="4"/>
    </row>
    <row r="938" spans="1:16" customFormat="1" x14ac:dyDescent="0.3">
      <c r="A938" s="2"/>
      <c r="B938" s="3"/>
      <c r="P938" s="4"/>
    </row>
    <row r="939" spans="1:16" customFormat="1" x14ac:dyDescent="0.3">
      <c r="A939" s="2"/>
      <c r="B939" s="3"/>
      <c r="P939" s="4"/>
    </row>
    <row r="940" spans="1:16" customFormat="1" x14ac:dyDescent="0.3">
      <c r="A940" s="2"/>
      <c r="B940" s="3"/>
      <c r="P940" s="4"/>
    </row>
    <row r="941" spans="1:16" customFormat="1" x14ac:dyDescent="0.3">
      <c r="A941" s="2"/>
      <c r="B941" s="3"/>
      <c r="P941" s="4"/>
    </row>
    <row r="942" spans="1:16" customFormat="1" x14ac:dyDescent="0.3">
      <c r="A942" s="2"/>
      <c r="B942" s="3"/>
      <c r="P942" s="4"/>
    </row>
    <row r="943" spans="1:16" customFormat="1" x14ac:dyDescent="0.3">
      <c r="A943" s="2"/>
      <c r="B943" s="3"/>
      <c r="P943" s="4"/>
    </row>
    <row r="944" spans="1:16" customFormat="1" x14ac:dyDescent="0.3">
      <c r="A944" s="2"/>
      <c r="B944" s="3"/>
      <c r="P944" s="4"/>
    </row>
    <row r="945" spans="1:16" customFormat="1" x14ac:dyDescent="0.3">
      <c r="A945" s="2"/>
      <c r="B945" s="3"/>
      <c r="P945" s="4"/>
    </row>
    <row r="946" spans="1:16" customFormat="1" x14ac:dyDescent="0.3">
      <c r="A946" s="2"/>
      <c r="B946" s="3"/>
      <c r="P946" s="4"/>
    </row>
    <row r="947" spans="1:16" customFormat="1" x14ac:dyDescent="0.3">
      <c r="A947" s="2"/>
      <c r="B947" s="3"/>
      <c r="P947" s="4"/>
    </row>
    <row r="948" spans="1:16" customFormat="1" x14ac:dyDescent="0.3">
      <c r="A948" s="2"/>
      <c r="B948" s="3"/>
      <c r="P948" s="4"/>
    </row>
    <row r="949" spans="1:16" customFormat="1" x14ac:dyDescent="0.3">
      <c r="A949" s="2"/>
      <c r="B949" s="3"/>
      <c r="P949" s="4"/>
    </row>
    <row r="950" spans="1:16" customFormat="1" x14ac:dyDescent="0.3">
      <c r="A950" s="2"/>
      <c r="B950" s="3"/>
      <c r="P950" s="4"/>
    </row>
    <row r="951" spans="1:16" customFormat="1" x14ac:dyDescent="0.3">
      <c r="A951" s="2"/>
      <c r="B951" s="3"/>
      <c r="P951" s="4"/>
    </row>
    <row r="952" spans="1:16" customFormat="1" x14ac:dyDescent="0.3">
      <c r="A952" s="2"/>
      <c r="B952" s="3"/>
      <c r="P952" s="4"/>
    </row>
    <row r="953" spans="1:16" customFormat="1" x14ac:dyDescent="0.3">
      <c r="A953" s="2"/>
      <c r="B953" s="3"/>
      <c r="P953" s="4"/>
    </row>
    <row r="954" spans="1:16" customFormat="1" x14ac:dyDescent="0.3">
      <c r="A954" s="2"/>
      <c r="B954" s="3"/>
      <c r="P954" s="4"/>
    </row>
    <row r="955" spans="1:16" customFormat="1" x14ac:dyDescent="0.3">
      <c r="A955" s="2"/>
      <c r="B955" s="3"/>
      <c r="P955" s="4"/>
    </row>
    <row r="956" spans="1:16" customFormat="1" x14ac:dyDescent="0.3">
      <c r="A956" s="2"/>
      <c r="B956" s="3"/>
      <c r="P956" s="4"/>
    </row>
    <row r="957" spans="1:16" customFormat="1" x14ac:dyDescent="0.3">
      <c r="A957" s="2"/>
      <c r="B957" s="3"/>
      <c r="P957" s="4"/>
    </row>
    <row r="958" spans="1:16" customFormat="1" x14ac:dyDescent="0.3">
      <c r="A958" s="2"/>
      <c r="B958" s="3"/>
      <c r="P958" s="4"/>
    </row>
    <row r="959" spans="1:16" customFormat="1" x14ac:dyDescent="0.3">
      <c r="A959" s="2"/>
      <c r="B959" s="3"/>
      <c r="P959" s="4"/>
    </row>
    <row r="960" spans="1:16" customFormat="1" x14ac:dyDescent="0.3">
      <c r="A960" s="2"/>
      <c r="B960" s="3"/>
      <c r="P960" s="4"/>
    </row>
    <row r="961" spans="1:16" customFormat="1" x14ac:dyDescent="0.3">
      <c r="A961" s="2"/>
      <c r="B961" s="3"/>
      <c r="P961" s="4"/>
    </row>
    <row r="962" spans="1:16" customFormat="1" x14ac:dyDescent="0.3">
      <c r="A962" s="2"/>
      <c r="B962" s="3"/>
      <c r="P962" s="4"/>
    </row>
    <row r="963" spans="1:16" customFormat="1" x14ac:dyDescent="0.3">
      <c r="A963" s="2"/>
      <c r="B963" s="3"/>
      <c r="P963" s="4"/>
    </row>
    <row r="964" spans="1:16" customFormat="1" x14ac:dyDescent="0.3">
      <c r="A964" s="2"/>
      <c r="B964" s="3"/>
      <c r="P964" s="4"/>
    </row>
    <row r="965" spans="1:16" customFormat="1" x14ac:dyDescent="0.3">
      <c r="A965" s="2"/>
      <c r="B965" s="3"/>
      <c r="P965" s="4"/>
    </row>
    <row r="966" spans="1:16" customFormat="1" x14ac:dyDescent="0.3">
      <c r="A966" s="2"/>
      <c r="B966" s="3"/>
      <c r="P966" s="4"/>
    </row>
    <row r="967" spans="1:16" customFormat="1" x14ac:dyDescent="0.3">
      <c r="A967" s="2"/>
      <c r="B967" s="3"/>
      <c r="P967" s="4"/>
    </row>
    <row r="968" spans="1:16" customFormat="1" x14ac:dyDescent="0.3">
      <c r="A968" s="2"/>
      <c r="B968" s="3"/>
      <c r="P968" s="4"/>
    </row>
    <row r="969" spans="1:16" customFormat="1" x14ac:dyDescent="0.3">
      <c r="A969" s="2"/>
      <c r="B969" s="3"/>
      <c r="P969" s="4"/>
    </row>
    <row r="970" spans="1:16" customFormat="1" x14ac:dyDescent="0.3">
      <c r="A970" s="2"/>
      <c r="B970" s="3"/>
      <c r="P970" s="4"/>
    </row>
    <row r="971" spans="1:16" customFormat="1" x14ac:dyDescent="0.3">
      <c r="A971" s="2"/>
      <c r="B971" s="3"/>
      <c r="P971" s="4"/>
    </row>
    <row r="972" spans="1:16" customFormat="1" x14ac:dyDescent="0.3">
      <c r="A972" s="2"/>
      <c r="B972" s="3"/>
      <c r="P972" s="4"/>
    </row>
    <row r="973" spans="1:16" customFormat="1" x14ac:dyDescent="0.3">
      <c r="A973" s="2"/>
      <c r="B973" s="3"/>
      <c r="P973" s="4"/>
    </row>
    <row r="974" spans="1:16" customFormat="1" x14ac:dyDescent="0.3">
      <c r="A974" s="2"/>
      <c r="B974" s="3"/>
      <c r="P974" s="4"/>
    </row>
    <row r="975" spans="1:16" customFormat="1" x14ac:dyDescent="0.3">
      <c r="A975" s="2"/>
      <c r="B975" s="3"/>
      <c r="P975" s="4"/>
    </row>
    <row r="976" spans="1:16" customFormat="1" x14ac:dyDescent="0.3">
      <c r="A976" s="2"/>
      <c r="B976" s="3"/>
      <c r="P976" s="4"/>
    </row>
    <row r="977" spans="1:16" customFormat="1" x14ac:dyDescent="0.3">
      <c r="A977" s="2"/>
      <c r="B977" s="3"/>
      <c r="P977" s="4"/>
    </row>
    <row r="978" spans="1:16" customFormat="1" x14ac:dyDescent="0.3">
      <c r="A978" s="2"/>
      <c r="B978" s="3"/>
      <c r="P978" s="4"/>
    </row>
    <row r="979" spans="1:16" customFormat="1" x14ac:dyDescent="0.3">
      <c r="A979" s="2"/>
      <c r="B979" s="3"/>
      <c r="P979" s="4"/>
    </row>
    <row r="980" spans="1:16" customFormat="1" x14ac:dyDescent="0.3">
      <c r="A980" s="2"/>
      <c r="B980" s="3"/>
      <c r="P980" s="4"/>
    </row>
    <row r="981" spans="1:16" customFormat="1" x14ac:dyDescent="0.3">
      <c r="A981" s="2"/>
      <c r="B981" s="3"/>
      <c r="P981" s="4"/>
    </row>
    <row r="982" spans="1:16" customFormat="1" x14ac:dyDescent="0.3">
      <c r="A982" s="2"/>
      <c r="B982" s="3"/>
      <c r="P982" s="4"/>
    </row>
    <row r="983" spans="1:16" customFormat="1" x14ac:dyDescent="0.3">
      <c r="A983" s="2"/>
      <c r="B983" s="3"/>
      <c r="P983" s="4"/>
    </row>
    <row r="984" spans="1:16" customFormat="1" x14ac:dyDescent="0.3">
      <c r="A984" s="2"/>
      <c r="B984" s="3"/>
      <c r="P984" s="4"/>
    </row>
    <row r="985" spans="1:16" customFormat="1" x14ac:dyDescent="0.3">
      <c r="A985" s="2"/>
      <c r="B985" s="3"/>
      <c r="P985" s="4"/>
    </row>
    <row r="986" spans="1:16" customFormat="1" x14ac:dyDescent="0.3">
      <c r="A986" s="2"/>
      <c r="B986" s="3"/>
      <c r="P986" s="4"/>
    </row>
    <row r="987" spans="1:16" customFormat="1" x14ac:dyDescent="0.3">
      <c r="A987" s="2"/>
      <c r="B987" s="3"/>
      <c r="P987" s="4"/>
    </row>
    <row r="988" spans="1:16" customFormat="1" x14ac:dyDescent="0.3">
      <c r="A988" s="2"/>
      <c r="B988" s="3"/>
      <c r="P988" s="4"/>
    </row>
    <row r="989" spans="1:16" customFormat="1" x14ac:dyDescent="0.3">
      <c r="A989" s="2"/>
      <c r="B989" s="3"/>
      <c r="P989" s="4"/>
    </row>
    <row r="990" spans="1:16" customFormat="1" x14ac:dyDescent="0.3">
      <c r="A990" s="2"/>
      <c r="B990" s="3"/>
      <c r="P990" s="4"/>
    </row>
    <row r="991" spans="1:16" customFormat="1" x14ac:dyDescent="0.3">
      <c r="A991" s="2"/>
      <c r="B991" s="3"/>
      <c r="P991" s="4"/>
    </row>
    <row r="992" spans="1:16" customFormat="1" x14ac:dyDescent="0.3">
      <c r="A992" s="2"/>
      <c r="B992" s="3"/>
      <c r="P992" s="4"/>
    </row>
    <row r="993" spans="1:16" customFormat="1" x14ac:dyDescent="0.3">
      <c r="A993" s="2"/>
      <c r="B993" s="3"/>
      <c r="P993" s="4"/>
    </row>
    <row r="994" spans="1:16" customFormat="1" x14ac:dyDescent="0.3">
      <c r="A994" s="2"/>
      <c r="B994" s="3"/>
      <c r="P994" s="4"/>
    </row>
    <row r="995" spans="1:16" customFormat="1" x14ac:dyDescent="0.3">
      <c r="A995" s="2"/>
      <c r="B995" s="3"/>
      <c r="P995" s="4"/>
    </row>
    <row r="996" spans="1:16" customFormat="1" x14ac:dyDescent="0.3">
      <c r="A996" s="2"/>
      <c r="B996" s="3"/>
      <c r="P996" s="4"/>
    </row>
    <row r="997" spans="1:16" customFormat="1" x14ac:dyDescent="0.3">
      <c r="A997" s="2"/>
      <c r="B997" s="3"/>
      <c r="P997" s="4"/>
    </row>
    <row r="998" spans="1:16" customFormat="1" x14ac:dyDescent="0.3">
      <c r="A998" s="2"/>
      <c r="B998" s="3"/>
      <c r="P998" s="4"/>
    </row>
    <row r="999" spans="1:16" customFormat="1" x14ac:dyDescent="0.3">
      <c r="A999" s="2"/>
      <c r="B999" s="3"/>
      <c r="P999" s="4"/>
    </row>
    <row r="1000" spans="1:16" customFormat="1" x14ac:dyDescent="0.3">
      <c r="A1000" s="2"/>
      <c r="B1000" s="3"/>
      <c r="P1000" s="4"/>
    </row>
    <row r="1001" spans="1:16" customFormat="1" x14ac:dyDescent="0.3">
      <c r="A1001" s="2"/>
      <c r="B1001" s="3"/>
      <c r="P1001" s="4"/>
    </row>
    <row r="1002" spans="1:16" customFormat="1" x14ac:dyDescent="0.3">
      <c r="A1002" s="2"/>
      <c r="B1002" s="3"/>
      <c r="P1002" s="4"/>
    </row>
    <row r="1003" spans="1:16" customFormat="1" x14ac:dyDescent="0.3">
      <c r="A1003" s="2"/>
      <c r="B1003" s="3"/>
      <c r="P1003" s="4"/>
    </row>
    <row r="1004" spans="1:16" customFormat="1" x14ac:dyDescent="0.3">
      <c r="A1004" s="2"/>
      <c r="B1004" s="3"/>
      <c r="P1004" s="4"/>
    </row>
    <row r="1005" spans="1:16" customFormat="1" x14ac:dyDescent="0.3">
      <c r="A1005" s="2"/>
      <c r="B1005" s="3"/>
      <c r="P1005" s="4"/>
    </row>
    <row r="1006" spans="1:16" customFormat="1" x14ac:dyDescent="0.3">
      <c r="A1006" s="2"/>
      <c r="B1006" s="3"/>
      <c r="P1006" s="4"/>
    </row>
    <row r="1007" spans="1:16" customFormat="1" x14ac:dyDescent="0.3">
      <c r="A1007" s="2"/>
      <c r="B1007" s="3"/>
      <c r="P1007" s="4"/>
    </row>
    <row r="1008" spans="1:16" customFormat="1" x14ac:dyDescent="0.3">
      <c r="A1008" s="2"/>
      <c r="B1008" s="3"/>
      <c r="P1008" s="4"/>
    </row>
    <row r="1009" spans="1:16" customFormat="1" x14ac:dyDescent="0.3">
      <c r="A1009" s="2"/>
      <c r="B1009" s="3"/>
      <c r="P1009" s="4"/>
    </row>
    <row r="1010" spans="1:16" customFormat="1" x14ac:dyDescent="0.3">
      <c r="A1010" s="2"/>
      <c r="B1010" s="3"/>
      <c r="P1010" s="4"/>
    </row>
    <row r="1011" spans="1:16" customFormat="1" x14ac:dyDescent="0.3">
      <c r="A1011" s="2"/>
      <c r="B1011" s="3"/>
      <c r="P1011" s="4"/>
    </row>
    <row r="1012" spans="1:16" customFormat="1" x14ac:dyDescent="0.3">
      <c r="A1012" s="2"/>
      <c r="B1012" s="3"/>
      <c r="P1012" s="4"/>
    </row>
    <row r="1013" spans="1:16" customFormat="1" x14ac:dyDescent="0.3">
      <c r="A1013" s="2"/>
      <c r="B1013" s="3"/>
      <c r="P1013" s="4"/>
    </row>
    <row r="1014" spans="1:16" customFormat="1" x14ac:dyDescent="0.3">
      <c r="A1014" s="2"/>
      <c r="B1014" s="3"/>
      <c r="P1014" s="4"/>
    </row>
    <row r="1015" spans="1:16" customFormat="1" x14ac:dyDescent="0.3">
      <c r="A1015" s="2"/>
      <c r="B1015" s="3"/>
      <c r="P1015" s="4"/>
    </row>
    <row r="1016" spans="1:16" customFormat="1" x14ac:dyDescent="0.3">
      <c r="A1016" s="2"/>
      <c r="B1016" s="3"/>
      <c r="P1016" s="4"/>
    </row>
    <row r="1017" spans="1:16" customFormat="1" x14ac:dyDescent="0.3">
      <c r="A1017" s="2"/>
      <c r="B1017" s="3"/>
      <c r="P1017" s="4"/>
    </row>
    <row r="1018" spans="1:16" customFormat="1" x14ac:dyDescent="0.3">
      <c r="A1018" s="2"/>
      <c r="B1018" s="3"/>
      <c r="P1018" s="4"/>
    </row>
    <row r="1019" spans="1:16" customFormat="1" x14ac:dyDescent="0.3">
      <c r="A1019" s="2"/>
      <c r="B1019" s="3"/>
      <c r="P1019" s="4"/>
    </row>
    <row r="1020" spans="1:16" customFormat="1" x14ac:dyDescent="0.3">
      <c r="A1020" s="2"/>
      <c r="B1020" s="3"/>
      <c r="P1020" s="4"/>
    </row>
    <row r="1021" spans="1:16" customFormat="1" x14ac:dyDescent="0.3">
      <c r="A1021" s="2"/>
      <c r="B1021" s="3"/>
      <c r="P1021" s="4"/>
    </row>
    <row r="1022" spans="1:16" customFormat="1" x14ac:dyDescent="0.3">
      <c r="A1022" s="2"/>
      <c r="B1022" s="3"/>
      <c r="P1022" s="4"/>
    </row>
    <row r="1023" spans="1:16" customFormat="1" x14ac:dyDescent="0.3">
      <c r="A1023" s="2"/>
      <c r="B1023" s="3"/>
      <c r="P1023" s="4"/>
    </row>
    <row r="1024" spans="1:16" customFormat="1" x14ac:dyDescent="0.3">
      <c r="A1024" s="2"/>
      <c r="B1024" s="3"/>
      <c r="P1024" s="4"/>
    </row>
    <row r="1025" spans="1:16" customFormat="1" x14ac:dyDescent="0.3">
      <c r="A1025" s="2"/>
      <c r="B1025" s="3"/>
      <c r="P1025" s="4"/>
    </row>
    <row r="1026" spans="1:16" customFormat="1" x14ac:dyDescent="0.3">
      <c r="A1026" s="2"/>
      <c r="B1026" s="3"/>
      <c r="P1026" s="4"/>
    </row>
    <row r="1027" spans="1:16" customFormat="1" x14ac:dyDescent="0.3">
      <c r="A1027" s="2"/>
      <c r="B1027" s="3"/>
      <c r="P1027" s="4"/>
    </row>
    <row r="1028" spans="1:16" customFormat="1" x14ac:dyDescent="0.3">
      <c r="A1028" s="2"/>
      <c r="B1028" s="3"/>
      <c r="P1028" s="4"/>
    </row>
    <row r="1029" spans="1:16" customFormat="1" x14ac:dyDescent="0.3">
      <c r="A1029" s="2"/>
      <c r="B1029" s="3"/>
      <c r="P1029" s="4"/>
    </row>
    <row r="1030" spans="1:16" customFormat="1" x14ac:dyDescent="0.3">
      <c r="A1030" s="2"/>
      <c r="B1030" s="3"/>
      <c r="P1030" s="4"/>
    </row>
    <row r="1031" spans="1:16" customFormat="1" x14ac:dyDescent="0.3">
      <c r="A1031" s="2"/>
      <c r="B1031" s="3"/>
      <c r="P1031" s="4"/>
    </row>
    <row r="1032" spans="1:16" customFormat="1" x14ac:dyDescent="0.3">
      <c r="A1032" s="2"/>
      <c r="B1032" s="3"/>
      <c r="P1032" s="4"/>
    </row>
    <row r="1033" spans="1:16" customFormat="1" x14ac:dyDescent="0.3">
      <c r="A1033" s="2"/>
      <c r="B1033" s="3"/>
      <c r="P1033" s="4"/>
    </row>
    <row r="1034" spans="1:16" customFormat="1" x14ac:dyDescent="0.3">
      <c r="A1034" s="2"/>
      <c r="B1034" s="3"/>
      <c r="P1034" s="4"/>
    </row>
    <row r="1035" spans="1:16" customFormat="1" x14ac:dyDescent="0.3">
      <c r="A1035" s="2"/>
      <c r="B1035" s="3"/>
      <c r="P1035" s="4"/>
    </row>
    <row r="1036" spans="1:16" customFormat="1" x14ac:dyDescent="0.3">
      <c r="A1036" s="2"/>
      <c r="B1036" s="3"/>
      <c r="P1036" s="4"/>
    </row>
    <row r="1037" spans="1:16" customFormat="1" x14ac:dyDescent="0.3">
      <c r="A1037" s="2"/>
      <c r="B1037" s="3"/>
      <c r="P1037" s="4"/>
    </row>
    <row r="1038" spans="1:16" customFormat="1" x14ac:dyDescent="0.3">
      <c r="A1038" s="2"/>
      <c r="B1038" s="3"/>
      <c r="P1038" s="4"/>
    </row>
    <row r="1039" spans="1:16" customFormat="1" x14ac:dyDescent="0.3">
      <c r="A1039" s="2"/>
      <c r="B1039" s="3"/>
      <c r="P1039" s="4"/>
    </row>
    <row r="1040" spans="1:16" customFormat="1" x14ac:dyDescent="0.3">
      <c r="A1040" s="2"/>
      <c r="B1040" s="3"/>
      <c r="P1040" s="4"/>
    </row>
    <row r="1041" spans="1:16" customFormat="1" x14ac:dyDescent="0.3">
      <c r="A1041" s="2"/>
      <c r="B1041" s="3"/>
      <c r="P1041" s="4"/>
    </row>
    <row r="1042" spans="1:16" customFormat="1" x14ac:dyDescent="0.3">
      <c r="A1042" s="2"/>
      <c r="B1042" s="3"/>
      <c r="P1042" s="4"/>
    </row>
    <row r="1043" spans="1:16" customFormat="1" x14ac:dyDescent="0.3">
      <c r="A1043" s="2"/>
      <c r="B1043" s="3"/>
      <c r="P1043" s="4"/>
    </row>
    <row r="1044" spans="1:16" customFormat="1" x14ac:dyDescent="0.3">
      <c r="A1044" s="2"/>
      <c r="B1044" s="3"/>
      <c r="P1044" s="4"/>
    </row>
    <row r="1045" spans="1:16" customFormat="1" x14ac:dyDescent="0.3">
      <c r="A1045" s="2"/>
      <c r="B1045" s="3"/>
      <c r="P1045" s="4"/>
    </row>
    <row r="1046" spans="1:16" customFormat="1" x14ac:dyDescent="0.3">
      <c r="A1046" s="2"/>
      <c r="B1046" s="3"/>
      <c r="P1046" s="4"/>
    </row>
    <row r="1047" spans="1:16" customFormat="1" x14ac:dyDescent="0.3">
      <c r="A1047" s="2"/>
      <c r="B1047" s="3"/>
      <c r="P1047" s="4"/>
    </row>
    <row r="1048" spans="1:16" customFormat="1" x14ac:dyDescent="0.3">
      <c r="A1048" s="2"/>
      <c r="B1048" s="3"/>
      <c r="P1048" s="4"/>
    </row>
    <row r="1049" spans="1:16" customFormat="1" x14ac:dyDescent="0.3">
      <c r="A1049" s="2"/>
      <c r="B1049" s="3"/>
      <c r="P1049" s="4"/>
    </row>
    <row r="1050" spans="1:16" customFormat="1" x14ac:dyDescent="0.3">
      <c r="A1050" s="2"/>
      <c r="B1050" s="3"/>
      <c r="P1050" s="4"/>
    </row>
    <row r="1051" spans="1:16" customFormat="1" x14ac:dyDescent="0.3">
      <c r="A1051" s="2"/>
      <c r="B1051" s="3"/>
      <c r="P1051" s="4"/>
    </row>
    <row r="1052" spans="1:16" customFormat="1" x14ac:dyDescent="0.3">
      <c r="A1052" s="2"/>
      <c r="B1052" s="3"/>
      <c r="P1052" s="4"/>
    </row>
    <row r="1053" spans="1:16" customFormat="1" x14ac:dyDescent="0.3">
      <c r="A1053" s="2"/>
      <c r="B1053" s="3"/>
      <c r="P1053" s="4"/>
    </row>
    <row r="1054" spans="1:16" customFormat="1" x14ac:dyDescent="0.3">
      <c r="A1054" s="2"/>
      <c r="B1054" s="3"/>
      <c r="P1054" s="4"/>
    </row>
    <row r="1055" spans="1:16" customFormat="1" x14ac:dyDescent="0.3">
      <c r="A1055" s="2"/>
      <c r="B1055" s="3"/>
      <c r="P1055" s="4"/>
    </row>
    <row r="1056" spans="1:16" customFormat="1" x14ac:dyDescent="0.3">
      <c r="A1056" s="2"/>
      <c r="B1056" s="3"/>
      <c r="P1056" s="4"/>
    </row>
    <row r="1057" spans="1:16" customFormat="1" x14ac:dyDescent="0.3">
      <c r="A1057" s="2"/>
      <c r="B1057" s="3"/>
      <c r="P1057" s="4"/>
    </row>
    <row r="1058" spans="1:16" customFormat="1" x14ac:dyDescent="0.3">
      <c r="A1058" s="2"/>
      <c r="B1058" s="3"/>
      <c r="P1058" s="4"/>
    </row>
    <row r="1059" spans="1:16" customFormat="1" x14ac:dyDescent="0.3">
      <c r="A1059" s="2"/>
      <c r="B1059" s="3"/>
      <c r="P1059" s="4"/>
    </row>
    <row r="1060" spans="1:16" customFormat="1" x14ac:dyDescent="0.3">
      <c r="A1060" s="2"/>
      <c r="B1060" s="3"/>
      <c r="P1060" s="4"/>
    </row>
    <row r="1061" spans="1:16" customFormat="1" x14ac:dyDescent="0.3">
      <c r="A1061" s="2"/>
      <c r="B1061" s="3"/>
      <c r="P1061" s="4"/>
    </row>
    <row r="1062" spans="1:16" customFormat="1" x14ac:dyDescent="0.3">
      <c r="A1062" s="2"/>
      <c r="B1062" s="3"/>
      <c r="P1062" s="4"/>
    </row>
    <row r="1063" spans="1:16" customFormat="1" x14ac:dyDescent="0.3">
      <c r="A1063" s="2"/>
      <c r="B1063" s="3"/>
      <c r="P1063" s="4"/>
    </row>
    <row r="1064" spans="1:16" customFormat="1" x14ac:dyDescent="0.3">
      <c r="A1064" s="2"/>
      <c r="B1064" s="3"/>
      <c r="P1064" s="4"/>
    </row>
    <row r="1065" spans="1:16" customFormat="1" x14ac:dyDescent="0.3">
      <c r="A1065" s="2"/>
      <c r="B1065" s="3"/>
      <c r="P1065" s="4"/>
    </row>
    <row r="1066" spans="1:16" customFormat="1" x14ac:dyDescent="0.3">
      <c r="A1066" s="2"/>
      <c r="B1066" s="3"/>
      <c r="P1066" s="4"/>
    </row>
    <row r="1067" spans="1:16" customFormat="1" x14ac:dyDescent="0.3">
      <c r="A1067" s="2"/>
      <c r="B1067" s="3"/>
      <c r="P1067" s="4"/>
    </row>
    <row r="1068" spans="1:16" customFormat="1" x14ac:dyDescent="0.3">
      <c r="A1068" s="2"/>
      <c r="B1068" s="3"/>
      <c r="P1068" s="4"/>
    </row>
    <row r="1069" spans="1:16" customFormat="1" x14ac:dyDescent="0.3">
      <c r="A1069" s="2"/>
      <c r="B1069" s="3"/>
      <c r="P1069" s="4"/>
    </row>
    <row r="1070" spans="1:16" customFormat="1" x14ac:dyDescent="0.3">
      <c r="A1070" s="2"/>
      <c r="B1070" s="3"/>
      <c r="P1070" s="4"/>
    </row>
    <row r="1071" spans="1:16" customFormat="1" x14ac:dyDescent="0.3">
      <c r="A1071" s="2"/>
      <c r="B1071" s="3"/>
      <c r="P1071" s="4"/>
    </row>
    <row r="1072" spans="1:16" customFormat="1" x14ac:dyDescent="0.3">
      <c r="A1072" s="2"/>
      <c r="B1072" s="3"/>
      <c r="P1072" s="4"/>
    </row>
    <row r="1073" spans="1:16" customFormat="1" x14ac:dyDescent="0.3">
      <c r="A1073" s="2"/>
      <c r="B1073" s="3"/>
      <c r="P1073" s="4"/>
    </row>
    <row r="1074" spans="1:16" customFormat="1" x14ac:dyDescent="0.3">
      <c r="A1074" s="2"/>
      <c r="B1074" s="3"/>
      <c r="P1074" s="4"/>
    </row>
    <row r="1075" spans="1:16" customFormat="1" x14ac:dyDescent="0.3">
      <c r="A1075" s="2"/>
      <c r="B1075" s="3"/>
      <c r="P1075" s="4"/>
    </row>
    <row r="1076" spans="1:16" customFormat="1" x14ac:dyDescent="0.3">
      <c r="A1076" s="2"/>
      <c r="B1076" s="3"/>
      <c r="P1076" s="4"/>
    </row>
    <row r="1077" spans="1:16" customFormat="1" x14ac:dyDescent="0.3">
      <c r="A1077" s="2"/>
      <c r="B1077" s="3"/>
      <c r="P1077" s="4"/>
    </row>
    <row r="1078" spans="1:16" customFormat="1" x14ac:dyDescent="0.3">
      <c r="A1078" s="2"/>
      <c r="B1078" s="3"/>
      <c r="P1078" s="4"/>
    </row>
    <row r="1079" spans="1:16" customFormat="1" x14ac:dyDescent="0.3">
      <c r="A1079" s="2"/>
      <c r="B1079" s="3"/>
      <c r="P1079" s="4"/>
    </row>
    <row r="1080" spans="1:16" customFormat="1" x14ac:dyDescent="0.3">
      <c r="A1080" s="2"/>
      <c r="B1080" s="3"/>
      <c r="P1080" s="4"/>
    </row>
    <row r="1081" spans="1:16" customFormat="1" x14ac:dyDescent="0.3">
      <c r="A1081" s="2"/>
      <c r="B1081" s="3"/>
      <c r="P1081" s="4"/>
    </row>
    <row r="1082" spans="1:16" customFormat="1" x14ac:dyDescent="0.3">
      <c r="A1082" s="2"/>
      <c r="B1082" s="3"/>
      <c r="P1082" s="4"/>
    </row>
  </sheetData>
  <autoFilter ref="A3:ABR48" xr:uid="{00000000-0009-0000-0000-000000000000}">
    <sortState xmlns:xlrd2="http://schemas.microsoft.com/office/spreadsheetml/2017/richdata2" ref="D3:D47">
      <sortCondition sortBy="cellColor" ref="D3:D49" dxfId="21"/>
    </sortState>
  </autoFilter>
  <mergeCells count="64">
    <mergeCell ref="Q2:AU2"/>
    <mergeCell ref="AV2:BY2"/>
    <mergeCell ref="BZ2:DD2"/>
    <mergeCell ref="DE2:EH2"/>
    <mergeCell ref="XA2:YD2"/>
    <mergeCell ref="YE2:ZI2"/>
    <mergeCell ref="ZJ2:AAM2"/>
    <mergeCell ref="AAN2:ABR2"/>
    <mergeCell ref="QA2:RE2"/>
    <mergeCell ref="RF2:SI2"/>
    <mergeCell ref="SJ2:TN2"/>
    <mergeCell ref="TO2:US2"/>
    <mergeCell ref="UT2:VU2"/>
    <mergeCell ref="B43:P45"/>
    <mergeCell ref="B46:P46"/>
    <mergeCell ref="K47:P47"/>
    <mergeCell ref="K50:P50"/>
    <mergeCell ref="VV2:WZ2"/>
    <mergeCell ref="KD2:LH2"/>
    <mergeCell ref="LI2:ML2"/>
    <mergeCell ref="MM2:NQ2"/>
    <mergeCell ref="NR2:OV2"/>
    <mergeCell ref="OW2:PZ2"/>
    <mergeCell ref="EI2:FM2"/>
    <mergeCell ref="FN2:GR2"/>
    <mergeCell ref="GS2:HT2"/>
    <mergeCell ref="HU2:IY2"/>
    <mergeCell ref="IZ2:KC2"/>
    <mergeCell ref="A2:P2"/>
    <mergeCell ref="K51:P51"/>
    <mergeCell ref="K52:P52"/>
    <mergeCell ref="K53:P53"/>
    <mergeCell ref="K54:P54"/>
    <mergeCell ref="K55:P55"/>
    <mergeCell ref="K56:P56"/>
    <mergeCell ref="K57:P57"/>
    <mergeCell ref="K58:P58"/>
    <mergeCell ref="K59:P59"/>
    <mergeCell ref="B60:P60"/>
    <mergeCell ref="GS62:HT62"/>
    <mergeCell ref="HU62:IY62"/>
    <mergeCell ref="IZ62:KC62"/>
    <mergeCell ref="KD62:LH62"/>
    <mergeCell ref="Q62:AU62"/>
    <mergeCell ref="AV62:BY62"/>
    <mergeCell ref="BZ62:DD62"/>
    <mergeCell ref="DE62:EH62"/>
    <mergeCell ref="EI62:FM62"/>
    <mergeCell ref="XA62:YD62"/>
    <mergeCell ref="YE62:ZI62"/>
    <mergeCell ref="ZJ62:AAM62"/>
    <mergeCell ref="AAN62:ABR62"/>
    <mergeCell ref="A71:P71"/>
    <mergeCell ref="RF62:SI62"/>
    <mergeCell ref="SJ62:TN62"/>
    <mergeCell ref="TO62:US62"/>
    <mergeCell ref="UT62:VU62"/>
    <mergeCell ref="VV62:WZ62"/>
    <mergeCell ref="LI62:ML62"/>
    <mergeCell ref="MM62:NQ62"/>
    <mergeCell ref="NR62:OV62"/>
    <mergeCell ref="OW62:PZ62"/>
    <mergeCell ref="QA62:RE62"/>
    <mergeCell ref="FN62:GR62"/>
  </mergeCells>
  <conditionalFormatting sqref="J4:J15 J22:J31 J36">
    <cfRule type="expression" dxfId="20" priority="12">
      <formula>AND($J4&gt;#REF!-TODAY()&gt;=1,$J4&gt;#REF!-TODAY()&lt;11)</formula>
    </cfRule>
  </conditionalFormatting>
  <conditionalFormatting sqref="J5:J7">
    <cfRule type="expression" dxfId="19" priority="26">
      <formula>AND($J5-TODAY()&gt;=1,$J5-TODAY()&lt;11)</formula>
    </cfRule>
  </conditionalFormatting>
  <conditionalFormatting sqref="J16">
    <cfRule type="expression" dxfId="18" priority="36">
      <formula>AND($J13&gt;#REF!-TODAY()&gt;=1,$J13&gt;#REF!-TODAY()&lt;11)</formula>
    </cfRule>
  </conditionalFormatting>
  <conditionalFormatting sqref="J17">
    <cfRule type="expression" dxfId="17" priority="42">
      <formula>AND(#REF!&gt;#REF!-TODAY()&gt;=1,#REF!&gt;#REF!-TODAY()&lt;11)</formula>
    </cfRule>
  </conditionalFormatting>
  <conditionalFormatting sqref="J18">
    <cfRule type="expression" dxfId="16" priority="41">
      <formula>AND($J16&gt;#REF!-TODAY()&gt;=1,$J16&gt;#REF!-TODAY()&lt;11)</formula>
    </cfRule>
  </conditionalFormatting>
  <conditionalFormatting sqref="J30">
    <cfRule type="expression" dxfId="15" priority="40">
      <formula>AND(#REF!-TODAY()&gt;=1,#REF!-TODAY()&lt;11)</formula>
    </cfRule>
  </conditionalFormatting>
  <conditionalFormatting sqref="J32:J33">
    <cfRule type="expression" dxfId="14" priority="6">
      <formula>AND($J31&gt;#REF!-TODAY()&gt;=1,$J31&gt;#REF!-TODAY()&lt;11)</formula>
    </cfRule>
    <cfRule type="expression" dxfId="13" priority="7">
      <formula>AND($J33&gt;#REF!-TODAY()&gt;=1,$J33&gt;#REF!-TODAY()&lt;11)</formula>
    </cfRule>
  </conditionalFormatting>
  <conditionalFormatting sqref="J34 J64:J70">
    <cfRule type="expression" dxfId="12" priority="19">
      <formula>AND($J36&gt;#REF!-TODAY()&gt;=1,$J36&gt;#REF!-TODAY()&lt;11)</formula>
    </cfRule>
  </conditionalFormatting>
  <conditionalFormatting sqref="J35">
    <cfRule type="expression" dxfId="11" priority="37">
      <formula>AND($J36&gt;#REF!-TODAY()&gt;=1,$J36&gt;#REF!-TODAY()&lt;11)</formula>
    </cfRule>
  </conditionalFormatting>
  <conditionalFormatting sqref="J48">
    <cfRule type="expression" dxfId="10" priority="4">
      <formula>AND($J48&gt;#REF!-TODAY()&gt;=1,$J48&gt;#REF!-TODAY()&lt;11)</formula>
    </cfRule>
  </conditionalFormatting>
  <conditionalFormatting sqref="J64:J70 J72">
    <cfRule type="expression" dxfId="9" priority="16">
      <formula>AND($J64-TODAY()&gt;=1,$J64-TODAY()&lt;11)</formula>
    </cfRule>
  </conditionalFormatting>
  <conditionalFormatting sqref="J72:J75">
    <cfRule type="expression" dxfId="8" priority="17">
      <formula>AND($J74&gt;#REF!-TODAY()&gt;=1,$J74&gt;#REF!-TODAY()&lt;11)</formula>
    </cfRule>
  </conditionalFormatting>
  <conditionalFormatting sqref="P4:P36 P48">
    <cfRule type="cellIs" dxfId="7" priority="5" operator="greaterThan">
      <formula>17</formula>
    </cfRule>
  </conditionalFormatting>
  <conditionalFormatting sqref="P76">
    <cfRule type="cellIs" dxfId="6" priority="18" operator="greaterThan">
      <formula>15</formula>
    </cfRule>
  </conditionalFormatting>
  <conditionalFormatting sqref="Q7">
    <cfRule type="cellIs" dxfId="5" priority="1" operator="greaterThan">
      <formula>17</formula>
    </cfRule>
  </conditionalFormatting>
  <conditionalFormatting sqref="Q4:BU4 P22:BU22 P64:P70 P72:P75">
    <cfRule type="cellIs" dxfId="4" priority="20" operator="greaterThan">
      <formula>17</formula>
    </cfRule>
  </conditionalFormatting>
  <conditionalFormatting sqref="Q41:VU4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9:ABR39 Q79:ABR79">
    <cfRule type="cellIs" dxfId="3" priority="14" operator="lessThan">
      <formula>0.9</formula>
    </cfRule>
  </conditionalFormatting>
  <conditionalFormatting sqref="Q81:ABR8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1:AK35">
    <cfRule type="cellIs" dxfId="2" priority="25" operator="greaterThan">
      <formula>17</formula>
    </cfRule>
  </conditionalFormatting>
  <conditionalFormatting sqref="AI5:AY7">
    <cfRule type="cellIs" dxfId="1" priority="34" operator="greaterThan">
      <formula>17</formula>
    </cfRule>
  </conditionalFormatting>
  <conditionalFormatting sqref="DB31:DR35">
    <cfRule type="cellIs" dxfId="0" priority="23" operator="greaterThan">
      <formula>17</formula>
    </cfRule>
  </conditionalFormatting>
  <conditionalFormatting sqref="VV41:ABR4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/>
  <pageMargins left="0.25" right="0.25" top="0.25" bottom="0.25" header="0.51181102362204689" footer="0.51181102362204689"/>
  <pageSetup paperSize="9" scale="1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50" workbookViewId="0"/>
  </sheetViews>
  <sheetFormatPr defaultColWidth="8.44140625" defaultRowHeight="14.4" x14ac:dyDescent="0.3"/>
  <sheetData/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Glenn Thompson</dc:creator>
  <dc:description/>
  <cp:lastModifiedBy>Beveridge, Greg [KWT - CON]</cp:lastModifiedBy>
  <cp:revision>104</cp:revision>
  <dcterms:created xsi:type="dcterms:W3CDTF">2018-11-14T03:07:50Z</dcterms:created>
  <dcterms:modified xsi:type="dcterms:W3CDTF">2025-12-20T13:36:12Z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0x010100F9ACEC63CB888C46AFDA654D3D4F46BA</vt:lpwstr>
  </property>
  <property fmtid="{D5CDD505-2E9C-101B-9397-08002B2CF9AE}" pid="3" name="MediaServiceImageTags">
    <vt:lpwstr/>
  </property>
  <property fmtid="{D5CDD505-2E9C-101B-9397-08002B2CF9AE}" pid="4" name="WorkbookGuid">
    <vt:lpwstr>693e737f-b8f6-4fc6-a62b-3e67eb0b0a3e</vt:lpwstr>
  </property>
</Properties>
</file>