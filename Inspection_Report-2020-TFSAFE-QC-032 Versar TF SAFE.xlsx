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glenn\Notes\org\TFS\CMMS\tfs-cmms\"/>
    </mc:Choice>
  </mc:AlternateContent>
  <xr:revisionPtr revIDLastSave="0" documentId="8_{6DC159BD-B66C-4101-BEC9-D6C73FF68A45}" xr6:coauthVersionLast="47" xr6:coauthVersionMax="47" xr10:uidLastSave="{00000000-0000-0000-0000-000000000000}"/>
  <bookViews>
    <workbookView xWindow="19185" yWindow="840" windowWidth="19230" windowHeight="20055" firstSheet="4" xr2:uid="{69E0D027-42D4-48FF-B644-AB9BECB2EAF1}"/>
  </bookViews>
  <sheets>
    <sheet name="Inspection Report" sheetId="1" r:id="rId1"/>
    <sheet name="SOR Tracker" sheetId="6" r:id="rId2"/>
    <sheet name="Cover Sheet" sheetId="8" r:id="rId3"/>
    <sheet name="Cover Note" sheetId="7" state="hidden" r:id="rId4"/>
    <sheet name="Data" sheetId="2" r:id="rId5"/>
  </sheets>
  <externalReferences>
    <externalReference r:id="rId6"/>
  </externalReferences>
  <definedNames>
    <definedName name="BritishStandard">Data!$E$45:$E$58</definedName>
    <definedName name="BS">Data!$E$45:$E$58</definedName>
    <definedName name="BS_7671">Data!$E$45:$E$58</definedName>
    <definedName name="Call_Out">Data!$W$4:$W$8</definedName>
    <definedName name="Callout">Data!$W$4:$W$8</definedName>
    <definedName name="Full_Inspection">Data!$U$4:$U$8</definedName>
    <definedName name="MEW">Data!$B$68:$B$77</definedName>
    <definedName name="Military">Data!$AC$14:$AC$15</definedName>
    <definedName name="NEC">Data!$D$45:$D$79</definedName>
    <definedName name="No">Data!$Q$4:$Q$5</definedName>
    <definedName name="O_M_Provider">Data!$AB$14:$AB$15</definedName>
    <definedName name="_xlnm.Print_Area" localSheetId="0">'Inspection Report'!$A$1:$F$329,'Inspection Report'!$G$1:$M$44</definedName>
    <definedName name="Re_Inspection">Data!$V$4:$V$8</definedName>
    <definedName name="Reference" localSheetId="2">[1]Data!$B$47:$B$49</definedName>
    <definedName name="Reference">Data!$B$47:$B$50</definedName>
    <definedName name="Task_Force_SAFE">Data!$AA$14:$AA$15</definedName>
    <definedName name="Yes">Data!$P$4:$P$5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  <c r="D5" i="6" a="1"/>
  <c r="D5" i="6" s="1"/>
  <c r="D6" i="6" a="1"/>
  <c r="D6" i="6" s="1"/>
  <c r="D7" i="6" a="1"/>
  <c r="D7" i="6" s="1"/>
  <c r="D8" i="6" a="1"/>
  <c r="D8" i="6" s="1"/>
  <c r="D9" i="6" a="1"/>
  <c r="D9" i="6" s="1"/>
  <c r="D10" i="6" a="1"/>
  <c r="D10" i="6" s="1"/>
  <c r="D11" i="6" a="1"/>
  <c r="D11" i="6" s="1"/>
  <c r="D12" i="6" a="1"/>
  <c r="D12" i="6" s="1"/>
  <c r="D13" i="6" a="1"/>
  <c r="D13" i="6" s="1"/>
  <c r="D14" i="6" a="1"/>
  <c r="D14" i="6" s="1"/>
  <c r="D15" i="6" a="1"/>
  <c r="D15" i="6" s="1"/>
  <c r="D16" i="6" a="1"/>
  <c r="D16" i="6" s="1"/>
  <c r="D17" i="6" a="1"/>
  <c r="D17" i="6" s="1"/>
  <c r="D18" i="6" a="1"/>
  <c r="D18" i="6" s="1"/>
  <c r="D19" i="6" a="1"/>
  <c r="D19" i="6" s="1"/>
  <c r="D20" i="6" a="1"/>
  <c r="D20" i="6" s="1"/>
  <c r="D21" i="6" a="1"/>
  <c r="D21" i="6" s="1"/>
  <c r="D22" i="6" a="1"/>
  <c r="D22" i="6" s="1"/>
  <c r="D23" i="6" a="1"/>
  <c r="D23" i="6" s="1"/>
  <c r="D4" i="6" a="1"/>
  <c r="D4" i="6" s="1"/>
  <c r="O4" i="6" l="1"/>
  <c r="V31" i="2"/>
  <c r="V20" i="2" a="1"/>
  <c r="V20" i="2" l="1"/>
  <c r="Q3" i="2"/>
  <c r="P3" i="2"/>
  <c r="J31" i="2" l="1"/>
  <c r="J50" i="2" l="1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K34" i="2" l="1"/>
  <c r="N7" i="6" s="1"/>
  <c r="C65" i="1" s="1"/>
  <c r="K35" i="2"/>
  <c r="N8" i="6" s="1"/>
  <c r="C80" i="1" s="1"/>
  <c r="K43" i="2"/>
  <c r="N16" i="6" s="1"/>
  <c r="C206" i="1" s="1"/>
  <c r="K33" i="2"/>
  <c r="N6" i="6" s="1"/>
  <c r="C50" i="1" s="1"/>
  <c r="K42" i="2"/>
  <c r="N15" i="6" s="1"/>
  <c r="C191" i="1" s="1"/>
  <c r="K36" i="2"/>
  <c r="N9" i="6" s="1"/>
  <c r="C97" i="1" s="1"/>
  <c r="K44" i="2"/>
  <c r="N17" i="6" s="1"/>
  <c r="C221" i="1" s="1"/>
  <c r="K41" i="2"/>
  <c r="N14" i="6" s="1"/>
  <c r="C174" i="1" s="1"/>
  <c r="K45" i="2"/>
  <c r="N18" i="6" s="1"/>
  <c r="C238" i="1" s="1"/>
  <c r="K37" i="2"/>
  <c r="N10" i="6" s="1"/>
  <c r="C112" i="1" s="1"/>
  <c r="K38" i="2"/>
  <c r="N11" i="6" s="1"/>
  <c r="C127" i="1" s="1"/>
  <c r="K46" i="2"/>
  <c r="N19" i="6" s="1"/>
  <c r="C253" i="1" s="1"/>
  <c r="K32" i="2"/>
  <c r="N5" i="6" s="1"/>
  <c r="C34" i="1" s="1"/>
  <c r="K39" i="2"/>
  <c r="N12" i="6" s="1"/>
  <c r="C144" i="1" s="1"/>
  <c r="K47" i="2"/>
  <c r="N20" i="6" s="1"/>
  <c r="C268" i="1" s="1"/>
  <c r="K40" i="2"/>
  <c r="N13" i="6" s="1"/>
  <c r="C159" i="1" s="1"/>
  <c r="K48" i="2"/>
  <c r="N21" i="6" s="1"/>
  <c r="C285" i="1" s="1"/>
  <c r="K49" i="2"/>
  <c r="N22" i="6" s="1"/>
  <c r="C300" i="1" s="1"/>
  <c r="K50" i="2"/>
  <c r="N23" i="6" s="1"/>
  <c r="C315" i="1" s="1"/>
  <c r="K31" i="2"/>
  <c r="N4" i="6" s="1"/>
  <c r="C19" i="1" s="1"/>
  <c r="K8" i="1"/>
  <c r="L4" i="6" l="1"/>
  <c r="F4" i="6" s="1"/>
  <c r="K15" i="1" l="1"/>
  <c r="K12" i="1"/>
  <c r="K9" i="1"/>
  <c r="K5" i="1"/>
  <c r="K4" i="1"/>
  <c r="K3" i="1"/>
  <c r="K2" i="1"/>
  <c r="I7" i="1"/>
  <c r="I6" i="1"/>
  <c r="I5" i="1"/>
  <c r="I4" i="1"/>
  <c r="I2" i="1"/>
  <c r="I3" i="1" l="1"/>
  <c r="B22" i="6" l="1"/>
  <c r="C23" i="6"/>
  <c r="B23" i="6"/>
  <c r="C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C4" i="6"/>
  <c r="B4" i="6"/>
  <c r="E7" i="6"/>
  <c r="M23" i="6" l="1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 l="1"/>
  <c r="V33" i="2" s="1"/>
  <c r="V36" i="2" l="1"/>
  <c r="V35" i="2"/>
  <c r="V34" i="2"/>
  <c r="G11" i="6"/>
  <c r="G23" i="6"/>
  <c r="G22" i="6"/>
  <c r="G21" i="6"/>
  <c r="G20" i="6"/>
  <c r="G19" i="6"/>
  <c r="G18" i="6"/>
  <c r="G17" i="6"/>
  <c r="G16" i="6"/>
  <c r="G15" i="6"/>
  <c r="G14" i="6"/>
  <c r="G13" i="6"/>
  <c r="G12" i="6"/>
  <c r="G10" i="6"/>
  <c r="G9" i="6"/>
  <c r="G8" i="6"/>
  <c r="G7" i="6"/>
  <c r="G6" i="6"/>
  <c r="G5" i="6"/>
  <c r="G4" i="6"/>
  <c r="V32" i="2" l="1"/>
  <c r="A1" i="1" s="1"/>
  <c r="H1" i="1" s="1"/>
  <c r="E4" i="6"/>
  <c r="L23" i="6" l="1"/>
  <c r="F23" i="6" s="1"/>
  <c r="E23" i="6"/>
  <c r="L22" i="6"/>
  <c r="F22" i="6" s="1"/>
  <c r="E22" i="6"/>
  <c r="L21" i="6"/>
  <c r="F21" i="6" s="1"/>
  <c r="E21" i="6"/>
  <c r="L20" i="6"/>
  <c r="F20" i="6" s="1"/>
  <c r="E20" i="6"/>
  <c r="L19" i="6"/>
  <c r="F19" i="6" s="1"/>
  <c r="E19" i="6"/>
  <c r="L18" i="6"/>
  <c r="F18" i="6" s="1"/>
  <c r="E18" i="6"/>
  <c r="L17" i="6"/>
  <c r="F17" i="6" s="1"/>
  <c r="E17" i="6"/>
  <c r="L16" i="6"/>
  <c r="F16" i="6" s="1"/>
  <c r="E16" i="6"/>
  <c r="L15" i="6"/>
  <c r="F15" i="6" s="1"/>
  <c r="E15" i="6"/>
  <c r="L14" i="6"/>
  <c r="F14" i="6" s="1"/>
  <c r="E14" i="6"/>
  <c r="L13" i="6"/>
  <c r="F13" i="6" s="1"/>
  <c r="E13" i="6"/>
  <c r="L12" i="6"/>
  <c r="F12" i="6" s="1"/>
  <c r="E12" i="6"/>
  <c r="L11" i="6"/>
  <c r="F11" i="6" s="1"/>
  <c r="E11" i="6"/>
  <c r="L10" i="6"/>
  <c r="F10" i="6" s="1"/>
  <c r="E10" i="6"/>
  <c r="L9" i="6"/>
  <c r="F9" i="6" s="1"/>
  <c r="E9" i="6"/>
  <c r="L8" i="6"/>
  <c r="F8" i="6" s="1"/>
  <c r="E8" i="6"/>
  <c r="L7" i="6"/>
  <c r="F7" i="6" s="1"/>
  <c r="L6" i="6"/>
  <c r="F6" i="6" s="1"/>
  <c r="E6" i="6"/>
  <c r="L5" i="6"/>
  <c r="F5" i="6" s="1"/>
  <c r="E5" i="6"/>
  <c r="I2" i="6"/>
  <c r="A4" i="6" l="1"/>
  <c r="B34" i="1" l="1"/>
  <c r="B50" i="1" l="1"/>
  <c r="A5" i="6"/>
  <c r="B65" i="1" l="1"/>
  <c r="A6" i="6"/>
  <c r="B80" i="1" l="1"/>
  <c r="A7" i="6"/>
  <c r="B97" i="1" l="1"/>
  <c r="A8" i="6"/>
  <c r="B112" i="1" l="1"/>
  <c r="A9" i="6"/>
  <c r="B127" i="1" l="1"/>
  <c r="A10" i="6"/>
  <c r="B144" i="1" l="1"/>
  <c r="A11" i="6"/>
  <c r="B159" i="1" l="1"/>
  <c r="A12" i="6"/>
  <c r="B174" i="1" l="1"/>
  <c r="A13" i="6"/>
  <c r="B191" i="1" l="1"/>
  <c r="A14" i="6"/>
  <c r="B206" i="1" l="1"/>
  <c r="A15" i="6"/>
  <c r="B221" i="1" l="1"/>
  <c r="A16" i="6"/>
  <c r="B238" i="1" l="1"/>
  <c r="A17" i="6"/>
  <c r="B253" i="1" l="1"/>
  <c r="A18" i="6"/>
  <c r="B268" i="1" l="1"/>
  <c r="A19" i="6"/>
  <c r="B285" i="1" l="1"/>
  <c r="A20" i="6"/>
  <c r="B300" i="1" l="1"/>
  <c r="A21" i="6"/>
  <c r="B315" i="1" l="1"/>
  <c r="A22" i="6"/>
  <c r="A23" i="6" l="1"/>
  <c r="E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<sst xmlns="http://schemas.openxmlformats.org/spreadsheetml/2006/main" count="649" uniqueCount="283">
  <si>
    <t>Base Location</t>
  </si>
  <si>
    <t>Camp Buehring</t>
  </si>
  <si>
    <t>Date:</t>
  </si>
  <si>
    <t>Base Code</t>
  </si>
  <si>
    <t>Team #:</t>
  </si>
  <si>
    <t>Camp Name-BLD #</t>
  </si>
  <si>
    <t>System Voltage</t>
  </si>
  <si>
    <t>Building Type</t>
  </si>
  <si>
    <t>Inspection Phase</t>
  </si>
  <si>
    <t>Previous Report #:</t>
  </si>
  <si>
    <t>Physical Building Location Description:</t>
  </si>
  <si>
    <t>MRF needed</t>
  </si>
  <si>
    <t xml:space="preserve">Overall Building Electrical </t>
  </si>
  <si>
    <t>Overall Building Electrical:</t>
  </si>
  <si>
    <t>Building Picture:</t>
  </si>
  <si>
    <t>Inspector Name:</t>
  </si>
  <si>
    <t>Signed:</t>
  </si>
  <si>
    <t>QC Name:</t>
  </si>
  <si>
    <t>LHS Deficiencies:</t>
  </si>
  <si>
    <t xml:space="preserve">Summary of Findings: </t>
  </si>
  <si>
    <t>Deficiency Number:</t>
  </si>
  <si>
    <t>Description of Deficiency Location:</t>
  </si>
  <si>
    <t>Number of Occurrences</t>
  </si>
  <si>
    <t>Deficiency Category :</t>
  </si>
  <si>
    <t>Equipment Category:</t>
  </si>
  <si>
    <t>Imminent  Danger?</t>
  </si>
  <si>
    <t>If 'Yes' : Action Taken:</t>
  </si>
  <si>
    <t>SOR Issued To:</t>
  </si>
  <si>
    <t>Description of Deficiency:</t>
  </si>
  <si>
    <t>(or Mitigated State)</t>
  </si>
  <si>
    <t>Code Source:</t>
  </si>
  <si>
    <t>Deficiency Status:</t>
  </si>
  <si>
    <t>Code Reference:</t>
  </si>
  <si>
    <t>Inspection Report Number:</t>
  </si>
  <si>
    <t>File Name:</t>
  </si>
  <si>
    <t>V32</t>
  </si>
  <si>
    <t>Previous Report Number</t>
  </si>
  <si>
    <t>Inspection phase</t>
  </si>
  <si>
    <t>Repair By</t>
  </si>
  <si>
    <t>Occurrences</t>
  </si>
  <si>
    <t>Imminent  Danger</t>
  </si>
  <si>
    <t>O&amp;M SOR #</t>
  </si>
  <si>
    <t>Repair Team #</t>
  </si>
  <si>
    <t>Parts Ordered</t>
  </si>
  <si>
    <t>Date Ordered</t>
  </si>
  <si>
    <t>Deficiency Status</t>
  </si>
  <si>
    <t>Date</t>
  </si>
  <si>
    <t>RAC</t>
  </si>
  <si>
    <t xml:space="preserve">MRF </t>
  </si>
  <si>
    <t>Description</t>
  </si>
  <si>
    <t>Country</t>
  </si>
  <si>
    <t>Yes</t>
  </si>
  <si>
    <t>No</t>
  </si>
  <si>
    <t>LSAU</t>
  </si>
  <si>
    <t>Full Inspection</t>
  </si>
  <si>
    <t>H4QXY</t>
  </si>
  <si>
    <t>Camp Arifjan</t>
  </si>
  <si>
    <t>Kuwait</t>
  </si>
  <si>
    <t>230/400</t>
  </si>
  <si>
    <t>BritishStandard</t>
  </si>
  <si>
    <t>Re Inspection</t>
  </si>
  <si>
    <t>Callout</t>
  </si>
  <si>
    <t>N/A</t>
  </si>
  <si>
    <t>Medical Facility</t>
  </si>
  <si>
    <t>Re-Inspection</t>
  </si>
  <si>
    <t>R5SPE</t>
  </si>
  <si>
    <t>120/208</t>
  </si>
  <si>
    <t>NEC</t>
  </si>
  <si>
    <t>Repaired</t>
  </si>
  <si>
    <t>Open</t>
  </si>
  <si>
    <t>Task Force SAFE</t>
  </si>
  <si>
    <t>DFAC</t>
  </si>
  <si>
    <t>Call-Out</t>
  </si>
  <si>
    <t>SMMAD</t>
  </si>
  <si>
    <t>AMOD</t>
  </si>
  <si>
    <t>277/480</t>
  </si>
  <si>
    <t>Mitigated</t>
  </si>
  <si>
    <t>Closed / Repaired</t>
  </si>
  <si>
    <t>O&amp;M Provider</t>
  </si>
  <si>
    <t>Billeting</t>
  </si>
  <si>
    <t>S6CYH</t>
  </si>
  <si>
    <t>Ali Al Salem Air Base</t>
  </si>
  <si>
    <t>Hybrid/Combo</t>
  </si>
  <si>
    <t>Closed Previously</t>
  </si>
  <si>
    <t>Military</t>
  </si>
  <si>
    <t>Office</t>
  </si>
  <si>
    <t>446PD</t>
  </si>
  <si>
    <t>KNB</t>
  </si>
  <si>
    <t>ReInsp-Open</t>
  </si>
  <si>
    <t>Retail</t>
  </si>
  <si>
    <t>SPART</t>
  </si>
  <si>
    <t>Sparta</t>
  </si>
  <si>
    <t>TFS Closed</t>
  </si>
  <si>
    <t>MWR/USO</t>
  </si>
  <si>
    <t>9R7UA</t>
  </si>
  <si>
    <t>SPOD</t>
  </si>
  <si>
    <t>Electrical Distro</t>
  </si>
  <si>
    <t>EURGL</t>
  </si>
  <si>
    <t>Camp KASOTC</t>
  </si>
  <si>
    <t>Jordan</t>
  </si>
  <si>
    <t>Other</t>
  </si>
  <si>
    <t>5VN8M</t>
  </si>
  <si>
    <t>JTC</t>
  </si>
  <si>
    <t>CTP5R</t>
  </si>
  <si>
    <t>PHRB</t>
  </si>
  <si>
    <t>Equipment Category</t>
  </si>
  <si>
    <t>969ZA</t>
  </si>
  <si>
    <t>MSAB</t>
  </si>
  <si>
    <t>7NX32</t>
  </si>
  <si>
    <t>H-5</t>
  </si>
  <si>
    <t>Deficiency Category</t>
  </si>
  <si>
    <t>WLT</t>
  </si>
  <si>
    <t>LTRYC</t>
  </si>
  <si>
    <t>HTC</t>
  </si>
  <si>
    <t>CDP</t>
  </si>
  <si>
    <t>GCP23</t>
  </si>
  <si>
    <t>Titin</t>
  </si>
  <si>
    <t>Grounding and Bonding</t>
  </si>
  <si>
    <t>MDP</t>
  </si>
  <si>
    <t>CP2FL</t>
  </si>
  <si>
    <t>Tower 22</t>
  </si>
  <si>
    <t>Improper Terminations</t>
  </si>
  <si>
    <t>GEN</t>
  </si>
  <si>
    <t>75KR8</t>
  </si>
  <si>
    <t>New JTC</t>
  </si>
  <si>
    <t>Improper Use / Damaged</t>
  </si>
  <si>
    <t>TR</t>
  </si>
  <si>
    <t>JAVRH</t>
  </si>
  <si>
    <t>Azraq Air Base</t>
  </si>
  <si>
    <t>Poor Workmanship</t>
  </si>
  <si>
    <t>ATS</t>
  </si>
  <si>
    <t>8AD6R</t>
  </si>
  <si>
    <t>Badger</t>
  </si>
  <si>
    <t>Unlisted Equipment</t>
  </si>
  <si>
    <t>MTS</t>
  </si>
  <si>
    <t>1T4JI</t>
  </si>
  <si>
    <t>Taji</t>
  </si>
  <si>
    <t>Iraq</t>
  </si>
  <si>
    <t>SDP</t>
  </si>
  <si>
    <t>F797V</t>
  </si>
  <si>
    <t>Erbil</t>
  </si>
  <si>
    <t>KIRKU</t>
  </si>
  <si>
    <t>Kirkuk</t>
  </si>
  <si>
    <t>QWEST</t>
  </si>
  <si>
    <t>Qwest</t>
  </si>
  <si>
    <t>XZ722</t>
  </si>
  <si>
    <t>Al Asad</t>
  </si>
  <si>
    <t xml:space="preserve">Good </t>
  </si>
  <si>
    <t>2R6S8</t>
  </si>
  <si>
    <t>Baghdad Diplomatic Support Center</t>
  </si>
  <si>
    <t>Fair</t>
  </si>
  <si>
    <t>LSCNF</t>
  </si>
  <si>
    <t>EIA</t>
  </si>
  <si>
    <t>Poor</t>
  </si>
  <si>
    <t>BXPEZ</t>
  </si>
  <si>
    <t>CTSOTF</t>
  </si>
  <si>
    <t>EYVPF</t>
  </si>
  <si>
    <t>MARSOC</t>
  </si>
  <si>
    <t>B62XQ</t>
  </si>
  <si>
    <t>Candians</t>
  </si>
  <si>
    <t>DEF#</t>
  </si>
  <si>
    <t>RISK Score</t>
  </si>
  <si>
    <t>Filename</t>
  </si>
  <si>
    <t>TQIRA</t>
  </si>
  <si>
    <t>TQ</t>
  </si>
  <si>
    <t>First Def #</t>
  </si>
  <si>
    <t>MANIO</t>
  </si>
  <si>
    <t>Camp Manion, TQ</t>
  </si>
  <si>
    <t>Last Def #</t>
  </si>
  <si>
    <t>A1QUM</t>
  </si>
  <si>
    <t>Al Qa'im</t>
  </si>
  <si>
    <t>Number of additional Defs</t>
  </si>
  <si>
    <t>NOC-E</t>
  </si>
  <si>
    <t>THERA</t>
  </si>
  <si>
    <t>The Ranch, TQ</t>
  </si>
  <si>
    <t>A88T2</t>
  </si>
  <si>
    <t>KSB</t>
  </si>
  <si>
    <t>1st def 3# &amp; # of defs</t>
  </si>
  <si>
    <t>P9P4U</t>
  </si>
  <si>
    <t>Al Riffa Air Base</t>
  </si>
  <si>
    <t>Bahrain</t>
  </si>
  <si>
    <t>69FKG</t>
  </si>
  <si>
    <t>Isa Air Base</t>
  </si>
  <si>
    <t>CASAB</t>
  </si>
  <si>
    <t>CAS Air Base</t>
  </si>
  <si>
    <t>Qatar</t>
  </si>
  <si>
    <t>CASSO</t>
  </si>
  <si>
    <t>CAS South</t>
  </si>
  <si>
    <t>8MER1</t>
  </si>
  <si>
    <t>Al Udeid Air Base</t>
  </si>
  <si>
    <t>2XTAU</t>
  </si>
  <si>
    <t>Al Dhafra Air Base</t>
  </si>
  <si>
    <t>UAE</t>
  </si>
  <si>
    <t>KATAB</t>
  </si>
  <si>
    <t>KA2AB</t>
  </si>
  <si>
    <t>British Standard</t>
  </si>
  <si>
    <t>ATGXX</t>
  </si>
  <si>
    <t>ATG</t>
  </si>
  <si>
    <t>Syria</t>
  </si>
  <si>
    <t>RIYAN</t>
  </si>
  <si>
    <t>Camp Owens</t>
  </si>
  <si>
    <t>Yemen</t>
  </si>
  <si>
    <t>Code Reference</t>
  </si>
  <si>
    <t>110: General Rules</t>
  </si>
  <si>
    <t>132: Protection against electric shock</t>
  </si>
  <si>
    <t>GV021</t>
  </si>
  <si>
    <t>Green Village</t>
  </si>
  <si>
    <t>200: Use and Identification of Grounded Conductors</t>
  </si>
  <si>
    <t>411: Protection against fire caused by electrical equipment</t>
  </si>
  <si>
    <t>CPGO1</t>
  </si>
  <si>
    <t>Camp Pongo</t>
  </si>
  <si>
    <t>210: Branch Circuits</t>
  </si>
  <si>
    <t>510: Common rules</t>
  </si>
  <si>
    <t>NAR21</t>
  </si>
  <si>
    <t>Camp Narvik</t>
  </si>
  <si>
    <t>230: Services</t>
  </si>
  <si>
    <t>511: Compliance with standards</t>
  </si>
  <si>
    <t>MON20</t>
  </si>
  <si>
    <t>Camp Monschke</t>
  </si>
  <si>
    <t>MEW</t>
  </si>
  <si>
    <t>240: Overcurrent Protection</t>
  </si>
  <si>
    <t>514: Identification and notices</t>
  </si>
  <si>
    <t>AREA4</t>
  </si>
  <si>
    <t>Area IV</t>
  </si>
  <si>
    <t>250: Grounding/ Bonding</t>
  </si>
  <si>
    <t>521: Types of wiring systems</t>
  </si>
  <si>
    <t>CONO</t>
  </si>
  <si>
    <t>MSSE/Conoco</t>
  </si>
  <si>
    <t>300: General Requirments for Wiring Methods and Materials</t>
  </si>
  <si>
    <t>522: Selection and erection of wiring systems in relation to external influences</t>
  </si>
  <si>
    <t>RUMLZ</t>
  </si>
  <si>
    <t>Rumalyn LZ</t>
  </si>
  <si>
    <t>310: Conductors for General Wiring</t>
  </si>
  <si>
    <t>526: Electrical connections</t>
  </si>
  <si>
    <t>T2XX</t>
  </si>
  <si>
    <t>T2</t>
  </si>
  <si>
    <t>400: Flexible Cords and Cables</t>
  </si>
  <si>
    <t>542: Earthing arrangements</t>
  </si>
  <si>
    <t>KSA01</t>
  </si>
  <si>
    <t>Sharura</t>
  </si>
  <si>
    <t>KSA</t>
  </si>
  <si>
    <t>404: Switches</t>
  </si>
  <si>
    <t>642: Inspection</t>
  </si>
  <si>
    <t>DAD22</t>
  </si>
  <si>
    <t>Shaddadi</t>
  </si>
  <si>
    <t>406: Receptacles, Cord Connectors and Attachment Plugs (Caps)</t>
  </si>
  <si>
    <t>701: Locations containing a bath or a shower</t>
  </si>
  <si>
    <t>TA1</t>
  </si>
  <si>
    <t>Training Area 1</t>
  </si>
  <si>
    <t>408: Switchboards, Switchgear, and Panelboards</t>
  </si>
  <si>
    <t>Appx 4: Current carrying capacities and voltage drop for cables</t>
  </si>
  <si>
    <t>HAM22</t>
  </si>
  <si>
    <t>Al-Hamra</t>
  </si>
  <si>
    <t>410: Luminaires, Lampholders, and Lamps</t>
  </si>
  <si>
    <t>KFAB22</t>
  </si>
  <si>
    <t>KFAB</t>
  </si>
  <si>
    <t>440: Air-Conditioning and Refrigerating Equipment</t>
  </si>
  <si>
    <t>BASAIR</t>
  </si>
  <si>
    <t>Bashur Airfield</t>
  </si>
  <si>
    <t>445: Generators</t>
  </si>
  <si>
    <t>MNMB</t>
  </si>
  <si>
    <t>Egypt</t>
  </si>
  <si>
    <t>TAR23</t>
  </si>
  <si>
    <t>Camp Tarlavsky</t>
  </si>
  <si>
    <t>SUL23</t>
  </si>
  <si>
    <t>Camp Sulay</t>
  </si>
  <si>
    <t>MTH23</t>
  </si>
  <si>
    <t>Moore Team House</t>
  </si>
  <si>
    <t>SAS24</t>
  </si>
  <si>
    <t>Sas Al Nakhl Air Force Base</t>
  </si>
  <si>
    <t>RDL24</t>
  </si>
  <si>
    <t>Redleg</t>
  </si>
  <si>
    <t>NLZ24</t>
  </si>
  <si>
    <t>Northern LZ</t>
  </si>
  <si>
    <t>KLZ24</t>
  </si>
  <si>
    <t>Kurdish LZ</t>
  </si>
  <si>
    <t>Section 14 Inspection and Testing</t>
  </si>
  <si>
    <t>Appendix 2 Current Carrying Capacity for Cables</t>
  </si>
  <si>
    <t>Section 3 General Requirements for Electrical Installation</t>
  </si>
  <si>
    <t>Section 4 Service Intake</t>
  </si>
  <si>
    <t>Section 6 Earthing and Earth Leakage Protection</t>
  </si>
  <si>
    <t>Section 5 Excess Current Protection</t>
  </si>
  <si>
    <t>Section 7 Wiring and Distribution Arrangements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</si>
</sst>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;\-0;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46" fontId="0" fillId="0" borderId="0" xfId="0" applyNumberFormat="1"/>
    <xf numFmtId="0" fontId="0" fillId="0" borderId="1" xfId="0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top"/>
      <protection locked="0"/>
    </xf>
    <xf numFmtId="165" fontId="0" fillId="0" borderId="0" xfId="0" applyNumberFormat="1"/>
    <xf numFmtId="165" fontId="0" fillId="0" borderId="1" xfId="0" applyNumberFormat="1" applyBorder="1" applyAlignment="1">
      <alignment horizontal="center" vertical="top"/>
    </xf>
    <xf numFmtId="0" fontId="1" fillId="2" borderId="8" xfId="0" applyFont="1" applyFill="1" applyBorder="1"/>
    <xf numFmtId="164" fontId="0" fillId="0" borderId="1" xfId="0" applyNumberFormat="1" applyBorder="1"/>
    <xf numFmtId="165" fontId="1" fillId="2" borderId="1" xfId="0" applyNumberFormat="1" applyFont="1" applyFill="1" applyBorder="1"/>
    <xf numFmtId="0" fontId="1" fillId="2" borderId="6" xfId="0" applyFont="1" applyFill="1" applyBorder="1"/>
    <xf numFmtId="0" fontId="0" fillId="0" borderId="3" xfId="0" applyBorder="1"/>
    <xf numFmtId="0" fontId="1" fillId="2" borderId="4" xfId="0" applyFont="1" applyFill="1" applyBorder="1"/>
    <xf numFmtId="0" fontId="1" fillId="0" borderId="1" xfId="0" applyFont="1" applyBorder="1"/>
    <xf numFmtId="165" fontId="0" fillId="0" borderId="1" xfId="0" applyNumberFormat="1" applyBorder="1" applyProtection="1">
      <protection locked="0"/>
    </xf>
    <xf numFmtId="165" fontId="0" fillId="0" borderId="1" xfId="0" applyNumberFormat="1" applyBorder="1"/>
    <xf numFmtId="165" fontId="1" fillId="2" borderId="1" xfId="0" applyNumberFormat="1" applyFont="1" applyFill="1" applyBorder="1" applyAlignment="1">
      <alignment shrinkToFit="1"/>
    </xf>
    <xf numFmtId="165" fontId="1" fillId="2" borderId="1" xfId="0" applyNumberFormat="1" applyFont="1" applyFill="1" applyBorder="1" applyAlignment="1">
      <alignment wrapText="1"/>
    </xf>
    <xf numFmtId="165" fontId="1" fillId="2" borderId="1" xfId="0" applyNumberFormat="1" applyFont="1" applyFill="1" applyBorder="1" applyAlignment="1">
      <alignment vertical="top" shrinkToFit="1"/>
    </xf>
    <xf numFmtId="165" fontId="1" fillId="2" borderId="1" xfId="0" applyNumberFormat="1" applyFont="1" applyFill="1" applyBorder="1" applyAlignment="1">
      <alignment vertical="top"/>
    </xf>
    <xf numFmtId="165" fontId="1" fillId="0" borderId="1" xfId="0" applyNumberFormat="1" applyFont="1" applyBorder="1" applyAlignment="1">
      <alignment horizontal="left" vertical="top"/>
    </xf>
    <xf numFmtId="165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 applyProtection="1">
      <alignment horizontal="left" vertical="top"/>
      <protection locked="0"/>
    </xf>
    <xf numFmtId="165" fontId="1" fillId="0" borderId="0" xfId="0" applyNumberFormat="1" applyFont="1"/>
    <xf numFmtId="165" fontId="0" fillId="0" borderId="0" xfId="0" applyNumberFormat="1" applyAlignment="1">
      <alignment horizontal="left" vertical="center"/>
    </xf>
    <xf numFmtId="165" fontId="1" fillId="0" borderId="0" xfId="0" applyNumberFormat="1" applyFont="1" applyAlignment="1">
      <alignment shrinkToFit="1"/>
    </xf>
    <xf numFmtId="165" fontId="1" fillId="0" borderId="0" xfId="0" applyNumberFormat="1" applyFont="1" applyAlignment="1">
      <alignment wrapText="1"/>
    </xf>
    <xf numFmtId="165" fontId="1" fillId="0" borderId="0" xfId="0" applyNumberFormat="1" applyFont="1" applyAlignment="1">
      <alignment vertical="top" shrinkToFit="1"/>
    </xf>
    <xf numFmtId="165" fontId="1" fillId="0" borderId="0" xfId="0" applyNumberFormat="1" applyFont="1" applyAlignment="1">
      <alignment vertical="top"/>
    </xf>
    <xf numFmtId="165" fontId="0" fillId="0" borderId="0" xfId="0" applyNumberFormat="1" applyAlignment="1" applyProtection="1">
      <alignment vertical="top" wrapText="1"/>
      <protection locked="0"/>
    </xf>
    <xf numFmtId="165" fontId="0" fillId="0" borderId="0" xfId="0" applyNumberFormat="1" applyAlignment="1" applyProtection="1">
      <alignment vertical="center"/>
      <protection locked="0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5" fontId="0" fillId="0" borderId="0" xfId="0" applyNumberFormat="1" applyAlignment="1">
      <alignment vertical="top" wrapText="1"/>
    </xf>
    <xf numFmtId="0" fontId="0" fillId="0" borderId="1" xfId="0" applyBorder="1" applyAlignment="1" applyProtection="1">
      <alignment horizontal="left" vertical="center"/>
      <protection locked="0"/>
    </xf>
    <xf numFmtId="0" fontId="3" fillId="0" borderId="0" xfId="0" applyFont="1"/>
    <xf numFmtId="0" fontId="0" fillId="0" borderId="1" xfId="0" applyBorder="1"/>
    <xf numFmtId="0" fontId="1" fillId="2" borderId="3" xfId="0" applyFont="1" applyFill="1" applyBorder="1" applyAlignment="1">
      <alignment horizontal="left"/>
    </xf>
    <xf numFmtId="0" fontId="1" fillId="2" borderId="3" xfId="0" applyFont="1" applyFill="1" applyBorder="1"/>
    <xf numFmtId="0" fontId="0" fillId="2" borderId="3" xfId="0" applyFill="1" applyBorder="1"/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6" fontId="0" fillId="0" borderId="0" xfId="0" applyNumberFormat="1"/>
    <xf numFmtId="165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 applyAlignment="1" applyProtection="1">
      <alignment vertical="top"/>
      <protection locked="0"/>
    </xf>
    <xf numFmtId="165" fontId="4" fillId="2" borderId="1" xfId="0" applyNumberFormat="1" applyFont="1" applyFill="1" applyBorder="1" applyAlignment="1">
      <alignment vertical="top"/>
    </xf>
    <xf numFmtId="165" fontId="1" fillId="2" borderId="1" xfId="0" applyNumberFormat="1" applyFont="1" applyFill="1" applyBorder="1" applyAlignment="1">
      <alignment vertical="center" wrapText="1"/>
    </xf>
    <xf numFmtId="165" fontId="1" fillId="2" borderId="1" xfId="0" applyNumberFormat="1" applyFont="1" applyFill="1" applyBorder="1" applyAlignment="1">
      <alignment horizontal="left" vertical="top"/>
    </xf>
    <xf numFmtId="165" fontId="0" fillId="0" borderId="1" xfId="0" applyNumberFormat="1" applyBorder="1" applyAlignment="1" applyProtection="1">
      <alignment horizontal="center" vertical="top"/>
      <protection locked="0"/>
    </xf>
    <xf numFmtId="0" fontId="1" fillId="0" borderId="12" xfId="0" applyFont="1" applyBorder="1"/>
    <xf numFmtId="0" fontId="0" fillId="0" borderId="13" xfId="0" applyBorder="1"/>
    <xf numFmtId="0" fontId="0" fillId="0" borderId="9" xfId="0" applyBorder="1"/>
    <xf numFmtId="0" fontId="0" fillId="0" borderId="5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1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 applyProtection="1">
      <alignment horizontal="center" wrapText="1"/>
      <protection locked="0"/>
    </xf>
    <xf numFmtId="165" fontId="4" fillId="2" borderId="1" xfId="0" applyNumberFormat="1" applyFont="1" applyFill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 shrinkToFit="1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left" vertical="top" wrapText="1"/>
    </xf>
    <xf numFmtId="165" fontId="1" fillId="2" borderId="1" xfId="0" applyNumberFormat="1" applyFont="1" applyFill="1" applyBorder="1" applyAlignment="1">
      <alignment horizontal="left"/>
    </xf>
    <xf numFmtId="165" fontId="1" fillId="0" borderId="1" xfId="0" applyNumberFormat="1" applyFont="1" applyBorder="1" applyAlignment="1">
      <alignment horizontal="left" vertical="top"/>
    </xf>
    <xf numFmtId="165" fontId="1" fillId="2" borderId="1" xfId="0" applyNumberFormat="1" applyFont="1" applyFill="1" applyBorder="1" applyAlignment="1">
      <alignment horizontal="left" vertical="top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14" xfId="0" applyBorder="1" applyAlignment="1" applyProtection="1">
      <alignment horizontal="left" vertical="top" wrapText="1"/>
      <protection locked="0"/>
    </xf>
    <xf numFmtId="0" fontId="0" fillId="0" borderId="13" xfId="0" applyBorder="1" applyAlignment="1" applyProtection="1">
      <alignment horizontal="left" vertical="top" wrapText="1"/>
      <protection locked="0"/>
    </xf>
    <xf numFmtId="0" fontId="0" fillId="0" borderId="9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5" xfId="0" applyBorder="1" applyAlignment="1" applyProtection="1">
      <alignment horizontal="left" vertical="top" wrapText="1"/>
      <protection locked="0"/>
    </xf>
    <xf numFmtId="0" fontId="0" fillId="0" borderId="6" xfId="0" applyBorder="1" applyAlignment="1" applyProtection="1">
      <alignment horizontal="left" vertical="top" wrapText="1"/>
      <protection locked="0"/>
    </xf>
    <xf numFmtId="0" fontId="0" fillId="0" borderId="10" xfId="0" applyBorder="1" applyAlignment="1" applyProtection="1">
      <alignment horizontal="left" vertical="top" wrapText="1"/>
      <protection locked="0"/>
    </xf>
    <xf numFmtId="0" fontId="0" fillId="0" borderId="11" xfId="0" applyBorder="1" applyAlignment="1" applyProtection="1">
      <alignment horizontal="left" vertical="top" wrapText="1"/>
      <protection locked="0"/>
    </xf>
    <xf numFmtId="165" fontId="0" fillId="0" borderId="1" xfId="0" applyNumberFormat="1" applyBorder="1" applyAlignment="1" applyProtection="1">
      <alignment horizontal="left" vertical="top" wrapText="1"/>
      <protection locked="0"/>
    </xf>
    <xf numFmtId="165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top" wrapText="1"/>
      <protection locked="0"/>
    </xf>
    <xf numFmtId="165" fontId="1" fillId="2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 applyProtection="1">
      <alignment horizontal="center"/>
      <protection locked="0"/>
    </xf>
    <xf numFmtId="165" fontId="0" fillId="0" borderId="1" xfId="0" applyNumberFormat="1" applyBorder="1" applyAlignment="1" applyProtection="1">
      <alignment horizontal="center" shrinkToFit="1"/>
      <protection locked="0"/>
    </xf>
    <xf numFmtId="165" fontId="1" fillId="2" borderId="1" xfId="0" applyNumberFormat="1" applyFont="1" applyFill="1" applyBorder="1" applyAlignment="1">
      <alignment horizontal="left" vertical="top" shrinkToFit="1"/>
    </xf>
    <xf numFmtId="165" fontId="1" fillId="0" borderId="1" xfId="0" applyNumberFormat="1" applyFont="1" applyBorder="1" applyAlignment="1" applyProtection="1">
      <alignment horizontal="left" vertical="top" shrinkToFit="1"/>
      <protection locked="0"/>
    </xf>
    <xf numFmtId="165" fontId="0" fillId="2" borderId="1" xfId="0" applyNumberFormat="1" applyFill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164" fontId="0" fillId="0" borderId="1" xfId="0" applyNumberFormat="1" applyBorder="1" applyAlignment="1" applyProtection="1">
      <alignment horizontal="center" vertical="top"/>
      <protection locked="0"/>
    </xf>
    <xf numFmtId="165" fontId="0" fillId="0" borderId="1" xfId="0" applyNumberFormat="1" applyBorder="1" applyAlignment="1" applyProtection="1">
      <alignment horizontal="center" vertical="top"/>
      <protection locked="0"/>
    </xf>
    <xf numFmtId="165" fontId="1" fillId="0" borderId="1" xfId="0" applyNumberFormat="1" applyFont="1" applyBorder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horizontal="left" vertical="top"/>
      <protection locked="0"/>
    </xf>
    <xf numFmtId="165" fontId="5" fillId="2" borderId="2" xfId="0" applyNumberFormat="1" applyFont="1" applyFill="1" applyBorder="1" applyAlignment="1">
      <alignment horizontal="center" wrapText="1"/>
    </xf>
    <xf numFmtId="165" fontId="5" fillId="2" borderId="3" xfId="0" applyNumberFormat="1" applyFont="1" applyFill="1" applyBorder="1" applyAlignment="1">
      <alignment horizontal="center" wrapText="1"/>
    </xf>
    <xf numFmtId="0" fontId="0" fillId="0" borderId="1" xfId="0" applyBorder="1" applyAlignment="1" applyProtection="1">
      <alignment horizontal="center" vertical="top" wrapText="1"/>
      <protection locked="0"/>
    </xf>
    <xf numFmtId="165" fontId="1" fillId="2" borderId="1" xfId="0" applyNumberFormat="1" applyFont="1" applyFill="1" applyBorder="1" applyAlignment="1">
      <alignment horizontal="center" wrapText="1"/>
    </xf>
    <xf numFmtId="165" fontId="0" fillId="0" borderId="1" xfId="0" applyNumberFormat="1" applyBorder="1" applyAlignment="1">
      <alignment horizontal="center" vertical="top" wrapText="1"/>
    </xf>
    <xf numFmtId="0" fontId="1" fillId="2" borderId="6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9" xfId="0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</dxf>
    <dxf>
      <font>
        <color theme="0"/>
      </font>
      <fill>
        <patternFill patternType="solid">
          <fgColor auto="1"/>
          <bgColor rgb="FFFF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200024</xdr:colOff>
      <xdr:row>112</xdr:row>
      <xdr:rowOff>95612</xdr:rowOff>
    </xdr:from>
    <xdr:ext cx="2468880" cy="1460645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024" y="20383862"/>
          <a:ext cx="2468880" cy="146064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127</xdr:row>
      <xdr:rowOff>121012</xdr:rowOff>
    </xdr:from>
    <xdr:ext cx="2468880" cy="1460645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9549" y="15170512"/>
          <a:ext cx="2468880" cy="146064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144</xdr:row>
      <xdr:rowOff>121012</xdr:rowOff>
    </xdr:from>
    <xdr:ext cx="2468880" cy="1460645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9549" y="18409012"/>
          <a:ext cx="2468880" cy="146064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159</xdr:row>
      <xdr:rowOff>121012</xdr:rowOff>
    </xdr:from>
    <xdr:ext cx="2468880" cy="1460645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9549" y="21266512"/>
          <a:ext cx="2468880" cy="146064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174</xdr:row>
      <xdr:rowOff>121012</xdr:rowOff>
    </xdr:from>
    <xdr:ext cx="2468880" cy="1460645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9549" y="24124012"/>
          <a:ext cx="2468880" cy="1460645"/>
        </a:xfrm>
        <a:prstGeom prst="rect">
          <a:avLst/>
        </a:prstGeom>
      </xdr:spPr>
    </xdr:pic>
    <xdr:clientData/>
  </xdr:oneCellAnchor>
  <xdr:oneCellAnchor>
    <xdr:from>
      <xdr:col>0</xdr:col>
      <xdr:colOff>245408</xdr:colOff>
      <xdr:row>191</xdr:row>
      <xdr:rowOff>121012</xdr:rowOff>
    </xdr:from>
    <xdr:ext cx="2468880" cy="1460645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5408" y="34751671"/>
          <a:ext cx="2468880" cy="146064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206</xdr:row>
      <xdr:rowOff>121012</xdr:rowOff>
    </xdr:from>
    <xdr:ext cx="2468880" cy="1460645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9549" y="30220012"/>
          <a:ext cx="2468880" cy="146064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221</xdr:row>
      <xdr:rowOff>121012</xdr:rowOff>
    </xdr:from>
    <xdr:ext cx="2468880" cy="1460645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9549" y="33077512"/>
          <a:ext cx="2468880" cy="146064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238</xdr:row>
      <xdr:rowOff>121012</xdr:rowOff>
    </xdr:from>
    <xdr:ext cx="2468880" cy="1460645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9549" y="36316012"/>
          <a:ext cx="2468880" cy="146064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253</xdr:row>
      <xdr:rowOff>121012</xdr:rowOff>
    </xdr:from>
    <xdr:ext cx="2468880" cy="1460645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9549" y="39173512"/>
          <a:ext cx="2468880" cy="146064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268</xdr:row>
      <xdr:rowOff>121012</xdr:rowOff>
    </xdr:from>
    <xdr:ext cx="2468880" cy="1460645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9549" y="42031012"/>
          <a:ext cx="2468880" cy="146064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285</xdr:row>
      <xdr:rowOff>121012</xdr:rowOff>
    </xdr:from>
    <xdr:ext cx="2468880" cy="1460645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9549" y="45269512"/>
          <a:ext cx="2468880" cy="146064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300</xdr:row>
      <xdr:rowOff>121012</xdr:rowOff>
    </xdr:from>
    <xdr:ext cx="2468880" cy="1460645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9549" y="48127012"/>
          <a:ext cx="2468880" cy="146064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315</xdr:row>
      <xdr:rowOff>121012</xdr:rowOff>
    </xdr:from>
    <xdr:ext cx="2468880" cy="1460645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9549" y="50984512"/>
          <a:ext cx="2468880" cy="1460645"/>
        </a:xfrm>
        <a:prstGeom prst="rect">
          <a:avLst/>
        </a:prstGeom>
      </xdr:spPr>
    </xdr:pic>
    <xdr:clientData/>
  </xdr:oneCellAnchor>
  <xdr:oneCellAnchor>
    <xdr:from>
      <xdr:col>0</xdr:col>
      <xdr:colOff>173692</xdr:colOff>
      <xdr:row>97</xdr:row>
      <xdr:rowOff>67224</xdr:rowOff>
    </xdr:from>
    <xdr:ext cx="2468878" cy="1460645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692" y="17844236"/>
          <a:ext cx="2468878" cy="1460645"/>
        </a:xfrm>
        <a:prstGeom prst="rect">
          <a:avLst/>
        </a:prstGeom>
      </xdr:spPr>
    </xdr:pic>
    <xdr:clientData/>
  </xdr:oneCellAnchor>
  <xdr:oneCellAnchor>
    <xdr:from>
      <xdr:col>0</xdr:col>
      <xdr:colOff>159327</xdr:colOff>
      <xdr:row>50</xdr:row>
      <xdr:rowOff>83128</xdr:rowOff>
    </xdr:from>
    <xdr:ext cx="2468878" cy="146064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327" y="9483437"/>
          <a:ext cx="2468878" cy="1460645"/>
        </a:xfrm>
        <a:prstGeom prst="rect">
          <a:avLst/>
        </a:prstGeom>
      </xdr:spPr>
    </xdr:pic>
    <xdr:clientData/>
  </xdr:oneCellAnchor>
  <xdr:oneCellAnchor>
    <xdr:from>
      <xdr:col>0</xdr:col>
      <xdr:colOff>110837</xdr:colOff>
      <xdr:row>65</xdr:row>
      <xdr:rowOff>55418</xdr:rowOff>
    </xdr:from>
    <xdr:ext cx="2468878" cy="1460645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0837" y="12157363"/>
          <a:ext cx="2468878" cy="1460645"/>
        </a:xfrm>
        <a:prstGeom prst="rect">
          <a:avLst/>
        </a:prstGeom>
      </xdr:spPr>
    </xdr:pic>
    <xdr:clientData/>
  </xdr:oneCellAnchor>
  <xdr:oneCellAnchor>
    <xdr:from>
      <xdr:col>0</xdr:col>
      <xdr:colOff>117764</xdr:colOff>
      <xdr:row>80</xdr:row>
      <xdr:rowOff>90055</xdr:rowOff>
    </xdr:from>
    <xdr:ext cx="2468878" cy="146064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7764" y="14893637"/>
          <a:ext cx="2468878" cy="1460645"/>
        </a:xfrm>
        <a:prstGeom prst="rect">
          <a:avLst/>
        </a:prstGeom>
      </xdr:spPr>
    </xdr:pic>
    <xdr:clientData/>
  </xdr:oneCellAnchor>
  <xdr:twoCellAnchor editAs="oneCell">
    <xdr:from>
      <xdr:col>0</xdr:col>
      <xdr:colOff>95250</xdr:colOff>
      <xdr:row>35</xdr:row>
      <xdr:rowOff>0</xdr:rowOff>
    </xdr:from>
    <xdr:to>
      <xdr:col>1</xdr:col>
      <xdr:colOff>1030603</xdr:colOff>
      <xdr:row>42</xdr:row>
      <xdr:rowOff>127145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E365D4-C659-4FE4-BAF5-48FDE5D712A2}"/>
            </a:ext>
            <a:ext uri="{147F2762-F138-4A5C-976F-8EAC2B608ADB}">
              <a16:predDERef xmlns:a16="http://schemas.microsoft.com/office/drawing/2014/main" pre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0" y="6972300"/>
          <a:ext cx="2468878" cy="146064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19</xdr:row>
      <xdr:rowOff>95250</xdr:rowOff>
    </xdr:from>
    <xdr:to>
      <xdr:col>1</xdr:col>
      <xdr:colOff>1125853</xdr:colOff>
      <xdr:row>27</xdr:row>
      <xdr:rowOff>31895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A4FD36-700F-43A1-B913-3E5B32780258}"/>
            </a:ext>
            <a:ext uri="{147F2762-F138-4A5C-976F-8EAC2B608ADB}">
              <a16:predDERef xmlns:a16="http://schemas.microsoft.com/office/drawing/2014/main" pred="{14E365D4-C659-4FE4-BAF5-48FDE5D71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4019550"/>
          <a:ext cx="2468878" cy="14606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285751</xdr:colOff>
      <xdr:row>1</xdr:row>
      <xdr:rowOff>85726</xdr:rowOff>
    </xdr:from>
    <xdr:ext cx="969211" cy="116204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1" y="268606"/>
          <a:ext cx="969211" cy="1162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444332</xdr:colOff>
      <xdr:row>3</xdr:row>
      <xdr:rowOff>47624</xdr:rowOff>
    </xdr:from>
    <xdr:to>
      <xdr:col>10</xdr:col>
      <xdr:colOff>355599</xdr:colOff>
      <xdr:row>5</xdr:row>
      <xdr:rowOff>190499</xdr:rowOff>
    </xdr:to>
    <xdr:pic>
      <xdr:nvPicPr>
        <xdr:cNvPr id="3" name="imageSelected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8752" y="596264"/>
          <a:ext cx="1130467" cy="5010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150321</xdr:colOff>
      <xdr:row>8</xdr:row>
      <xdr:rowOff>77586</xdr:rowOff>
    </xdr:from>
    <xdr:to>
      <xdr:col>10</xdr:col>
      <xdr:colOff>352251</xdr:colOff>
      <xdr:row>30</xdr:row>
      <xdr:rowOff>147898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50321" y="1463041"/>
          <a:ext cx="6280612" cy="38803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50000"/>
            </a:lnSpc>
          </a:pPr>
          <a:r>
            <a:rPr lang="en-US" sz="14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Objective</a:t>
          </a:r>
          <a:endParaRPr lang="en-US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ct val="150000"/>
            </a:lnSpc>
          </a:pPr>
          <a:r>
            <a:rPr lang="en-US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The objective of this service contract is for the Contractor to provide technical services including, but not limited to inspections, assessments, repairs, testing, reports, training for facilities, and operations-related projects.</a:t>
          </a:r>
        </a:p>
        <a:p>
          <a:pPr>
            <a:lnSpc>
              <a:spcPct val="150000"/>
            </a:lnSpc>
          </a:pPr>
          <a:r>
            <a:rPr lang="en-US" sz="14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Definitions</a:t>
          </a:r>
          <a:endParaRPr lang="en-US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lvl="0" indent="-17145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LHS Electrical Deficiency:</a:t>
          </a:r>
        </a:p>
        <a:p>
          <a:pPr marL="628650" lvl="1" indent="-171450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en-US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deficiency that is in its current state likely to bring harm or damage. </a:t>
          </a:r>
        </a:p>
        <a:p>
          <a:pPr marL="171450" lvl="0" indent="-17145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Imminent LHS Electrical Deficiency is defined as:</a:t>
          </a:r>
        </a:p>
        <a:p>
          <a:pPr marL="628650" lvl="1" indent="-171450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en-US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deficiency that is in its current state is certain to bring harm or damage. </a:t>
          </a:r>
        </a:p>
        <a:p>
          <a:pPr marL="171450" lvl="0" indent="-17145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Mitigated is defined as:</a:t>
          </a:r>
        </a:p>
        <a:p>
          <a:pPr marL="628650" lvl="1" indent="-171450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en-US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The action of reducing an Imminent LHS deficiency.</a:t>
          </a:r>
        </a:p>
        <a:p>
          <a:pPr marL="171450" lvl="0" indent="-17145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RAC – Risk Assessment Code:</a:t>
          </a:r>
        </a:p>
        <a:p>
          <a:pPr marL="628650" lvl="1" indent="-171450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en-US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 provide insight for safety personnel the severity of identified deficiencies if left as found and is meant for information purposes only.</a:t>
          </a:r>
        </a:p>
        <a:p>
          <a:pPr marL="171450" lvl="0" indent="-17145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RAC 1:</a:t>
          </a:r>
        </a:p>
        <a:p>
          <a:pPr marL="628650" lvl="1" indent="-171450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en-US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Immediate danger to public or property with critical to catastrophic consequences.</a:t>
          </a:r>
        </a:p>
        <a:p>
          <a:pPr marL="171450" lvl="0" indent="-17145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RAC 2:</a:t>
          </a:r>
        </a:p>
        <a:p>
          <a:pPr marL="628650" lvl="1" indent="-171450">
            <a:lnSpc>
              <a:spcPct val="150000"/>
            </a:lnSpc>
            <a:buFont typeface="Courier New" panose="02070309020205020404" pitchFamily="49" charset="0"/>
            <a:buChar char="o"/>
          </a:pPr>
          <a:r>
            <a:rPr lang="en-US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Possible danger to public or property with significant to minor consequences.</a:t>
          </a:r>
        </a:p>
        <a:p>
          <a:endParaRPr lang="en-US" sz="1100"/>
        </a:p>
      </xdr:txBody>
    </xdr:sp>
    <xdr:clientData/>
  </xdr:twoCellAnchor>
  <xdr:twoCellAnchor>
    <xdr:from>
      <xdr:col>0</xdr:col>
      <xdr:colOff>171450</xdr:colOff>
      <xdr:row>31</xdr:row>
      <xdr:rowOff>9525</xdr:rowOff>
    </xdr:from>
    <xdr:to>
      <xdr:col>10</xdr:col>
      <xdr:colOff>381000</xdr:colOff>
      <xdr:row>44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71450" y="5678805"/>
          <a:ext cx="6313170" cy="24060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50000"/>
            </a:lnSpc>
          </a:pPr>
          <a:r>
            <a:rPr lang="en-US" sz="14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Workflow</a:t>
          </a:r>
          <a:endParaRPr lang="en-US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228600" lvl="0" indent="-228600">
            <a:lnSpc>
              <a:spcPct val="150000"/>
            </a:lnSpc>
            <a:buFont typeface="+mj-lt"/>
            <a:buAutoNum type="arabicPeriod"/>
          </a:pPr>
          <a:r>
            <a:rPr lang="en-US" sz="10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Inspections will be preformed from source to end users.</a:t>
          </a:r>
        </a:p>
        <a:p>
          <a:pPr marL="228600" lvl="0" indent="-228600">
            <a:lnSpc>
              <a:spcPct val="150000"/>
            </a:lnSpc>
            <a:buFont typeface="+mj-lt"/>
            <a:buAutoNum type="arabicPeriod"/>
          </a:pPr>
          <a:r>
            <a:rPr lang="en-GB" sz="10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When a deficiency is identified, it will always be documented, at that point and time it was found. </a:t>
          </a:r>
          <a:r>
            <a:rPr lang="en-US" sz="10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</a:t>
          </a:r>
        </a:p>
        <a:p>
          <a:pPr marL="228600" lvl="0" indent="-228600">
            <a:lnSpc>
              <a:spcPct val="150000"/>
            </a:lnSpc>
            <a:buFont typeface="+mj-lt"/>
            <a:buAutoNum type="arabicPeriod"/>
          </a:pPr>
          <a:r>
            <a:rPr lang="en-US" sz="10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If a deficiency is found it will never be left in its current unsafe condition. A deficiency will either be repaired or mitigated.</a:t>
          </a:r>
        </a:p>
        <a:p>
          <a:pPr marL="228600" lvl="0" indent="-228600">
            <a:lnSpc>
              <a:spcPct val="150000"/>
            </a:lnSpc>
            <a:buFont typeface="+mj-lt"/>
            <a:buAutoNum type="arabicPeriod"/>
          </a:pPr>
          <a:r>
            <a:rPr lang="en-US" sz="10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Mitigating actions could include, but are not limited to, isolating the supply, posting warning signs and/or barriers or even just making the site aware of the risk.</a:t>
          </a:r>
        </a:p>
        <a:p>
          <a:pPr marL="228600" lvl="0" indent="-228600">
            <a:lnSpc>
              <a:spcPct val="150000"/>
            </a:lnSpc>
            <a:buFont typeface="+mj-lt"/>
            <a:buAutoNum type="arabicPeriod"/>
          </a:pPr>
          <a:r>
            <a:rPr lang="en-US" sz="10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On recording any deficiency, it will be recorded at the status as to which it was initially inspected.</a:t>
          </a:r>
        </a:p>
        <a:p>
          <a:pPr marL="228600" lvl="0" indent="-228600">
            <a:lnSpc>
              <a:spcPct val="150000"/>
            </a:lnSpc>
            <a:buFont typeface="+mj-lt"/>
            <a:buAutoNum type="arabicPeriod"/>
          </a:pPr>
          <a:r>
            <a:rPr lang="en-US" sz="10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Actions have been put in place by TFS, in order to allow a true reflection of the condition of all inspected electrical systems and facilities.  </a:t>
          </a:r>
        </a:p>
        <a:p>
          <a:endParaRPr lang="en-US" sz="1100"/>
        </a:p>
      </xdr:txBody>
    </xdr:sp>
    <xdr:clientData/>
  </xdr:twoCellAnchor>
  <xdr:twoCellAnchor>
    <xdr:from>
      <xdr:col>0</xdr:col>
      <xdr:colOff>171450</xdr:colOff>
      <xdr:row>44</xdr:row>
      <xdr:rowOff>104775</xdr:rowOff>
    </xdr:from>
    <xdr:to>
      <xdr:col>10</xdr:col>
      <xdr:colOff>381000</xdr:colOff>
      <xdr:row>55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171450" y="8151495"/>
          <a:ext cx="6313170" cy="19450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50000"/>
            </a:lnSpc>
          </a:pPr>
          <a:r>
            <a:rPr lang="en-US" sz="14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Closing Summary</a:t>
          </a:r>
          <a:endParaRPr lang="en-US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ct val="150000"/>
            </a:lnSpc>
          </a:pPr>
          <a:r>
            <a:rPr lang="en-US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The inspection report provides a simple engineering view of a facilities electrical safety condition where it can continue to be used safely, along with all LHS deficiencies being highlighted in accordance with the general scope of the TFS program.</a:t>
          </a:r>
        </a:p>
        <a:p>
          <a:pPr>
            <a:lnSpc>
              <a:spcPct val="150000"/>
            </a:lnSpc>
          </a:pPr>
          <a:endParaRPr lang="en-US" sz="10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>
            <a:lnSpc>
              <a:spcPct val="150000"/>
            </a:lnSpc>
          </a:pPr>
          <a:r>
            <a:rPr lang="en-US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This medium can supply a brief insight to the possible risk factors in and around a specific location within the AOR either CENTCOM wide or locally for the commander at a specific FOB. The TFS team can provide specialist knowledge and expertise to assist with the electrical infostructures and systems if there is a requirement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603250</xdr:colOff>
      <xdr:row>4</xdr:row>
      <xdr:rowOff>82550</xdr:rowOff>
    </xdr:from>
    <xdr:to>
      <xdr:col>7</xdr:col>
      <xdr:colOff>57150</xdr:colOff>
      <xdr:row>6</xdr:row>
      <xdr:rowOff>3175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2439670" y="814070"/>
          <a:ext cx="1892300" cy="2863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Task Force SAFE Report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5</xdr:row>
          <xdr:rowOff>28575</xdr:rowOff>
        </xdr:from>
        <xdr:to>
          <xdr:col>2</xdr:col>
          <xdr:colOff>457200</xdr:colOff>
          <xdr:row>8</xdr:row>
          <xdr:rowOff>171450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Crawford\Desktop\Draft%20Report%20template%201.1.xlsx" TargetMode="External"/><Relationship Id="rId1" Type="http://schemas.openxmlformats.org/officeDocument/2006/relationships/externalLinkPath" Target="https://versar.sharepoint.com/Users/HCrawford/Desktop/Draft%20Report%20template%20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sheet"/>
      <sheetName val="Inspection Report"/>
      <sheetName val="Sheet2"/>
      <sheetName val="SOR Tracker"/>
      <sheetName val="Cover Note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openxmlformats.org/officeDocument/2006/relationships/image" Target="../media/image4.emf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9279A-76F6-443E-B82F-F650AC117966}">
  <dimension ref="A1:M371"/>
  <sheetViews>
    <sheetView tabSelected="1" zoomScale="85" zoomScaleNormal="85" zoomScaleSheetLayoutView="70" workbookViewId="0">
      <selection activeCell="B2" sqref="B2"/>
    </sheetView>
  </sheetViews>
  <sheetFormatPr defaultColWidth="9.28515625" defaultRowHeight="15" x14ac:dyDescent="0.25"/>
  <cols>
    <col min="1" max="1" width="23" style="11" bestFit="1" customWidth="1"/>
    <col min="2" max="2" width="19.28515625" style="11" customWidth="1"/>
    <col min="3" max="3" width="14.7109375" style="11" bestFit="1" customWidth="1"/>
    <col min="4" max="6" width="9.28515625" style="11"/>
    <col min="7" max="7" width="3.42578125" style="11" customWidth="1"/>
    <col min="8" max="8" width="17.42578125" style="11" customWidth="1"/>
    <col min="9" max="9" width="26" style="11" customWidth="1"/>
    <col min="10" max="10" width="21.28515625" style="11" customWidth="1"/>
    <col min="11" max="13" width="8.7109375" style="11" customWidth="1"/>
    <col min="14" max="14" width="3.42578125" style="11" customWidth="1"/>
    <col min="15" max="16384" width="9.28515625" style="11"/>
  </cols>
  <sheetData>
    <row r="1" spans="1:13" x14ac:dyDescent="0.25">
      <c r="A1" s="65" t="str">
        <f>_xlfn.CONCAT(IF(B6="N/A","Inspection-Report_TFSAFE","Re-Inspection-Report_TFSAFE"),IF(D5="Callout","_Callout",""),IF(ISNUMBER(SEARCH("Callout",B6)),"_Callout",""),"_",B3,"_",B4,"_",D3,"_",TEXT(D2,"DD-MM-YY"),"_",Data!$V$31,Data!$V$32)</f>
        <v>Re-Inspection-Report_TFSAFE_R5SPE___00-01-00_0</v>
      </c>
      <c r="B1" s="65"/>
      <c r="C1" s="65"/>
      <c r="D1" s="65"/>
      <c r="E1" s="65"/>
      <c r="F1" s="65"/>
      <c r="H1" s="65" t="str">
        <f>A1</f>
        <v>Re-Inspection-Report_TFSAFE_R5SPE___00-01-00_0</v>
      </c>
      <c r="I1" s="65"/>
      <c r="J1" s="65"/>
      <c r="K1" s="65"/>
      <c r="L1" s="65"/>
      <c r="M1" s="65"/>
    </row>
    <row r="2" spans="1:13" x14ac:dyDescent="0.25">
      <c r="A2" s="15" t="s">
        <v>0</v>
      </c>
      <c r="B2" s="20" t="s">
        <v>1</v>
      </c>
      <c r="C2" s="15" t="s">
        <v>2</v>
      </c>
      <c r="D2" s="92"/>
      <c r="E2" s="92"/>
      <c r="F2" s="92"/>
      <c r="H2" s="15" t="s">
        <v>0</v>
      </c>
      <c r="I2" s="21" t="str">
        <f t="shared" ref="I2:I7" si="0">B2</f>
        <v>Camp Buehring</v>
      </c>
      <c r="J2" s="15" t="s">
        <v>2</v>
      </c>
      <c r="K2" s="66">
        <f>D2</f>
        <v>0</v>
      </c>
      <c r="L2" s="66"/>
      <c r="M2" s="66"/>
    </row>
    <row r="3" spans="1:13" x14ac:dyDescent="0.25">
      <c r="A3" s="15" t="s">
        <v>3</v>
      </c>
      <c r="B3" s="21" t="str" cm="1">
        <f t="array" ref="B3">_xlfn.IFS(B2=Data!G3,Data!F3,B2=Data!G4,Data!F4,B2=Data!G5,Data!F5,B2=Data!G6,Data!F6,B2=Data!G7,Data!F7,B2=Data!G8,Data!F8,B2=Data!G9,Data!F9,B2=Data!G10,Data!F10,B2=Data!G11,Data!F11,B2=Data!G12,Data!F12,B2=Data!G13,Data!F13,B2=Data!G14,Data!F14,B2=Data!G15,Data!F15,B2=Data!G16,Data!F16,B2=Data!G17,Data!F17,B2=Data!G18,Data!F18,B2=Data!G19,Data!F19,B2=Data!G20,Data!F20,B2=Data!G21,Data!F21,B2=Data!G22,Data!F22,B2=Data!G23,Data!F23,B2=Data!G24,Data!F24,B2=Data!G25,Data!F25,B2=Data!G26,Data!F26,B2=Data!G27,Data!F27,B2=Data!G28,Data!F28,B2=Data!G29,Data!F29,B2=Data!G30,Data!F30,B2=Data!G31,Data!F31,B2=Data!G32,Data!F32,B2=Data!G33,Data!F33,B2=Data!G34,Data!F34,B2=Data!G35,Data!F35,B2=Data!G36,Data!F36,B2=Data!G37,Data!F37,B2=Data!G38,Data!F38,B2=Data!G39,Data!F39,B2=Data!G40,Data!F40,B2=Data!G41,Data!F41,B2=Data!G42,Data!F42,B2=Data!G43,Data!F43,B2=Data!G44,Data!F44,B2=Data!G45,Data!F45,B2=Data!G46,Data!F46,B2=Data!G47,Data!F47,B2=Data!G48,Data!F48,B2=Data!G49,Data!F49,B2=Data!G50,Data!F50,B2=Data!G51,Data!F51,B2=Data!G52,Data!F52,B2=Data!G53,Data!F53,B2=Data!G54,Data!F54,B2=Data!G55,Data!F55,B2=Data!G56,Data!F56,B2=Data!G57,Data!F57,B2=Data!G58,Data!F58,B2=Data!G59,Data!F59,B2=Data!G60,Data!F60,B2=Data!G61,Data!F61,B2=Data!G62,Data!F62,B2=Data!G63,Data!F63,B2=Data!G64,Data!F64,B2=Data!G65,Data!F65,B2=Data!G66,Data!F66,B2=Data!G67,Data!F67,B2="","")</f>
        <v>R5SPE</v>
      </c>
      <c r="C3" s="15" t="s">
        <v>4</v>
      </c>
      <c r="D3" s="83"/>
      <c r="E3" s="83"/>
      <c r="F3" s="83"/>
      <c r="H3" s="15" t="s">
        <v>3</v>
      </c>
      <c r="I3" s="21" t="str">
        <f t="shared" si="0"/>
        <v>R5SPE</v>
      </c>
      <c r="J3" s="15" t="s">
        <v>4</v>
      </c>
      <c r="K3" s="67">
        <f>D3</f>
        <v>0</v>
      </c>
      <c r="L3" s="67"/>
      <c r="M3" s="67"/>
    </row>
    <row r="4" spans="1:13" x14ac:dyDescent="0.25">
      <c r="A4" s="15" t="s">
        <v>5</v>
      </c>
      <c r="B4" s="40"/>
      <c r="C4" s="22" t="s">
        <v>6</v>
      </c>
      <c r="D4" s="93"/>
      <c r="E4" s="93"/>
      <c r="F4" s="93"/>
      <c r="H4" s="15" t="s">
        <v>5</v>
      </c>
      <c r="I4" s="27">
        <f t="shared" si="0"/>
        <v>0</v>
      </c>
      <c r="J4" s="22" t="s">
        <v>6</v>
      </c>
      <c r="K4" s="67">
        <f>D4</f>
        <v>0</v>
      </c>
      <c r="L4" s="67"/>
      <c r="M4" s="67"/>
    </row>
    <row r="5" spans="1:13" x14ac:dyDescent="0.25">
      <c r="A5" s="15" t="s">
        <v>7</v>
      </c>
      <c r="B5" s="20"/>
      <c r="C5" s="22" t="s">
        <v>8</v>
      </c>
      <c r="D5" s="93"/>
      <c r="E5" s="93"/>
      <c r="F5" s="93"/>
      <c r="H5" s="15" t="s">
        <v>7</v>
      </c>
      <c r="I5" s="21">
        <f t="shared" si="0"/>
        <v>0</v>
      </c>
      <c r="J5" s="22" t="s">
        <v>8</v>
      </c>
      <c r="K5" s="67">
        <f>D5</f>
        <v>0</v>
      </c>
      <c r="L5" s="67"/>
      <c r="M5" s="67"/>
    </row>
    <row r="6" spans="1:13" x14ac:dyDescent="0.25">
      <c r="A6" s="15" t="s">
        <v>9</v>
      </c>
      <c r="B6" s="91"/>
      <c r="C6" s="91"/>
      <c r="D6" s="91"/>
      <c r="E6" s="91"/>
      <c r="F6" s="91"/>
      <c r="H6" s="15" t="s">
        <v>9</v>
      </c>
      <c r="I6" s="68">
        <f t="shared" si="0"/>
        <v>0</v>
      </c>
      <c r="J6" s="68"/>
      <c r="K6" s="68"/>
      <c r="L6" s="68"/>
      <c r="M6" s="68"/>
    </row>
    <row r="7" spans="1:13" ht="45" x14ac:dyDescent="0.25">
      <c r="A7" s="52" t="s">
        <v>10</v>
      </c>
      <c r="B7" s="84"/>
      <c r="C7" s="84"/>
      <c r="D7" s="84"/>
      <c r="E7" s="84"/>
      <c r="F7" s="84"/>
      <c r="H7" s="23" t="s">
        <v>10</v>
      </c>
      <c r="I7" s="69">
        <f t="shared" si="0"/>
        <v>0</v>
      </c>
      <c r="J7" s="69"/>
      <c r="K7" s="69"/>
      <c r="L7" s="69"/>
      <c r="M7" s="69"/>
    </row>
    <row r="8" spans="1:13" ht="15" customHeight="1" x14ac:dyDescent="0.25">
      <c r="A8" s="23" t="s">
        <v>11</v>
      </c>
      <c r="B8" s="63"/>
      <c r="C8" s="96" t="s">
        <v>12</v>
      </c>
      <c r="D8" s="97"/>
      <c r="E8" s="98"/>
      <c r="F8" s="98"/>
      <c r="H8" s="23"/>
      <c r="I8" s="99" t="s">
        <v>13</v>
      </c>
      <c r="J8" s="99"/>
      <c r="K8" s="100">
        <f>E8</f>
        <v>0</v>
      </c>
      <c r="L8" s="100"/>
      <c r="M8" s="100"/>
    </row>
    <row r="9" spans="1:13" x14ac:dyDescent="0.25">
      <c r="A9" s="70" t="s">
        <v>14</v>
      </c>
      <c r="B9" s="70"/>
      <c r="C9" s="24" t="s">
        <v>15</v>
      </c>
      <c r="D9" s="95"/>
      <c r="E9" s="95"/>
      <c r="F9" s="95"/>
      <c r="H9" s="70" t="s">
        <v>14</v>
      </c>
      <c r="I9" s="70"/>
      <c r="J9" s="24" t="s">
        <v>15</v>
      </c>
      <c r="K9" s="71">
        <f>D9</f>
        <v>0</v>
      </c>
      <c r="L9" s="71"/>
      <c r="M9" s="71"/>
    </row>
    <row r="10" spans="1:13" x14ac:dyDescent="0.25">
      <c r="A10" s="83"/>
      <c r="B10" s="83"/>
      <c r="C10" s="70" t="s">
        <v>16</v>
      </c>
      <c r="D10" s="71"/>
      <c r="E10" s="71"/>
      <c r="F10" s="71"/>
      <c r="H10" s="83"/>
      <c r="I10" s="83"/>
      <c r="J10" s="70" t="s">
        <v>16</v>
      </c>
      <c r="K10" s="71"/>
      <c r="L10" s="71"/>
      <c r="M10" s="71"/>
    </row>
    <row r="11" spans="1:13" x14ac:dyDescent="0.25">
      <c r="A11" s="83"/>
      <c r="B11" s="83"/>
      <c r="C11" s="70"/>
      <c r="D11" s="71"/>
      <c r="E11" s="71"/>
      <c r="F11" s="71"/>
      <c r="H11" s="83"/>
      <c r="I11" s="83"/>
      <c r="J11" s="70"/>
      <c r="K11" s="71"/>
      <c r="L11" s="71"/>
      <c r="M11" s="71"/>
    </row>
    <row r="12" spans="1:13" x14ac:dyDescent="0.25">
      <c r="A12" s="83"/>
      <c r="B12" s="83"/>
      <c r="C12" s="24" t="s">
        <v>15</v>
      </c>
      <c r="D12" s="95"/>
      <c r="E12" s="95"/>
      <c r="F12" s="95"/>
      <c r="H12" s="83"/>
      <c r="I12" s="83"/>
      <c r="J12" s="24" t="s">
        <v>15</v>
      </c>
      <c r="K12" s="71">
        <f>D12</f>
        <v>0</v>
      </c>
      <c r="L12" s="71"/>
      <c r="M12" s="71"/>
    </row>
    <row r="13" spans="1:13" x14ac:dyDescent="0.25">
      <c r="A13" s="83"/>
      <c r="B13" s="83"/>
      <c r="C13" s="70" t="s">
        <v>16</v>
      </c>
      <c r="D13" s="71"/>
      <c r="E13" s="71"/>
      <c r="F13" s="71"/>
      <c r="H13" s="83"/>
      <c r="I13" s="83"/>
      <c r="J13" s="70" t="s">
        <v>16</v>
      </c>
      <c r="K13" s="71"/>
      <c r="L13" s="71"/>
      <c r="M13" s="71"/>
    </row>
    <row r="14" spans="1:13" x14ac:dyDescent="0.25">
      <c r="A14" s="83"/>
      <c r="B14" s="83"/>
      <c r="C14" s="70"/>
      <c r="D14" s="71"/>
      <c r="E14" s="71"/>
      <c r="F14" s="71"/>
      <c r="H14" s="83"/>
      <c r="I14" s="83"/>
      <c r="J14" s="70"/>
      <c r="K14" s="71"/>
      <c r="L14" s="71"/>
      <c r="M14" s="71"/>
    </row>
    <row r="15" spans="1:13" x14ac:dyDescent="0.25">
      <c r="A15" s="83"/>
      <c r="B15" s="83"/>
      <c r="C15" s="25" t="s">
        <v>17</v>
      </c>
      <c r="D15" s="94"/>
      <c r="E15" s="94"/>
      <c r="F15" s="94"/>
      <c r="H15" s="83"/>
      <c r="I15" s="83"/>
      <c r="J15" s="25" t="s">
        <v>17</v>
      </c>
      <c r="K15" s="71">
        <f>D15</f>
        <v>0</v>
      </c>
      <c r="L15" s="71"/>
      <c r="M15" s="71"/>
    </row>
    <row r="16" spans="1:13" x14ac:dyDescent="0.25">
      <c r="A16" s="83"/>
      <c r="B16" s="83"/>
      <c r="C16" s="70" t="s">
        <v>16</v>
      </c>
      <c r="D16" s="71"/>
      <c r="E16" s="71"/>
      <c r="F16" s="71"/>
      <c r="H16" s="83"/>
      <c r="I16" s="83"/>
      <c r="J16" s="70" t="s">
        <v>16</v>
      </c>
      <c r="K16" s="71"/>
      <c r="L16" s="71"/>
      <c r="M16" s="71"/>
    </row>
    <row r="17" spans="1:13" x14ac:dyDescent="0.25">
      <c r="A17" s="83"/>
      <c r="B17" s="83"/>
      <c r="C17" s="70"/>
      <c r="D17" s="71"/>
      <c r="E17" s="71"/>
      <c r="F17" s="71"/>
      <c r="H17" s="83"/>
      <c r="I17" s="83"/>
      <c r="J17" s="70"/>
      <c r="K17" s="71"/>
      <c r="L17" s="71"/>
      <c r="M17" s="71"/>
    </row>
    <row r="18" spans="1:13" x14ac:dyDescent="0.25">
      <c r="A18" s="72" t="s">
        <v>18</v>
      </c>
      <c r="B18" s="72"/>
      <c r="C18" s="72"/>
      <c r="D18" s="72"/>
      <c r="E18" s="72"/>
      <c r="F18" s="72"/>
      <c r="H18" s="72" t="s">
        <v>19</v>
      </c>
      <c r="I18" s="72"/>
      <c r="J18" s="72"/>
      <c r="K18" s="72"/>
      <c r="L18" s="72"/>
      <c r="M18" s="72"/>
    </row>
    <row r="19" spans="1:13" x14ac:dyDescent="0.25">
      <c r="A19" s="15" t="s">
        <v>20</v>
      </c>
      <c r="B19" s="28"/>
      <c r="C19" s="25" t="str">
        <f>_xlfn.CONCAT("RAC"," ",'SOR Tracker'!N4)</f>
        <v xml:space="preserve">RAC </v>
      </c>
      <c r="D19" s="64" t="s">
        <v>21</v>
      </c>
      <c r="E19" s="64"/>
      <c r="F19" s="64"/>
      <c r="H19" s="73"/>
      <c r="I19" s="74"/>
      <c r="J19" s="74"/>
      <c r="K19" s="74"/>
      <c r="L19" s="74"/>
      <c r="M19" s="75"/>
    </row>
    <row r="20" spans="1:13" x14ac:dyDescent="0.25">
      <c r="A20" s="86"/>
      <c r="B20" s="86"/>
      <c r="C20" s="84"/>
      <c r="D20" s="84"/>
      <c r="E20" s="84"/>
      <c r="F20" s="84"/>
      <c r="H20" s="76"/>
      <c r="I20" s="77"/>
      <c r="J20" s="77"/>
      <c r="K20" s="77"/>
      <c r="L20" s="77"/>
      <c r="M20" s="78"/>
    </row>
    <row r="21" spans="1:13" x14ac:dyDescent="0.25">
      <c r="A21" s="86"/>
      <c r="B21" s="86"/>
      <c r="C21" s="84"/>
      <c r="D21" s="84"/>
      <c r="E21" s="84"/>
      <c r="F21" s="84"/>
      <c r="H21" s="76"/>
      <c r="I21" s="77"/>
      <c r="J21" s="77"/>
      <c r="K21" s="77"/>
      <c r="L21" s="77"/>
      <c r="M21" s="78"/>
    </row>
    <row r="22" spans="1:13" x14ac:dyDescent="0.25">
      <c r="A22" s="86"/>
      <c r="B22" s="86"/>
      <c r="C22" s="84"/>
      <c r="D22" s="84"/>
      <c r="E22" s="84"/>
      <c r="F22" s="84"/>
      <c r="H22" s="76"/>
      <c r="I22" s="77"/>
      <c r="J22" s="77"/>
      <c r="K22" s="77"/>
      <c r="L22" s="77"/>
      <c r="M22" s="78"/>
    </row>
    <row r="23" spans="1:13" x14ac:dyDescent="0.25">
      <c r="A23" s="86"/>
      <c r="B23" s="86"/>
      <c r="C23" s="72" t="s">
        <v>22</v>
      </c>
      <c r="D23" s="72"/>
      <c r="E23" s="72"/>
      <c r="F23" s="54"/>
      <c r="H23" s="76"/>
      <c r="I23" s="77"/>
      <c r="J23" s="77"/>
      <c r="K23" s="77"/>
      <c r="L23" s="77"/>
      <c r="M23" s="78"/>
    </row>
    <row r="24" spans="1:13" x14ac:dyDescent="0.25">
      <c r="A24" s="86"/>
      <c r="B24" s="86"/>
      <c r="C24" s="85" t="s">
        <v>23</v>
      </c>
      <c r="D24" s="85"/>
      <c r="E24" s="87"/>
      <c r="F24" s="87"/>
      <c r="H24" s="76"/>
      <c r="I24" s="77"/>
      <c r="J24" s="77"/>
      <c r="K24" s="77"/>
      <c r="L24" s="77"/>
      <c r="M24" s="78"/>
    </row>
    <row r="25" spans="1:13" x14ac:dyDescent="0.25">
      <c r="A25" s="86"/>
      <c r="B25" s="86"/>
      <c r="C25" s="85" t="s">
        <v>24</v>
      </c>
      <c r="D25" s="85"/>
      <c r="E25" s="86"/>
      <c r="F25" s="86"/>
      <c r="H25" s="76"/>
      <c r="I25" s="77"/>
      <c r="J25" s="77"/>
      <c r="K25" s="77"/>
      <c r="L25" s="77"/>
      <c r="M25" s="78"/>
    </row>
    <row r="26" spans="1:13" x14ac:dyDescent="0.25">
      <c r="A26" s="86"/>
      <c r="B26" s="86"/>
      <c r="C26" s="85" t="s">
        <v>25</v>
      </c>
      <c r="D26" s="85"/>
      <c r="E26" s="86"/>
      <c r="F26" s="86"/>
      <c r="H26" s="76"/>
      <c r="I26" s="77"/>
      <c r="J26" s="77"/>
      <c r="K26" s="77"/>
      <c r="L26" s="77"/>
      <c r="M26" s="78"/>
    </row>
    <row r="27" spans="1:13" x14ac:dyDescent="0.25">
      <c r="A27" s="86"/>
      <c r="B27" s="86"/>
      <c r="C27" s="85" t="s">
        <v>26</v>
      </c>
      <c r="D27" s="90"/>
      <c r="E27" s="86"/>
      <c r="F27" s="86"/>
      <c r="H27" s="76"/>
      <c r="I27" s="77"/>
      <c r="J27" s="77"/>
      <c r="K27" s="77"/>
      <c r="L27" s="77"/>
      <c r="M27" s="78"/>
    </row>
    <row r="28" spans="1:13" x14ac:dyDescent="0.25">
      <c r="A28" s="86"/>
      <c r="B28" s="86"/>
      <c r="C28" s="85" t="s">
        <v>27</v>
      </c>
      <c r="D28" s="85"/>
      <c r="E28" s="86"/>
      <c r="F28" s="86"/>
      <c r="H28" s="76"/>
      <c r="I28" s="77"/>
      <c r="J28" s="77"/>
      <c r="K28" s="77"/>
      <c r="L28" s="77"/>
      <c r="M28" s="78"/>
    </row>
    <row r="29" spans="1:13" x14ac:dyDescent="0.25">
      <c r="A29" s="22" t="s">
        <v>28</v>
      </c>
      <c r="B29" s="84"/>
      <c r="C29" s="84"/>
      <c r="D29" s="84"/>
      <c r="E29" s="84"/>
      <c r="F29" s="84"/>
      <c r="H29" s="76"/>
      <c r="I29" s="77"/>
      <c r="J29" s="77"/>
      <c r="K29" s="77"/>
      <c r="L29" s="77"/>
      <c r="M29" s="78"/>
    </row>
    <row r="30" spans="1:13" x14ac:dyDescent="0.25">
      <c r="A30" s="49" t="s">
        <v>29</v>
      </c>
      <c r="B30" s="84"/>
      <c r="C30" s="84"/>
      <c r="D30" s="84"/>
      <c r="E30" s="84"/>
      <c r="F30" s="84"/>
      <c r="H30" s="76"/>
      <c r="I30" s="77"/>
      <c r="J30" s="77"/>
      <c r="K30" s="77"/>
      <c r="L30" s="77"/>
      <c r="M30" s="78"/>
    </row>
    <row r="31" spans="1:13" x14ac:dyDescent="0.25">
      <c r="A31" s="53" t="s">
        <v>30</v>
      </c>
      <c r="B31" s="50"/>
      <c r="C31" s="88" t="s">
        <v>31</v>
      </c>
      <c r="D31" s="88"/>
      <c r="E31" s="89"/>
      <c r="F31" s="89"/>
      <c r="H31" s="76"/>
      <c r="I31" s="77"/>
      <c r="J31" s="77"/>
      <c r="K31" s="77"/>
      <c r="L31" s="77"/>
      <c r="M31" s="78"/>
    </row>
    <row r="32" spans="1:13" x14ac:dyDescent="0.25">
      <c r="A32" s="24" t="s">
        <v>32</v>
      </c>
      <c r="B32" s="87"/>
      <c r="C32" s="87"/>
      <c r="D32" s="87"/>
      <c r="E32" s="87"/>
      <c r="F32" s="87"/>
      <c r="H32" s="76"/>
      <c r="I32" s="77"/>
      <c r="J32" s="77"/>
      <c r="K32" s="77"/>
      <c r="L32" s="77"/>
      <c r="M32" s="78"/>
    </row>
    <row r="33" spans="1:13" x14ac:dyDescent="0.25">
      <c r="A33" s="65"/>
      <c r="B33" s="65"/>
      <c r="C33" s="65"/>
      <c r="D33" s="65"/>
      <c r="E33" s="65"/>
      <c r="F33" s="65"/>
      <c r="H33" s="76"/>
      <c r="I33" s="77"/>
      <c r="J33" s="77"/>
      <c r="K33" s="77"/>
      <c r="L33" s="77"/>
      <c r="M33" s="78"/>
    </row>
    <row r="34" spans="1:13" x14ac:dyDescent="0.25">
      <c r="A34" s="15" t="s">
        <v>20</v>
      </c>
      <c r="B34" s="26">
        <f>B19+1</f>
        <v>1</v>
      </c>
      <c r="C34" s="25" t="str">
        <f>_xlfn.CONCAT("RAC"," ",'SOR Tracker'!N5)</f>
        <v xml:space="preserve">RAC </v>
      </c>
      <c r="D34" s="64" t="s">
        <v>21</v>
      </c>
      <c r="E34" s="64"/>
      <c r="F34" s="64"/>
      <c r="H34" s="76"/>
      <c r="I34" s="77"/>
      <c r="J34" s="77"/>
      <c r="K34" s="77"/>
      <c r="L34" s="77"/>
      <c r="M34" s="78"/>
    </row>
    <row r="35" spans="1:13" ht="15" customHeight="1" x14ac:dyDescent="0.25">
      <c r="A35" s="86"/>
      <c r="B35" s="86"/>
      <c r="C35" s="84"/>
      <c r="D35" s="84"/>
      <c r="E35" s="84"/>
      <c r="F35" s="84"/>
      <c r="H35" s="76"/>
      <c r="I35" s="77"/>
      <c r="J35" s="77"/>
      <c r="K35" s="77"/>
      <c r="L35" s="77"/>
      <c r="M35" s="78"/>
    </row>
    <row r="36" spans="1:13" x14ac:dyDescent="0.25">
      <c r="A36" s="86"/>
      <c r="B36" s="86"/>
      <c r="C36" s="84"/>
      <c r="D36" s="84"/>
      <c r="E36" s="84"/>
      <c r="F36" s="84"/>
      <c r="H36" s="76"/>
      <c r="I36" s="77"/>
      <c r="J36" s="77"/>
      <c r="K36" s="77"/>
      <c r="L36" s="77"/>
      <c r="M36" s="78"/>
    </row>
    <row r="37" spans="1:13" x14ac:dyDescent="0.25">
      <c r="A37" s="86"/>
      <c r="B37" s="86"/>
      <c r="C37" s="84"/>
      <c r="D37" s="84"/>
      <c r="E37" s="84"/>
      <c r="F37" s="84"/>
      <c r="H37" s="76"/>
      <c r="I37" s="77"/>
      <c r="J37" s="77"/>
      <c r="K37" s="77"/>
      <c r="L37" s="77"/>
      <c r="M37" s="78"/>
    </row>
    <row r="38" spans="1:13" x14ac:dyDescent="0.25">
      <c r="A38" s="86"/>
      <c r="B38" s="86"/>
      <c r="C38" s="72" t="s">
        <v>22</v>
      </c>
      <c r="D38" s="72"/>
      <c r="E38" s="72"/>
      <c r="F38" s="54"/>
      <c r="H38" s="76"/>
      <c r="I38" s="77"/>
      <c r="J38" s="77"/>
      <c r="K38" s="77"/>
      <c r="L38" s="77"/>
      <c r="M38" s="78"/>
    </row>
    <row r="39" spans="1:13" x14ac:dyDescent="0.25">
      <c r="A39" s="86"/>
      <c r="B39" s="86"/>
      <c r="C39" s="85" t="s">
        <v>23</v>
      </c>
      <c r="D39" s="85"/>
      <c r="E39" s="87"/>
      <c r="F39" s="87"/>
      <c r="H39" s="76"/>
      <c r="I39" s="77"/>
      <c r="J39" s="77"/>
      <c r="K39" s="77"/>
      <c r="L39" s="77"/>
      <c r="M39" s="78"/>
    </row>
    <row r="40" spans="1:13" x14ac:dyDescent="0.25">
      <c r="A40" s="86"/>
      <c r="B40" s="86"/>
      <c r="C40" s="85" t="s">
        <v>24</v>
      </c>
      <c r="D40" s="85"/>
      <c r="E40" s="86"/>
      <c r="F40" s="86"/>
      <c r="H40" s="76"/>
      <c r="I40" s="77"/>
      <c r="J40" s="77"/>
      <c r="K40" s="77"/>
      <c r="L40" s="77"/>
      <c r="M40" s="78"/>
    </row>
    <row r="41" spans="1:13" x14ac:dyDescent="0.25">
      <c r="A41" s="86"/>
      <c r="B41" s="86"/>
      <c r="C41" s="85" t="s">
        <v>25</v>
      </c>
      <c r="D41" s="85"/>
      <c r="E41" s="86"/>
      <c r="F41" s="86"/>
      <c r="H41" s="76"/>
      <c r="I41" s="77"/>
      <c r="J41" s="77"/>
      <c r="K41" s="77"/>
      <c r="L41" s="77"/>
      <c r="M41" s="78"/>
    </row>
    <row r="42" spans="1:13" x14ac:dyDescent="0.25">
      <c r="A42" s="86"/>
      <c r="B42" s="86"/>
      <c r="C42" s="85" t="s">
        <v>26</v>
      </c>
      <c r="D42" s="90"/>
      <c r="E42" s="86"/>
      <c r="F42" s="86"/>
      <c r="H42" s="79"/>
      <c r="I42" s="80"/>
      <c r="J42" s="80"/>
      <c r="K42" s="80"/>
      <c r="L42" s="80"/>
      <c r="M42" s="81"/>
    </row>
    <row r="43" spans="1:13" x14ac:dyDescent="0.25">
      <c r="A43" s="86"/>
      <c r="B43" s="86"/>
      <c r="C43" s="85" t="s">
        <v>27</v>
      </c>
      <c r="D43" s="85"/>
      <c r="E43" s="86"/>
      <c r="F43" s="86"/>
    </row>
    <row r="44" spans="1:13" x14ac:dyDescent="0.25">
      <c r="A44" s="22" t="s">
        <v>28</v>
      </c>
      <c r="B44" s="84"/>
      <c r="C44" s="84"/>
      <c r="D44" s="84"/>
      <c r="E44" s="84"/>
      <c r="F44" s="84"/>
    </row>
    <row r="45" spans="1:13" x14ac:dyDescent="0.25">
      <c r="A45" s="49" t="s">
        <v>29</v>
      </c>
      <c r="B45" s="84"/>
      <c r="C45" s="84"/>
      <c r="D45" s="84"/>
      <c r="E45" s="84"/>
      <c r="F45" s="84"/>
    </row>
    <row r="46" spans="1:13" x14ac:dyDescent="0.25">
      <c r="A46" s="53" t="s">
        <v>30</v>
      </c>
      <c r="B46" s="50"/>
      <c r="C46" s="88" t="s">
        <v>31</v>
      </c>
      <c r="D46" s="88"/>
      <c r="E46" s="89"/>
      <c r="F46" s="89"/>
    </row>
    <row r="47" spans="1:13" x14ac:dyDescent="0.25">
      <c r="A47" s="24" t="s">
        <v>32</v>
      </c>
      <c r="B47" s="87"/>
      <c r="C47" s="87"/>
      <c r="D47" s="87"/>
      <c r="E47" s="87"/>
      <c r="F47" s="87"/>
    </row>
    <row r="50" spans="1:6" x14ac:dyDescent="0.25">
      <c r="A50" s="15" t="s">
        <v>20</v>
      </c>
      <c r="B50" s="26">
        <f>B34+1</f>
        <v>2</v>
      </c>
      <c r="C50" s="25" t="str">
        <f>_xlfn.CONCAT("RAC"," ",'SOR Tracker'!N6)</f>
        <v xml:space="preserve">RAC </v>
      </c>
      <c r="D50" s="64" t="s">
        <v>21</v>
      </c>
      <c r="E50" s="64"/>
      <c r="F50" s="64"/>
    </row>
    <row r="51" spans="1:6" x14ac:dyDescent="0.25">
      <c r="A51" s="86"/>
      <c r="B51" s="86"/>
      <c r="C51" s="82"/>
      <c r="D51" s="82"/>
      <c r="E51" s="82"/>
      <c r="F51" s="82"/>
    </row>
    <row r="52" spans="1:6" x14ac:dyDescent="0.25">
      <c r="A52" s="86"/>
      <c r="B52" s="86"/>
      <c r="C52" s="82"/>
      <c r="D52" s="82"/>
      <c r="E52" s="82"/>
      <c r="F52" s="82"/>
    </row>
    <row r="53" spans="1:6" x14ac:dyDescent="0.25">
      <c r="A53" s="86"/>
      <c r="B53" s="86"/>
      <c r="C53" s="82"/>
      <c r="D53" s="82"/>
      <c r="E53" s="82"/>
      <c r="F53" s="82"/>
    </row>
    <row r="54" spans="1:6" x14ac:dyDescent="0.25">
      <c r="A54" s="86"/>
      <c r="B54" s="86"/>
      <c r="C54" s="72" t="s">
        <v>22</v>
      </c>
      <c r="D54" s="72"/>
      <c r="E54" s="72"/>
      <c r="F54" s="54"/>
    </row>
    <row r="55" spans="1:6" x14ac:dyDescent="0.25">
      <c r="A55" s="86"/>
      <c r="B55" s="86"/>
      <c r="C55" s="85" t="s">
        <v>23</v>
      </c>
      <c r="D55" s="85"/>
      <c r="E55" s="87"/>
      <c r="F55" s="87"/>
    </row>
    <row r="56" spans="1:6" x14ac:dyDescent="0.25">
      <c r="A56" s="86"/>
      <c r="B56" s="86"/>
      <c r="C56" s="85" t="s">
        <v>24</v>
      </c>
      <c r="D56" s="85"/>
      <c r="E56" s="86"/>
      <c r="F56" s="86"/>
    </row>
    <row r="57" spans="1:6" x14ac:dyDescent="0.25">
      <c r="A57" s="86"/>
      <c r="B57" s="86"/>
      <c r="C57" s="85" t="s">
        <v>25</v>
      </c>
      <c r="D57" s="85"/>
      <c r="E57" s="86"/>
      <c r="F57" s="86"/>
    </row>
    <row r="58" spans="1:6" x14ac:dyDescent="0.25">
      <c r="A58" s="86"/>
      <c r="B58" s="86"/>
      <c r="C58" s="85" t="s">
        <v>26</v>
      </c>
      <c r="D58" s="90"/>
      <c r="E58" s="86"/>
      <c r="F58" s="86"/>
    </row>
    <row r="59" spans="1:6" x14ac:dyDescent="0.25">
      <c r="A59" s="86"/>
      <c r="B59" s="86"/>
      <c r="C59" s="85" t="s">
        <v>27</v>
      </c>
      <c r="D59" s="85"/>
      <c r="E59" s="86"/>
      <c r="F59" s="86"/>
    </row>
    <row r="60" spans="1:6" x14ac:dyDescent="0.25">
      <c r="A60" s="22" t="s">
        <v>28</v>
      </c>
      <c r="B60" s="82"/>
      <c r="C60" s="82"/>
      <c r="D60" s="82"/>
      <c r="E60" s="82"/>
      <c r="F60" s="82"/>
    </row>
    <row r="61" spans="1:6" x14ac:dyDescent="0.25">
      <c r="A61" s="49" t="s">
        <v>29</v>
      </c>
      <c r="B61" s="82"/>
      <c r="C61" s="82"/>
      <c r="D61" s="82"/>
      <c r="E61" s="82"/>
      <c r="F61" s="82"/>
    </row>
    <row r="62" spans="1:6" x14ac:dyDescent="0.25">
      <c r="A62" s="53" t="s">
        <v>30</v>
      </c>
      <c r="B62" s="50"/>
      <c r="C62" s="88" t="s">
        <v>31</v>
      </c>
      <c r="D62" s="88"/>
      <c r="E62" s="89"/>
      <c r="F62" s="89"/>
    </row>
    <row r="63" spans="1:6" x14ac:dyDescent="0.25">
      <c r="A63" s="24" t="s">
        <v>32</v>
      </c>
      <c r="B63" s="87"/>
      <c r="C63" s="87"/>
      <c r="D63" s="87"/>
      <c r="E63" s="87"/>
      <c r="F63" s="87"/>
    </row>
    <row r="64" spans="1:6" x14ac:dyDescent="0.25">
      <c r="A64" s="65"/>
      <c r="B64" s="65"/>
      <c r="C64" s="65"/>
      <c r="D64" s="65"/>
      <c r="E64" s="65"/>
      <c r="F64" s="65"/>
    </row>
    <row r="65" spans="1:6" x14ac:dyDescent="0.25">
      <c r="A65" s="15" t="s">
        <v>20</v>
      </c>
      <c r="B65" s="26">
        <f>B50+1</f>
        <v>3</v>
      </c>
      <c r="C65" s="25" t="str">
        <f>_xlfn.CONCAT("RAC"," ",'SOR Tracker'!N7)</f>
        <v xml:space="preserve">RAC </v>
      </c>
      <c r="D65" s="64" t="s">
        <v>21</v>
      </c>
      <c r="E65" s="64"/>
      <c r="F65" s="64"/>
    </row>
    <row r="66" spans="1:6" x14ac:dyDescent="0.25">
      <c r="A66" s="86"/>
      <c r="B66" s="86"/>
      <c r="C66" s="82"/>
      <c r="D66" s="82"/>
      <c r="E66" s="82"/>
      <c r="F66" s="82"/>
    </row>
    <row r="67" spans="1:6" x14ac:dyDescent="0.25">
      <c r="A67" s="86"/>
      <c r="B67" s="86"/>
      <c r="C67" s="82"/>
      <c r="D67" s="82"/>
      <c r="E67" s="82"/>
      <c r="F67" s="82"/>
    </row>
    <row r="68" spans="1:6" x14ac:dyDescent="0.25">
      <c r="A68" s="86"/>
      <c r="B68" s="86"/>
      <c r="C68" s="82"/>
      <c r="D68" s="82"/>
      <c r="E68" s="82"/>
      <c r="F68" s="82"/>
    </row>
    <row r="69" spans="1:6" x14ac:dyDescent="0.25">
      <c r="A69" s="86"/>
      <c r="B69" s="86"/>
      <c r="C69" s="72" t="s">
        <v>22</v>
      </c>
      <c r="D69" s="72"/>
      <c r="E69" s="72"/>
      <c r="F69" s="54"/>
    </row>
    <row r="70" spans="1:6" x14ac:dyDescent="0.25">
      <c r="A70" s="86"/>
      <c r="B70" s="86"/>
      <c r="C70" s="85" t="s">
        <v>23</v>
      </c>
      <c r="D70" s="85"/>
      <c r="E70" s="87"/>
      <c r="F70" s="87"/>
    </row>
    <row r="71" spans="1:6" x14ac:dyDescent="0.25">
      <c r="A71" s="86"/>
      <c r="B71" s="86"/>
      <c r="C71" s="85" t="s">
        <v>24</v>
      </c>
      <c r="D71" s="85"/>
      <c r="E71" s="86"/>
      <c r="F71" s="86"/>
    </row>
    <row r="72" spans="1:6" x14ac:dyDescent="0.25">
      <c r="A72" s="86"/>
      <c r="B72" s="86"/>
      <c r="C72" s="85" t="s">
        <v>25</v>
      </c>
      <c r="D72" s="85"/>
      <c r="E72" s="86"/>
      <c r="F72" s="86"/>
    </row>
    <row r="73" spans="1:6" x14ac:dyDescent="0.25">
      <c r="A73" s="86"/>
      <c r="B73" s="86"/>
      <c r="C73" s="85" t="s">
        <v>26</v>
      </c>
      <c r="D73" s="90"/>
      <c r="E73" s="86"/>
      <c r="F73" s="86"/>
    </row>
    <row r="74" spans="1:6" x14ac:dyDescent="0.25">
      <c r="A74" s="86"/>
      <c r="B74" s="86"/>
      <c r="C74" s="85" t="s">
        <v>27</v>
      </c>
      <c r="D74" s="85"/>
      <c r="E74" s="86"/>
      <c r="F74" s="86"/>
    </row>
    <row r="75" spans="1:6" x14ac:dyDescent="0.25">
      <c r="A75" s="22" t="s">
        <v>28</v>
      </c>
      <c r="B75" s="82"/>
      <c r="C75" s="82"/>
      <c r="D75" s="82"/>
      <c r="E75" s="82"/>
      <c r="F75" s="82"/>
    </row>
    <row r="76" spans="1:6" x14ac:dyDescent="0.25">
      <c r="A76" s="49" t="s">
        <v>29</v>
      </c>
      <c r="B76" s="82"/>
      <c r="C76" s="82"/>
      <c r="D76" s="82"/>
      <c r="E76" s="82"/>
      <c r="F76" s="82"/>
    </row>
    <row r="77" spans="1:6" x14ac:dyDescent="0.25">
      <c r="A77" s="53" t="s">
        <v>30</v>
      </c>
      <c r="B77" s="50"/>
      <c r="C77" s="88" t="s">
        <v>31</v>
      </c>
      <c r="D77" s="88"/>
      <c r="E77" s="89"/>
      <c r="F77" s="89"/>
    </row>
    <row r="78" spans="1:6" x14ac:dyDescent="0.25">
      <c r="A78" s="24" t="s">
        <v>32</v>
      </c>
      <c r="B78" s="87"/>
      <c r="C78" s="87"/>
      <c r="D78" s="87"/>
      <c r="E78" s="87"/>
      <c r="F78" s="87"/>
    </row>
    <row r="79" spans="1:6" x14ac:dyDescent="0.25">
      <c r="A79" s="65"/>
      <c r="B79" s="65"/>
      <c r="C79" s="65"/>
      <c r="D79" s="65"/>
      <c r="E79" s="65"/>
      <c r="F79" s="65"/>
    </row>
    <row r="80" spans="1:6" x14ac:dyDescent="0.25">
      <c r="A80" s="15" t="s">
        <v>20</v>
      </c>
      <c r="B80" s="26">
        <f>B65+1</f>
        <v>4</v>
      </c>
      <c r="C80" s="25" t="str">
        <f>_xlfn.CONCAT("RAC"," ",'SOR Tracker'!N8)</f>
        <v xml:space="preserve">RAC </v>
      </c>
      <c r="D80" s="64" t="s">
        <v>21</v>
      </c>
      <c r="E80" s="64"/>
      <c r="F80" s="64"/>
    </row>
    <row r="81" spans="1:6" x14ac:dyDescent="0.25">
      <c r="A81" s="86"/>
      <c r="B81" s="86"/>
      <c r="C81" s="82"/>
      <c r="D81" s="82"/>
      <c r="E81" s="82"/>
      <c r="F81" s="82"/>
    </row>
    <row r="82" spans="1:6" x14ac:dyDescent="0.25">
      <c r="A82" s="86"/>
      <c r="B82" s="86"/>
      <c r="C82" s="82"/>
      <c r="D82" s="82"/>
      <c r="E82" s="82"/>
      <c r="F82" s="82"/>
    </row>
    <row r="83" spans="1:6" x14ac:dyDescent="0.25">
      <c r="A83" s="86"/>
      <c r="B83" s="86"/>
      <c r="C83" s="82"/>
      <c r="D83" s="82"/>
      <c r="E83" s="82"/>
      <c r="F83" s="82"/>
    </row>
    <row r="84" spans="1:6" x14ac:dyDescent="0.25">
      <c r="A84" s="86"/>
      <c r="B84" s="86"/>
      <c r="C84" s="72" t="s">
        <v>22</v>
      </c>
      <c r="D84" s="72"/>
      <c r="E84" s="72"/>
      <c r="F84" s="54"/>
    </row>
    <row r="85" spans="1:6" x14ac:dyDescent="0.25">
      <c r="A85" s="86"/>
      <c r="B85" s="86"/>
      <c r="C85" s="85" t="s">
        <v>23</v>
      </c>
      <c r="D85" s="85"/>
      <c r="E85" s="87"/>
      <c r="F85" s="87"/>
    </row>
    <row r="86" spans="1:6" x14ac:dyDescent="0.25">
      <c r="A86" s="86"/>
      <c r="B86" s="86"/>
      <c r="C86" s="85" t="s">
        <v>24</v>
      </c>
      <c r="D86" s="85"/>
      <c r="E86" s="86"/>
      <c r="F86" s="86"/>
    </row>
    <row r="87" spans="1:6" x14ac:dyDescent="0.25">
      <c r="A87" s="86"/>
      <c r="B87" s="86"/>
      <c r="C87" s="85" t="s">
        <v>25</v>
      </c>
      <c r="D87" s="85"/>
      <c r="E87" s="86"/>
      <c r="F87" s="86"/>
    </row>
    <row r="88" spans="1:6" x14ac:dyDescent="0.25">
      <c r="A88" s="86"/>
      <c r="B88" s="86"/>
      <c r="C88" s="85" t="s">
        <v>26</v>
      </c>
      <c r="D88" s="90"/>
      <c r="E88" s="86"/>
      <c r="F88" s="86"/>
    </row>
    <row r="89" spans="1:6" x14ac:dyDescent="0.25">
      <c r="A89" s="86"/>
      <c r="B89" s="86"/>
      <c r="C89" s="85" t="s">
        <v>27</v>
      </c>
      <c r="D89" s="85"/>
      <c r="E89" s="86"/>
      <c r="F89" s="86"/>
    </row>
    <row r="90" spans="1:6" x14ac:dyDescent="0.25">
      <c r="A90" s="22" t="s">
        <v>28</v>
      </c>
      <c r="B90" s="82"/>
      <c r="C90" s="82"/>
      <c r="D90" s="82"/>
      <c r="E90" s="82"/>
      <c r="F90" s="82"/>
    </row>
    <row r="91" spans="1:6" x14ac:dyDescent="0.25">
      <c r="A91" s="49" t="s">
        <v>29</v>
      </c>
      <c r="B91" s="82"/>
      <c r="C91" s="82"/>
      <c r="D91" s="82"/>
      <c r="E91" s="82"/>
      <c r="F91" s="82"/>
    </row>
    <row r="92" spans="1:6" x14ac:dyDescent="0.25">
      <c r="A92" s="53" t="s">
        <v>30</v>
      </c>
      <c r="B92" s="50"/>
      <c r="C92" s="88" t="s">
        <v>31</v>
      </c>
      <c r="D92" s="88"/>
      <c r="E92" s="89"/>
      <c r="F92" s="89"/>
    </row>
    <row r="93" spans="1:6" x14ac:dyDescent="0.25">
      <c r="A93" s="24" t="s">
        <v>32</v>
      </c>
      <c r="B93" s="87"/>
      <c r="C93" s="87"/>
      <c r="D93" s="87"/>
      <c r="E93" s="87"/>
      <c r="F93" s="87"/>
    </row>
    <row r="97" spans="1:6" x14ac:dyDescent="0.25">
      <c r="A97" s="15" t="s">
        <v>20</v>
      </c>
      <c r="B97" s="26">
        <f>B80+1</f>
        <v>5</v>
      </c>
      <c r="C97" s="25" t="str">
        <f>_xlfn.CONCAT("RAC"," ",'SOR Tracker'!N9)</f>
        <v xml:space="preserve">RAC </v>
      </c>
      <c r="D97" s="64" t="s">
        <v>21</v>
      </c>
      <c r="E97" s="64"/>
      <c r="F97" s="64"/>
    </row>
    <row r="98" spans="1:6" x14ac:dyDescent="0.25">
      <c r="A98" s="86"/>
      <c r="B98" s="86"/>
      <c r="C98" s="82"/>
      <c r="D98" s="82"/>
      <c r="E98" s="82"/>
      <c r="F98" s="82"/>
    </row>
    <row r="99" spans="1:6" x14ac:dyDescent="0.25">
      <c r="A99" s="86"/>
      <c r="B99" s="86"/>
      <c r="C99" s="82"/>
      <c r="D99" s="82"/>
      <c r="E99" s="82"/>
      <c r="F99" s="82"/>
    </row>
    <row r="100" spans="1:6" x14ac:dyDescent="0.25">
      <c r="A100" s="86"/>
      <c r="B100" s="86"/>
      <c r="C100" s="82"/>
      <c r="D100" s="82"/>
      <c r="E100" s="82"/>
      <c r="F100" s="82"/>
    </row>
    <row r="101" spans="1:6" x14ac:dyDescent="0.25">
      <c r="A101" s="86"/>
      <c r="B101" s="86"/>
      <c r="C101" s="72" t="s">
        <v>22</v>
      </c>
      <c r="D101" s="72"/>
      <c r="E101" s="72"/>
      <c r="F101" s="54"/>
    </row>
    <row r="102" spans="1:6" x14ac:dyDescent="0.25">
      <c r="A102" s="86"/>
      <c r="B102" s="86"/>
      <c r="C102" s="85" t="s">
        <v>23</v>
      </c>
      <c r="D102" s="85"/>
      <c r="E102" s="87"/>
      <c r="F102" s="87"/>
    </row>
    <row r="103" spans="1:6" x14ac:dyDescent="0.25">
      <c r="A103" s="86"/>
      <c r="B103" s="86"/>
      <c r="C103" s="85" t="s">
        <v>24</v>
      </c>
      <c r="D103" s="85"/>
      <c r="E103" s="86"/>
      <c r="F103" s="86"/>
    </row>
    <row r="104" spans="1:6" x14ac:dyDescent="0.25">
      <c r="A104" s="86"/>
      <c r="B104" s="86"/>
      <c r="C104" s="85" t="s">
        <v>25</v>
      </c>
      <c r="D104" s="85"/>
      <c r="E104" s="86"/>
      <c r="F104" s="86"/>
    </row>
    <row r="105" spans="1:6" x14ac:dyDescent="0.25">
      <c r="A105" s="86"/>
      <c r="B105" s="86"/>
      <c r="C105" s="85" t="s">
        <v>26</v>
      </c>
      <c r="D105" s="90"/>
      <c r="E105" s="86"/>
      <c r="F105" s="86"/>
    </row>
    <row r="106" spans="1:6" x14ac:dyDescent="0.25">
      <c r="A106" s="86"/>
      <c r="B106" s="86"/>
      <c r="C106" s="85" t="s">
        <v>27</v>
      </c>
      <c r="D106" s="85"/>
      <c r="E106" s="86"/>
      <c r="F106" s="86"/>
    </row>
    <row r="107" spans="1:6" x14ac:dyDescent="0.25">
      <c r="A107" s="22" t="s">
        <v>28</v>
      </c>
      <c r="B107" s="82"/>
      <c r="C107" s="82"/>
      <c r="D107" s="82"/>
      <c r="E107" s="82"/>
      <c r="F107" s="82"/>
    </row>
    <row r="108" spans="1:6" x14ac:dyDescent="0.25">
      <c r="A108" s="49" t="s">
        <v>29</v>
      </c>
      <c r="B108" s="82"/>
      <c r="C108" s="82"/>
      <c r="D108" s="82"/>
      <c r="E108" s="82"/>
      <c r="F108" s="82"/>
    </row>
    <row r="109" spans="1:6" x14ac:dyDescent="0.25">
      <c r="A109" s="53" t="s">
        <v>30</v>
      </c>
      <c r="B109" s="50"/>
      <c r="C109" s="88" t="s">
        <v>31</v>
      </c>
      <c r="D109" s="88"/>
      <c r="E109" s="89"/>
      <c r="F109" s="89"/>
    </row>
    <row r="110" spans="1:6" x14ac:dyDescent="0.25">
      <c r="A110" s="24" t="s">
        <v>32</v>
      </c>
      <c r="B110" s="87"/>
      <c r="C110" s="87"/>
      <c r="D110" s="87"/>
      <c r="E110" s="87"/>
      <c r="F110" s="87"/>
    </row>
    <row r="111" spans="1:6" x14ac:dyDescent="0.25">
      <c r="A111" s="65"/>
      <c r="B111" s="65"/>
      <c r="C111" s="65"/>
      <c r="D111" s="65"/>
      <c r="E111" s="65"/>
      <c r="F111" s="65"/>
    </row>
    <row r="112" spans="1:6" x14ac:dyDescent="0.25">
      <c r="A112" s="15" t="s">
        <v>20</v>
      </c>
      <c r="B112" s="26">
        <f>B97+1</f>
        <v>6</v>
      </c>
      <c r="C112" s="25" t="str">
        <f>_xlfn.CONCAT("RAC"," ",'SOR Tracker'!N10)</f>
        <v xml:space="preserve">RAC </v>
      </c>
      <c r="D112" s="64" t="s">
        <v>21</v>
      </c>
      <c r="E112" s="64"/>
      <c r="F112" s="64"/>
    </row>
    <row r="113" spans="1:6" x14ac:dyDescent="0.25">
      <c r="A113" s="86"/>
      <c r="B113" s="86"/>
      <c r="C113" s="82"/>
      <c r="D113" s="82"/>
      <c r="E113" s="82"/>
      <c r="F113" s="82"/>
    </row>
    <row r="114" spans="1:6" x14ac:dyDescent="0.25">
      <c r="A114" s="86"/>
      <c r="B114" s="86"/>
      <c r="C114" s="82"/>
      <c r="D114" s="82"/>
      <c r="E114" s="82"/>
      <c r="F114" s="82"/>
    </row>
    <row r="115" spans="1:6" x14ac:dyDescent="0.25">
      <c r="A115" s="86"/>
      <c r="B115" s="86"/>
      <c r="C115" s="82"/>
      <c r="D115" s="82"/>
      <c r="E115" s="82"/>
      <c r="F115" s="82"/>
    </row>
    <row r="116" spans="1:6" x14ac:dyDescent="0.25">
      <c r="A116" s="86"/>
      <c r="B116" s="86"/>
      <c r="C116" s="72" t="s">
        <v>22</v>
      </c>
      <c r="D116" s="72"/>
      <c r="E116" s="72"/>
      <c r="F116" s="54"/>
    </row>
    <row r="117" spans="1:6" x14ac:dyDescent="0.25">
      <c r="A117" s="86"/>
      <c r="B117" s="86"/>
      <c r="C117" s="85" t="s">
        <v>23</v>
      </c>
      <c r="D117" s="85"/>
      <c r="E117" s="87"/>
      <c r="F117" s="87"/>
    </row>
    <row r="118" spans="1:6" x14ac:dyDescent="0.25">
      <c r="A118" s="86"/>
      <c r="B118" s="86"/>
      <c r="C118" s="85" t="s">
        <v>24</v>
      </c>
      <c r="D118" s="85"/>
      <c r="E118" s="86"/>
      <c r="F118" s="86"/>
    </row>
    <row r="119" spans="1:6" x14ac:dyDescent="0.25">
      <c r="A119" s="86"/>
      <c r="B119" s="86"/>
      <c r="C119" s="85" t="s">
        <v>25</v>
      </c>
      <c r="D119" s="85"/>
      <c r="E119" s="86"/>
      <c r="F119" s="86"/>
    </row>
    <row r="120" spans="1:6" x14ac:dyDescent="0.25">
      <c r="A120" s="86"/>
      <c r="B120" s="86"/>
      <c r="C120" s="85" t="s">
        <v>26</v>
      </c>
      <c r="D120" s="90"/>
      <c r="E120" s="86"/>
      <c r="F120" s="86"/>
    </row>
    <row r="121" spans="1:6" x14ac:dyDescent="0.25">
      <c r="A121" s="86"/>
      <c r="B121" s="86"/>
      <c r="C121" s="85" t="s">
        <v>27</v>
      </c>
      <c r="D121" s="85"/>
      <c r="E121" s="86"/>
      <c r="F121" s="86"/>
    </row>
    <row r="122" spans="1:6" x14ac:dyDescent="0.25">
      <c r="A122" s="22" t="s">
        <v>28</v>
      </c>
      <c r="B122" s="82"/>
      <c r="C122" s="82"/>
      <c r="D122" s="82"/>
      <c r="E122" s="82"/>
      <c r="F122" s="82"/>
    </row>
    <row r="123" spans="1:6" x14ac:dyDescent="0.25">
      <c r="A123" s="49" t="s">
        <v>29</v>
      </c>
      <c r="B123" s="82"/>
      <c r="C123" s="82"/>
      <c r="D123" s="82"/>
      <c r="E123" s="82"/>
      <c r="F123" s="82"/>
    </row>
    <row r="124" spans="1:6" x14ac:dyDescent="0.25">
      <c r="A124" s="53" t="s">
        <v>30</v>
      </c>
      <c r="B124" s="50"/>
      <c r="C124" s="88" t="s">
        <v>31</v>
      </c>
      <c r="D124" s="88"/>
      <c r="E124" s="89"/>
      <c r="F124" s="89"/>
    </row>
    <row r="125" spans="1:6" x14ac:dyDescent="0.25">
      <c r="A125" s="24" t="s">
        <v>32</v>
      </c>
      <c r="B125" s="87"/>
      <c r="C125" s="87"/>
      <c r="D125" s="87"/>
      <c r="E125" s="87"/>
      <c r="F125" s="87"/>
    </row>
    <row r="126" spans="1:6" x14ac:dyDescent="0.25">
      <c r="A126" s="65"/>
      <c r="B126" s="65"/>
      <c r="C126" s="65"/>
      <c r="D126" s="65"/>
      <c r="E126" s="65"/>
      <c r="F126" s="65"/>
    </row>
    <row r="127" spans="1:6" x14ac:dyDescent="0.25">
      <c r="A127" s="15" t="s">
        <v>20</v>
      </c>
      <c r="B127" s="26">
        <f>B112+1</f>
        <v>7</v>
      </c>
      <c r="C127" s="25" t="str">
        <f>_xlfn.CONCAT("RAC"," ",'SOR Tracker'!N11)</f>
        <v xml:space="preserve">RAC </v>
      </c>
      <c r="D127" s="51" t="s">
        <v>21</v>
      </c>
      <c r="E127" s="51"/>
      <c r="F127" s="51"/>
    </row>
    <row r="128" spans="1:6" x14ac:dyDescent="0.25">
      <c r="A128" s="86"/>
      <c r="B128" s="86"/>
      <c r="C128" s="82"/>
      <c r="D128" s="82"/>
      <c r="E128" s="82"/>
      <c r="F128" s="82"/>
    </row>
    <row r="129" spans="1:6" x14ac:dyDescent="0.25">
      <c r="A129" s="86"/>
      <c r="B129" s="86"/>
      <c r="C129" s="82"/>
      <c r="D129" s="82"/>
      <c r="E129" s="82"/>
      <c r="F129" s="82"/>
    </row>
    <row r="130" spans="1:6" x14ac:dyDescent="0.25">
      <c r="A130" s="86"/>
      <c r="B130" s="86"/>
      <c r="C130" s="82"/>
      <c r="D130" s="82"/>
      <c r="E130" s="82"/>
      <c r="F130" s="82"/>
    </row>
    <row r="131" spans="1:6" x14ac:dyDescent="0.25">
      <c r="A131" s="86"/>
      <c r="B131" s="86"/>
      <c r="C131" s="72" t="s">
        <v>22</v>
      </c>
      <c r="D131" s="72"/>
      <c r="E131" s="72"/>
      <c r="F131" s="54"/>
    </row>
    <row r="132" spans="1:6" x14ac:dyDescent="0.25">
      <c r="A132" s="86"/>
      <c r="B132" s="86"/>
      <c r="C132" s="85" t="s">
        <v>23</v>
      </c>
      <c r="D132" s="85"/>
      <c r="E132" s="87"/>
      <c r="F132" s="87"/>
    </row>
    <row r="133" spans="1:6" x14ac:dyDescent="0.25">
      <c r="A133" s="86"/>
      <c r="B133" s="86"/>
      <c r="C133" s="85" t="s">
        <v>24</v>
      </c>
      <c r="D133" s="85"/>
      <c r="E133" s="86"/>
      <c r="F133" s="86"/>
    </row>
    <row r="134" spans="1:6" x14ac:dyDescent="0.25">
      <c r="A134" s="86"/>
      <c r="B134" s="86"/>
      <c r="C134" s="85" t="s">
        <v>25</v>
      </c>
      <c r="D134" s="85"/>
      <c r="E134" s="86"/>
      <c r="F134" s="86"/>
    </row>
    <row r="135" spans="1:6" x14ac:dyDescent="0.25">
      <c r="A135" s="86"/>
      <c r="B135" s="86"/>
      <c r="C135" s="85" t="s">
        <v>26</v>
      </c>
      <c r="D135" s="90"/>
      <c r="E135" s="86"/>
      <c r="F135" s="86"/>
    </row>
    <row r="136" spans="1:6" x14ac:dyDescent="0.25">
      <c r="A136" s="86"/>
      <c r="B136" s="86"/>
      <c r="C136" s="85" t="s">
        <v>27</v>
      </c>
      <c r="D136" s="85"/>
      <c r="E136" s="86"/>
      <c r="F136" s="86"/>
    </row>
    <row r="137" spans="1:6" x14ac:dyDescent="0.25">
      <c r="A137" s="22" t="s">
        <v>28</v>
      </c>
      <c r="B137" s="82"/>
      <c r="C137" s="82"/>
      <c r="D137" s="82"/>
      <c r="E137" s="82"/>
      <c r="F137" s="82"/>
    </row>
    <row r="138" spans="1:6" x14ac:dyDescent="0.25">
      <c r="A138" s="49" t="s">
        <v>29</v>
      </c>
      <c r="B138" s="82"/>
      <c r="C138" s="82"/>
      <c r="D138" s="82"/>
      <c r="E138" s="82"/>
      <c r="F138" s="82"/>
    </row>
    <row r="139" spans="1:6" x14ac:dyDescent="0.25">
      <c r="A139" s="53" t="s">
        <v>30</v>
      </c>
      <c r="B139" s="50"/>
      <c r="C139" s="88" t="s">
        <v>31</v>
      </c>
      <c r="D139" s="88"/>
      <c r="E139" s="89"/>
      <c r="F139" s="89"/>
    </row>
    <row r="140" spans="1:6" x14ac:dyDescent="0.25">
      <c r="A140" s="24" t="s">
        <v>32</v>
      </c>
      <c r="B140" s="87"/>
      <c r="C140" s="87"/>
      <c r="D140" s="87"/>
      <c r="E140" s="87"/>
      <c r="F140" s="87"/>
    </row>
    <row r="144" spans="1:6" x14ac:dyDescent="0.25">
      <c r="A144" s="15" t="s">
        <v>20</v>
      </c>
      <c r="B144" s="26">
        <f>B127+1</f>
        <v>8</v>
      </c>
      <c r="C144" s="25" t="str">
        <f>_xlfn.CONCAT("RAC"," ",'SOR Tracker'!N12)</f>
        <v xml:space="preserve">RAC </v>
      </c>
      <c r="D144" s="64" t="s">
        <v>21</v>
      </c>
      <c r="E144" s="64"/>
      <c r="F144" s="64"/>
    </row>
    <row r="145" spans="1:6" x14ac:dyDescent="0.25">
      <c r="A145" s="86"/>
      <c r="B145" s="86"/>
      <c r="C145" s="82"/>
      <c r="D145" s="82"/>
      <c r="E145" s="82"/>
      <c r="F145" s="82"/>
    </row>
    <row r="146" spans="1:6" x14ac:dyDescent="0.25">
      <c r="A146" s="86"/>
      <c r="B146" s="86"/>
      <c r="C146" s="82"/>
      <c r="D146" s="82"/>
      <c r="E146" s="82"/>
      <c r="F146" s="82"/>
    </row>
    <row r="147" spans="1:6" x14ac:dyDescent="0.25">
      <c r="A147" s="86"/>
      <c r="B147" s="86"/>
      <c r="C147" s="82"/>
      <c r="D147" s="82"/>
      <c r="E147" s="82"/>
      <c r="F147" s="82"/>
    </row>
    <row r="148" spans="1:6" x14ac:dyDescent="0.25">
      <c r="A148" s="86"/>
      <c r="B148" s="86"/>
      <c r="C148" s="72" t="s">
        <v>22</v>
      </c>
      <c r="D148" s="72"/>
      <c r="E148" s="72"/>
      <c r="F148" s="54"/>
    </row>
    <row r="149" spans="1:6" x14ac:dyDescent="0.25">
      <c r="A149" s="86"/>
      <c r="B149" s="86"/>
      <c r="C149" s="85" t="s">
        <v>23</v>
      </c>
      <c r="D149" s="85"/>
      <c r="E149" s="87"/>
      <c r="F149" s="87"/>
    </row>
    <row r="150" spans="1:6" x14ac:dyDescent="0.25">
      <c r="A150" s="86"/>
      <c r="B150" s="86"/>
      <c r="C150" s="85" t="s">
        <v>24</v>
      </c>
      <c r="D150" s="85"/>
      <c r="E150" s="86"/>
      <c r="F150" s="86"/>
    </row>
    <row r="151" spans="1:6" x14ac:dyDescent="0.25">
      <c r="A151" s="86"/>
      <c r="B151" s="86"/>
      <c r="C151" s="85" t="s">
        <v>25</v>
      </c>
      <c r="D151" s="85"/>
      <c r="E151" s="86"/>
      <c r="F151" s="86"/>
    </row>
    <row r="152" spans="1:6" x14ac:dyDescent="0.25">
      <c r="A152" s="86"/>
      <c r="B152" s="86"/>
      <c r="C152" s="85" t="s">
        <v>26</v>
      </c>
      <c r="D152" s="90"/>
      <c r="E152" s="86"/>
      <c r="F152" s="86"/>
    </row>
    <row r="153" spans="1:6" x14ac:dyDescent="0.25">
      <c r="A153" s="86"/>
      <c r="B153" s="86"/>
      <c r="C153" s="85" t="s">
        <v>27</v>
      </c>
      <c r="D153" s="85"/>
      <c r="E153" s="86"/>
      <c r="F153" s="86"/>
    </row>
    <row r="154" spans="1:6" x14ac:dyDescent="0.25">
      <c r="A154" s="22" t="s">
        <v>28</v>
      </c>
      <c r="B154" s="82"/>
      <c r="C154" s="82"/>
      <c r="D154" s="82"/>
      <c r="E154" s="82"/>
      <c r="F154" s="82"/>
    </row>
    <row r="155" spans="1:6" x14ac:dyDescent="0.25">
      <c r="A155" s="49" t="s">
        <v>29</v>
      </c>
      <c r="B155" s="82"/>
      <c r="C155" s="82"/>
      <c r="D155" s="82"/>
      <c r="E155" s="82"/>
      <c r="F155" s="82"/>
    </row>
    <row r="156" spans="1:6" x14ac:dyDescent="0.25">
      <c r="A156" s="53" t="s">
        <v>30</v>
      </c>
      <c r="B156" s="50"/>
      <c r="C156" s="88" t="s">
        <v>31</v>
      </c>
      <c r="D156" s="88"/>
      <c r="E156" s="89"/>
      <c r="F156" s="89"/>
    </row>
    <row r="157" spans="1:6" x14ac:dyDescent="0.25">
      <c r="A157" s="24" t="s">
        <v>32</v>
      </c>
      <c r="B157" s="87"/>
      <c r="C157" s="87"/>
      <c r="D157" s="87"/>
      <c r="E157" s="87"/>
      <c r="F157" s="87"/>
    </row>
    <row r="158" spans="1:6" x14ac:dyDescent="0.25">
      <c r="A158" s="65"/>
      <c r="B158" s="65"/>
      <c r="C158" s="65"/>
      <c r="D158" s="65"/>
      <c r="E158" s="65"/>
      <c r="F158" s="65"/>
    </row>
    <row r="159" spans="1:6" x14ac:dyDescent="0.25">
      <c r="A159" s="15" t="s">
        <v>20</v>
      </c>
      <c r="B159" s="26">
        <f>B144+1</f>
        <v>9</v>
      </c>
      <c r="C159" s="25" t="str">
        <f>_xlfn.CONCAT("RAC"," ",'SOR Tracker'!N13)</f>
        <v xml:space="preserve">RAC </v>
      </c>
      <c r="D159" s="64" t="s">
        <v>21</v>
      </c>
      <c r="E159" s="64"/>
      <c r="F159" s="64"/>
    </row>
    <row r="160" spans="1:6" x14ac:dyDescent="0.25">
      <c r="A160" s="86"/>
      <c r="B160" s="86"/>
      <c r="C160" s="82"/>
      <c r="D160" s="82"/>
      <c r="E160" s="82"/>
      <c r="F160" s="82"/>
    </row>
    <row r="161" spans="1:6" x14ac:dyDescent="0.25">
      <c r="A161" s="86"/>
      <c r="B161" s="86"/>
      <c r="C161" s="82"/>
      <c r="D161" s="82"/>
      <c r="E161" s="82"/>
      <c r="F161" s="82"/>
    </row>
    <row r="162" spans="1:6" x14ac:dyDescent="0.25">
      <c r="A162" s="86"/>
      <c r="B162" s="86"/>
      <c r="C162" s="82"/>
      <c r="D162" s="82"/>
      <c r="E162" s="82"/>
      <c r="F162" s="82"/>
    </row>
    <row r="163" spans="1:6" x14ac:dyDescent="0.25">
      <c r="A163" s="86"/>
      <c r="B163" s="86"/>
      <c r="C163" s="72" t="s">
        <v>22</v>
      </c>
      <c r="D163" s="72"/>
      <c r="E163" s="72"/>
      <c r="F163" s="54"/>
    </row>
    <row r="164" spans="1:6" x14ac:dyDescent="0.25">
      <c r="A164" s="86"/>
      <c r="B164" s="86"/>
      <c r="C164" s="85" t="s">
        <v>23</v>
      </c>
      <c r="D164" s="85"/>
      <c r="E164" s="87"/>
      <c r="F164" s="87"/>
    </row>
    <row r="165" spans="1:6" x14ac:dyDescent="0.25">
      <c r="A165" s="86"/>
      <c r="B165" s="86"/>
      <c r="C165" s="85" t="s">
        <v>24</v>
      </c>
      <c r="D165" s="85"/>
      <c r="E165" s="86"/>
      <c r="F165" s="86"/>
    </row>
    <row r="166" spans="1:6" x14ac:dyDescent="0.25">
      <c r="A166" s="86"/>
      <c r="B166" s="86"/>
      <c r="C166" s="85" t="s">
        <v>25</v>
      </c>
      <c r="D166" s="85"/>
      <c r="E166" s="86"/>
      <c r="F166" s="86"/>
    </row>
    <row r="167" spans="1:6" x14ac:dyDescent="0.25">
      <c r="A167" s="86"/>
      <c r="B167" s="86"/>
      <c r="C167" s="85" t="s">
        <v>26</v>
      </c>
      <c r="D167" s="90"/>
      <c r="E167" s="86"/>
      <c r="F167" s="86"/>
    </row>
    <row r="168" spans="1:6" x14ac:dyDescent="0.25">
      <c r="A168" s="86"/>
      <c r="B168" s="86"/>
      <c r="C168" s="85" t="s">
        <v>27</v>
      </c>
      <c r="D168" s="85"/>
      <c r="E168" s="86"/>
      <c r="F168" s="86"/>
    </row>
    <row r="169" spans="1:6" x14ac:dyDescent="0.25">
      <c r="A169" s="22" t="s">
        <v>28</v>
      </c>
      <c r="B169" s="82"/>
      <c r="C169" s="82"/>
      <c r="D169" s="82"/>
      <c r="E169" s="82"/>
      <c r="F169" s="82"/>
    </row>
    <row r="170" spans="1:6" x14ac:dyDescent="0.25">
      <c r="A170" s="49" t="s">
        <v>29</v>
      </c>
      <c r="B170" s="82"/>
      <c r="C170" s="82"/>
      <c r="D170" s="82"/>
      <c r="E170" s="82"/>
      <c r="F170" s="82"/>
    </row>
    <row r="171" spans="1:6" x14ac:dyDescent="0.25">
      <c r="A171" s="53" t="s">
        <v>30</v>
      </c>
      <c r="B171" s="50"/>
      <c r="C171" s="88" t="s">
        <v>31</v>
      </c>
      <c r="D171" s="88"/>
      <c r="E171" s="89"/>
      <c r="F171" s="89"/>
    </row>
    <row r="172" spans="1:6" x14ac:dyDescent="0.25">
      <c r="A172" s="24" t="s">
        <v>32</v>
      </c>
      <c r="B172" s="87"/>
      <c r="C172" s="87"/>
      <c r="D172" s="87"/>
      <c r="E172" s="87"/>
      <c r="F172" s="87"/>
    </row>
    <row r="173" spans="1:6" x14ac:dyDescent="0.25">
      <c r="A173" s="65"/>
      <c r="B173" s="65"/>
      <c r="C173" s="65"/>
      <c r="D173" s="65"/>
      <c r="E173" s="65"/>
      <c r="F173" s="65"/>
    </row>
    <row r="174" spans="1:6" x14ac:dyDescent="0.25">
      <c r="A174" s="15" t="s">
        <v>20</v>
      </c>
      <c r="B174" s="26">
        <f>B159+1</f>
        <v>10</v>
      </c>
      <c r="C174" s="25" t="str">
        <f>_xlfn.CONCAT("RAC"," ",'SOR Tracker'!N14)</f>
        <v xml:space="preserve">RAC </v>
      </c>
      <c r="D174" s="64" t="s">
        <v>21</v>
      </c>
      <c r="E174" s="64"/>
      <c r="F174" s="64"/>
    </row>
    <row r="175" spans="1:6" x14ac:dyDescent="0.25">
      <c r="A175" s="86"/>
      <c r="B175" s="86"/>
      <c r="C175" s="82"/>
      <c r="D175" s="82"/>
      <c r="E175" s="82"/>
      <c r="F175" s="82"/>
    </row>
    <row r="176" spans="1:6" x14ac:dyDescent="0.25">
      <c r="A176" s="86"/>
      <c r="B176" s="86"/>
      <c r="C176" s="82"/>
      <c r="D176" s="82"/>
      <c r="E176" s="82"/>
      <c r="F176" s="82"/>
    </row>
    <row r="177" spans="1:6" x14ac:dyDescent="0.25">
      <c r="A177" s="86"/>
      <c r="B177" s="86"/>
      <c r="C177" s="82"/>
      <c r="D177" s="82"/>
      <c r="E177" s="82"/>
      <c r="F177" s="82"/>
    </row>
    <row r="178" spans="1:6" x14ac:dyDescent="0.25">
      <c r="A178" s="86"/>
      <c r="B178" s="86"/>
      <c r="C178" s="72" t="s">
        <v>22</v>
      </c>
      <c r="D178" s="72"/>
      <c r="E178" s="72"/>
      <c r="F178" s="54"/>
    </row>
    <row r="179" spans="1:6" x14ac:dyDescent="0.25">
      <c r="A179" s="86"/>
      <c r="B179" s="86"/>
      <c r="C179" s="85" t="s">
        <v>23</v>
      </c>
      <c r="D179" s="85"/>
      <c r="E179" s="87"/>
      <c r="F179" s="87"/>
    </row>
    <row r="180" spans="1:6" x14ac:dyDescent="0.25">
      <c r="A180" s="86"/>
      <c r="B180" s="86"/>
      <c r="C180" s="85" t="s">
        <v>24</v>
      </c>
      <c r="D180" s="85"/>
      <c r="E180" s="86"/>
      <c r="F180" s="86"/>
    </row>
    <row r="181" spans="1:6" x14ac:dyDescent="0.25">
      <c r="A181" s="86"/>
      <c r="B181" s="86"/>
      <c r="C181" s="85" t="s">
        <v>25</v>
      </c>
      <c r="D181" s="85"/>
      <c r="E181" s="86"/>
      <c r="F181" s="86"/>
    </row>
    <row r="182" spans="1:6" x14ac:dyDescent="0.25">
      <c r="A182" s="86"/>
      <c r="B182" s="86"/>
      <c r="C182" s="85" t="s">
        <v>26</v>
      </c>
      <c r="D182" s="90"/>
      <c r="E182" s="86"/>
      <c r="F182" s="86"/>
    </row>
    <row r="183" spans="1:6" x14ac:dyDescent="0.25">
      <c r="A183" s="86"/>
      <c r="B183" s="86"/>
      <c r="C183" s="85" t="s">
        <v>27</v>
      </c>
      <c r="D183" s="85"/>
      <c r="E183" s="86"/>
      <c r="F183" s="86"/>
    </row>
    <row r="184" spans="1:6" x14ac:dyDescent="0.25">
      <c r="A184" s="22" t="s">
        <v>28</v>
      </c>
      <c r="B184" s="82"/>
      <c r="C184" s="82"/>
      <c r="D184" s="82"/>
      <c r="E184" s="82"/>
      <c r="F184" s="82"/>
    </row>
    <row r="185" spans="1:6" x14ac:dyDescent="0.25">
      <c r="A185" s="49" t="s">
        <v>29</v>
      </c>
      <c r="B185" s="82"/>
      <c r="C185" s="82"/>
      <c r="D185" s="82"/>
      <c r="E185" s="82"/>
      <c r="F185" s="82"/>
    </row>
    <row r="186" spans="1:6" x14ac:dyDescent="0.25">
      <c r="A186" s="53" t="s">
        <v>30</v>
      </c>
      <c r="B186" s="50"/>
      <c r="C186" s="88" t="s">
        <v>31</v>
      </c>
      <c r="D186" s="88"/>
      <c r="E186" s="89"/>
      <c r="F186" s="89"/>
    </row>
    <row r="187" spans="1:6" x14ac:dyDescent="0.25">
      <c r="A187" s="24" t="s">
        <v>32</v>
      </c>
      <c r="B187" s="87"/>
      <c r="C187" s="87"/>
      <c r="D187" s="87"/>
      <c r="E187" s="87"/>
      <c r="F187" s="87"/>
    </row>
    <row r="191" spans="1:6" x14ac:dyDescent="0.25">
      <c r="A191" s="15" t="s">
        <v>20</v>
      </c>
      <c r="B191" s="26">
        <f>B174+1</f>
        <v>11</v>
      </c>
      <c r="C191" s="25" t="str">
        <f>_xlfn.CONCAT("RAC"," ",'SOR Tracker'!N15)</f>
        <v xml:space="preserve">RAC </v>
      </c>
      <c r="D191" s="64" t="s">
        <v>21</v>
      </c>
      <c r="E191" s="64"/>
      <c r="F191" s="64"/>
    </row>
    <row r="192" spans="1:6" x14ac:dyDescent="0.25">
      <c r="A192" s="86"/>
      <c r="B192" s="86"/>
      <c r="C192" s="82"/>
      <c r="D192" s="82"/>
      <c r="E192" s="82"/>
      <c r="F192" s="82"/>
    </row>
    <row r="193" spans="1:6" x14ac:dyDescent="0.25">
      <c r="A193" s="86"/>
      <c r="B193" s="86"/>
      <c r="C193" s="82"/>
      <c r="D193" s="82"/>
      <c r="E193" s="82"/>
      <c r="F193" s="82"/>
    </row>
    <row r="194" spans="1:6" x14ac:dyDescent="0.25">
      <c r="A194" s="86"/>
      <c r="B194" s="86"/>
      <c r="C194" s="82"/>
      <c r="D194" s="82"/>
      <c r="E194" s="82"/>
      <c r="F194" s="82"/>
    </row>
    <row r="195" spans="1:6" x14ac:dyDescent="0.25">
      <c r="A195" s="86"/>
      <c r="B195" s="86"/>
      <c r="C195" s="72" t="s">
        <v>22</v>
      </c>
      <c r="D195" s="72"/>
      <c r="E195" s="72"/>
      <c r="F195" s="54"/>
    </row>
    <row r="196" spans="1:6" x14ac:dyDescent="0.25">
      <c r="A196" s="86"/>
      <c r="B196" s="86"/>
      <c r="C196" s="85" t="s">
        <v>23</v>
      </c>
      <c r="D196" s="85"/>
      <c r="E196" s="87"/>
      <c r="F196" s="87"/>
    </row>
    <row r="197" spans="1:6" x14ac:dyDescent="0.25">
      <c r="A197" s="86"/>
      <c r="B197" s="86"/>
      <c r="C197" s="85" t="s">
        <v>24</v>
      </c>
      <c r="D197" s="85"/>
      <c r="E197" s="86"/>
      <c r="F197" s="86"/>
    </row>
    <row r="198" spans="1:6" x14ac:dyDescent="0.25">
      <c r="A198" s="86"/>
      <c r="B198" s="86"/>
      <c r="C198" s="85" t="s">
        <v>25</v>
      </c>
      <c r="D198" s="85"/>
      <c r="E198" s="86"/>
      <c r="F198" s="86"/>
    </row>
    <row r="199" spans="1:6" x14ac:dyDescent="0.25">
      <c r="A199" s="86"/>
      <c r="B199" s="86"/>
      <c r="C199" s="85" t="s">
        <v>26</v>
      </c>
      <c r="D199" s="90"/>
      <c r="E199" s="86"/>
      <c r="F199" s="86"/>
    </row>
    <row r="200" spans="1:6" x14ac:dyDescent="0.25">
      <c r="A200" s="86"/>
      <c r="B200" s="86"/>
      <c r="C200" s="85" t="s">
        <v>27</v>
      </c>
      <c r="D200" s="85"/>
      <c r="E200" s="86"/>
      <c r="F200" s="86"/>
    </row>
    <row r="201" spans="1:6" x14ac:dyDescent="0.25">
      <c r="A201" s="22" t="s">
        <v>28</v>
      </c>
      <c r="B201" s="82"/>
      <c r="C201" s="82"/>
      <c r="D201" s="82"/>
      <c r="E201" s="82"/>
      <c r="F201" s="82"/>
    </row>
    <row r="202" spans="1:6" x14ac:dyDescent="0.25">
      <c r="A202" s="49" t="s">
        <v>29</v>
      </c>
      <c r="B202" s="82"/>
      <c r="C202" s="82"/>
      <c r="D202" s="82"/>
      <c r="E202" s="82"/>
      <c r="F202" s="82"/>
    </row>
    <row r="203" spans="1:6" x14ac:dyDescent="0.25">
      <c r="A203" s="53" t="s">
        <v>30</v>
      </c>
      <c r="B203" s="50"/>
      <c r="C203" s="88" t="s">
        <v>31</v>
      </c>
      <c r="D203" s="88"/>
      <c r="E203" s="89"/>
      <c r="F203" s="89"/>
    </row>
    <row r="204" spans="1:6" x14ac:dyDescent="0.25">
      <c r="A204" s="24" t="s">
        <v>32</v>
      </c>
      <c r="B204" s="87"/>
      <c r="C204" s="87"/>
      <c r="D204" s="87"/>
      <c r="E204" s="87"/>
      <c r="F204" s="87"/>
    </row>
    <row r="205" spans="1:6" x14ac:dyDescent="0.25">
      <c r="A205" s="65"/>
      <c r="B205" s="65"/>
      <c r="C205" s="65"/>
      <c r="D205" s="65"/>
      <c r="E205" s="65"/>
      <c r="F205" s="65"/>
    </row>
    <row r="206" spans="1:6" x14ac:dyDescent="0.25">
      <c r="A206" s="15" t="s">
        <v>20</v>
      </c>
      <c r="B206" s="26">
        <f>B191+1</f>
        <v>12</v>
      </c>
      <c r="C206" s="25" t="str">
        <f>_xlfn.CONCAT("RAC"," ",'SOR Tracker'!N16)</f>
        <v xml:space="preserve">RAC </v>
      </c>
      <c r="D206" s="64" t="s">
        <v>21</v>
      </c>
      <c r="E206" s="64"/>
      <c r="F206" s="64"/>
    </row>
    <row r="207" spans="1:6" x14ac:dyDescent="0.25">
      <c r="A207" s="86"/>
      <c r="B207" s="86"/>
      <c r="C207" s="82"/>
      <c r="D207" s="82"/>
      <c r="E207" s="82"/>
      <c r="F207" s="82"/>
    </row>
    <row r="208" spans="1:6" x14ac:dyDescent="0.25">
      <c r="A208" s="86"/>
      <c r="B208" s="86"/>
      <c r="C208" s="82"/>
      <c r="D208" s="82"/>
      <c r="E208" s="82"/>
      <c r="F208" s="82"/>
    </row>
    <row r="209" spans="1:6" x14ac:dyDescent="0.25">
      <c r="A209" s="86"/>
      <c r="B209" s="86"/>
      <c r="C209" s="82"/>
      <c r="D209" s="82"/>
      <c r="E209" s="82"/>
      <c r="F209" s="82"/>
    </row>
    <row r="210" spans="1:6" x14ac:dyDescent="0.25">
      <c r="A210" s="86"/>
      <c r="B210" s="86"/>
      <c r="C210" s="72" t="s">
        <v>22</v>
      </c>
      <c r="D210" s="72"/>
      <c r="E210" s="72"/>
      <c r="F210" s="54"/>
    </row>
    <row r="211" spans="1:6" x14ac:dyDescent="0.25">
      <c r="A211" s="86"/>
      <c r="B211" s="86"/>
      <c r="C211" s="85" t="s">
        <v>23</v>
      </c>
      <c r="D211" s="85"/>
      <c r="E211" s="87"/>
      <c r="F211" s="87"/>
    </row>
    <row r="212" spans="1:6" x14ac:dyDescent="0.25">
      <c r="A212" s="86"/>
      <c r="B212" s="86"/>
      <c r="C212" s="85" t="s">
        <v>24</v>
      </c>
      <c r="D212" s="85"/>
      <c r="E212" s="86"/>
      <c r="F212" s="86"/>
    </row>
    <row r="213" spans="1:6" x14ac:dyDescent="0.25">
      <c r="A213" s="86"/>
      <c r="B213" s="86"/>
      <c r="C213" s="85" t="s">
        <v>25</v>
      </c>
      <c r="D213" s="85"/>
      <c r="E213" s="86"/>
      <c r="F213" s="86"/>
    </row>
    <row r="214" spans="1:6" x14ac:dyDescent="0.25">
      <c r="A214" s="86"/>
      <c r="B214" s="86"/>
      <c r="C214" s="85" t="s">
        <v>26</v>
      </c>
      <c r="D214" s="90"/>
      <c r="E214" s="86"/>
      <c r="F214" s="86"/>
    </row>
    <row r="215" spans="1:6" x14ac:dyDescent="0.25">
      <c r="A215" s="86"/>
      <c r="B215" s="86"/>
      <c r="C215" s="85" t="s">
        <v>27</v>
      </c>
      <c r="D215" s="85"/>
      <c r="E215" s="86"/>
      <c r="F215" s="86"/>
    </row>
    <row r="216" spans="1:6" x14ac:dyDescent="0.25">
      <c r="A216" s="22" t="s">
        <v>28</v>
      </c>
      <c r="B216" s="82"/>
      <c r="C216" s="82"/>
      <c r="D216" s="82"/>
      <c r="E216" s="82"/>
      <c r="F216" s="82"/>
    </row>
    <row r="217" spans="1:6" x14ac:dyDescent="0.25">
      <c r="A217" s="49" t="s">
        <v>29</v>
      </c>
      <c r="B217" s="82"/>
      <c r="C217" s="82"/>
      <c r="D217" s="82"/>
      <c r="E217" s="82"/>
      <c r="F217" s="82"/>
    </row>
    <row r="218" spans="1:6" x14ac:dyDescent="0.25">
      <c r="A218" s="53" t="s">
        <v>30</v>
      </c>
      <c r="B218" s="50"/>
      <c r="C218" s="88" t="s">
        <v>31</v>
      </c>
      <c r="D218" s="88"/>
      <c r="E218" s="89"/>
      <c r="F218" s="89"/>
    </row>
    <row r="219" spans="1:6" x14ac:dyDescent="0.25">
      <c r="A219" s="24" t="s">
        <v>32</v>
      </c>
      <c r="B219" s="87"/>
      <c r="C219" s="87"/>
      <c r="D219" s="87"/>
      <c r="E219" s="87"/>
      <c r="F219" s="87"/>
    </row>
    <row r="220" spans="1:6" x14ac:dyDescent="0.25">
      <c r="A220" s="65"/>
      <c r="B220" s="65"/>
      <c r="C220" s="65"/>
      <c r="D220" s="65"/>
      <c r="E220" s="65"/>
      <c r="F220" s="65"/>
    </row>
    <row r="221" spans="1:6" x14ac:dyDescent="0.25">
      <c r="A221" s="15" t="s">
        <v>20</v>
      </c>
      <c r="B221" s="26">
        <f>B206+1</f>
        <v>13</v>
      </c>
      <c r="C221" s="25" t="str">
        <f>_xlfn.CONCAT("RAC"," ",'SOR Tracker'!N17)</f>
        <v xml:space="preserve">RAC </v>
      </c>
      <c r="D221" s="64" t="s">
        <v>21</v>
      </c>
      <c r="E221" s="64"/>
      <c r="F221" s="64"/>
    </row>
    <row r="222" spans="1:6" x14ac:dyDescent="0.25">
      <c r="A222" s="86"/>
      <c r="B222" s="86"/>
      <c r="C222" s="82"/>
      <c r="D222" s="82"/>
      <c r="E222" s="82"/>
      <c r="F222" s="82"/>
    </row>
    <row r="223" spans="1:6" x14ac:dyDescent="0.25">
      <c r="A223" s="86"/>
      <c r="B223" s="86"/>
      <c r="C223" s="82"/>
      <c r="D223" s="82"/>
      <c r="E223" s="82"/>
      <c r="F223" s="82"/>
    </row>
    <row r="224" spans="1:6" x14ac:dyDescent="0.25">
      <c r="A224" s="86"/>
      <c r="B224" s="86"/>
      <c r="C224" s="82"/>
      <c r="D224" s="82"/>
      <c r="E224" s="82"/>
      <c r="F224" s="82"/>
    </row>
    <row r="225" spans="1:6" x14ac:dyDescent="0.25">
      <c r="A225" s="86"/>
      <c r="B225" s="86"/>
      <c r="C225" s="72" t="s">
        <v>22</v>
      </c>
      <c r="D225" s="72"/>
      <c r="E225" s="72"/>
      <c r="F225" s="54"/>
    </row>
    <row r="226" spans="1:6" x14ac:dyDescent="0.25">
      <c r="A226" s="86"/>
      <c r="B226" s="86"/>
      <c r="C226" s="85" t="s">
        <v>23</v>
      </c>
      <c r="D226" s="85"/>
      <c r="E226" s="87"/>
      <c r="F226" s="87"/>
    </row>
    <row r="227" spans="1:6" x14ac:dyDescent="0.25">
      <c r="A227" s="86"/>
      <c r="B227" s="86"/>
      <c r="C227" s="85" t="s">
        <v>24</v>
      </c>
      <c r="D227" s="85"/>
      <c r="E227" s="86"/>
      <c r="F227" s="86"/>
    </row>
    <row r="228" spans="1:6" x14ac:dyDescent="0.25">
      <c r="A228" s="86"/>
      <c r="B228" s="86"/>
      <c r="C228" s="85" t="s">
        <v>25</v>
      </c>
      <c r="D228" s="85"/>
      <c r="E228" s="86"/>
      <c r="F228" s="86"/>
    </row>
    <row r="229" spans="1:6" x14ac:dyDescent="0.25">
      <c r="A229" s="86"/>
      <c r="B229" s="86"/>
      <c r="C229" s="85" t="s">
        <v>26</v>
      </c>
      <c r="D229" s="90"/>
      <c r="E229" s="86"/>
      <c r="F229" s="86"/>
    </row>
    <row r="230" spans="1:6" x14ac:dyDescent="0.25">
      <c r="A230" s="86"/>
      <c r="B230" s="86"/>
      <c r="C230" s="85" t="s">
        <v>27</v>
      </c>
      <c r="D230" s="85"/>
      <c r="E230" s="86"/>
      <c r="F230" s="86"/>
    </row>
    <row r="231" spans="1:6" x14ac:dyDescent="0.25">
      <c r="A231" s="22" t="s">
        <v>28</v>
      </c>
      <c r="B231" s="82"/>
      <c r="C231" s="82"/>
      <c r="D231" s="82"/>
      <c r="E231" s="82"/>
      <c r="F231" s="82"/>
    </row>
    <row r="232" spans="1:6" x14ac:dyDescent="0.25">
      <c r="A232" s="49" t="s">
        <v>29</v>
      </c>
      <c r="B232" s="82"/>
      <c r="C232" s="82"/>
      <c r="D232" s="82"/>
      <c r="E232" s="82"/>
      <c r="F232" s="82"/>
    </row>
    <row r="233" spans="1:6" x14ac:dyDescent="0.25">
      <c r="A233" s="53" t="s">
        <v>30</v>
      </c>
      <c r="B233" s="50"/>
      <c r="C233" s="88" t="s">
        <v>31</v>
      </c>
      <c r="D233" s="88"/>
      <c r="E233" s="89"/>
      <c r="F233" s="89"/>
    </row>
    <row r="234" spans="1:6" x14ac:dyDescent="0.25">
      <c r="A234" s="24" t="s">
        <v>32</v>
      </c>
      <c r="B234" s="87"/>
      <c r="C234" s="87"/>
      <c r="D234" s="87"/>
      <c r="E234" s="87"/>
      <c r="F234" s="87"/>
    </row>
    <row r="238" spans="1:6" x14ac:dyDescent="0.25">
      <c r="A238" s="15" t="s">
        <v>20</v>
      </c>
      <c r="B238" s="26">
        <f>B221+1</f>
        <v>14</v>
      </c>
      <c r="C238" s="25" t="str">
        <f>_xlfn.CONCAT("RAC"," ",'SOR Tracker'!N18)</f>
        <v xml:space="preserve">RAC </v>
      </c>
      <c r="D238" s="64" t="s">
        <v>21</v>
      </c>
      <c r="E238" s="64"/>
      <c r="F238" s="64"/>
    </row>
    <row r="239" spans="1:6" x14ac:dyDescent="0.25">
      <c r="A239" s="86"/>
      <c r="B239" s="86"/>
      <c r="C239" s="82"/>
      <c r="D239" s="82"/>
      <c r="E239" s="82"/>
      <c r="F239" s="82"/>
    </row>
    <row r="240" spans="1:6" x14ac:dyDescent="0.25">
      <c r="A240" s="86"/>
      <c r="B240" s="86"/>
      <c r="C240" s="82"/>
      <c r="D240" s="82"/>
      <c r="E240" s="82"/>
      <c r="F240" s="82"/>
    </row>
    <row r="241" spans="1:6" x14ac:dyDescent="0.25">
      <c r="A241" s="86"/>
      <c r="B241" s="86"/>
      <c r="C241" s="82"/>
      <c r="D241" s="82"/>
      <c r="E241" s="82"/>
      <c r="F241" s="82"/>
    </row>
    <row r="242" spans="1:6" x14ac:dyDescent="0.25">
      <c r="A242" s="86"/>
      <c r="B242" s="86"/>
      <c r="C242" s="72" t="s">
        <v>22</v>
      </c>
      <c r="D242" s="72"/>
      <c r="E242" s="72"/>
      <c r="F242" s="54"/>
    </row>
    <row r="243" spans="1:6" x14ac:dyDescent="0.25">
      <c r="A243" s="86"/>
      <c r="B243" s="86"/>
      <c r="C243" s="85" t="s">
        <v>23</v>
      </c>
      <c r="D243" s="85"/>
      <c r="E243" s="87"/>
      <c r="F243" s="87"/>
    </row>
    <row r="244" spans="1:6" x14ac:dyDescent="0.25">
      <c r="A244" s="86"/>
      <c r="B244" s="86"/>
      <c r="C244" s="85" t="s">
        <v>24</v>
      </c>
      <c r="D244" s="85"/>
      <c r="E244" s="86"/>
      <c r="F244" s="86"/>
    </row>
    <row r="245" spans="1:6" x14ac:dyDescent="0.25">
      <c r="A245" s="86"/>
      <c r="B245" s="86"/>
      <c r="C245" s="85" t="s">
        <v>25</v>
      </c>
      <c r="D245" s="85"/>
      <c r="E245" s="86"/>
      <c r="F245" s="86"/>
    </row>
    <row r="246" spans="1:6" x14ac:dyDescent="0.25">
      <c r="A246" s="86"/>
      <c r="B246" s="86"/>
      <c r="C246" s="85" t="s">
        <v>26</v>
      </c>
      <c r="D246" s="90"/>
      <c r="E246" s="86"/>
      <c r="F246" s="86"/>
    </row>
    <row r="247" spans="1:6" x14ac:dyDescent="0.25">
      <c r="A247" s="86"/>
      <c r="B247" s="86"/>
      <c r="C247" s="85" t="s">
        <v>27</v>
      </c>
      <c r="D247" s="85"/>
      <c r="E247" s="86"/>
      <c r="F247" s="86"/>
    </row>
    <row r="248" spans="1:6" x14ac:dyDescent="0.25">
      <c r="A248" s="22" t="s">
        <v>28</v>
      </c>
      <c r="B248" s="82"/>
      <c r="C248" s="82"/>
      <c r="D248" s="82"/>
      <c r="E248" s="82"/>
      <c r="F248" s="82"/>
    </row>
    <row r="249" spans="1:6" x14ac:dyDescent="0.25">
      <c r="A249" s="49" t="s">
        <v>29</v>
      </c>
      <c r="B249" s="82"/>
      <c r="C249" s="82"/>
      <c r="D249" s="82"/>
      <c r="E249" s="82"/>
      <c r="F249" s="82"/>
    </row>
    <row r="250" spans="1:6" x14ac:dyDescent="0.25">
      <c r="A250" s="53" t="s">
        <v>30</v>
      </c>
      <c r="B250" s="50"/>
      <c r="C250" s="88" t="s">
        <v>31</v>
      </c>
      <c r="D250" s="88"/>
      <c r="E250" s="89"/>
      <c r="F250" s="89"/>
    </row>
    <row r="251" spans="1:6" x14ac:dyDescent="0.25">
      <c r="A251" s="24" t="s">
        <v>32</v>
      </c>
      <c r="B251" s="87"/>
      <c r="C251" s="87"/>
      <c r="D251" s="87"/>
      <c r="E251" s="87"/>
      <c r="F251" s="87"/>
    </row>
    <row r="252" spans="1:6" x14ac:dyDescent="0.25">
      <c r="A252" s="65"/>
      <c r="B252" s="65"/>
      <c r="C252" s="65"/>
      <c r="D252" s="65"/>
      <c r="E252" s="65"/>
      <c r="F252" s="65"/>
    </row>
    <row r="253" spans="1:6" x14ac:dyDescent="0.25">
      <c r="A253" s="15" t="s">
        <v>20</v>
      </c>
      <c r="B253" s="26">
        <f>B238+1</f>
        <v>15</v>
      </c>
      <c r="C253" s="25" t="str">
        <f>_xlfn.CONCAT("RAC"," ",'SOR Tracker'!N19)</f>
        <v xml:space="preserve">RAC </v>
      </c>
      <c r="D253" s="64" t="s">
        <v>21</v>
      </c>
      <c r="E253" s="64"/>
      <c r="F253" s="64"/>
    </row>
    <row r="254" spans="1:6" x14ac:dyDescent="0.25">
      <c r="A254" s="86"/>
      <c r="B254" s="86"/>
      <c r="C254" s="82"/>
      <c r="D254" s="82"/>
      <c r="E254" s="82"/>
      <c r="F254" s="82"/>
    </row>
    <row r="255" spans="1:6" x14ac:dyDescent="0.25">
      <c r="A255" s="86"/>
      <c r="B255" s="86"/>
      <c r="C255" s="82"/>
      <c r="D255" s="82"/>
      <c r="E255" s="82"/>
      <c r="F255" s="82"/>
    </row>
    <row r="256" spans="1:6" x14ac:dyDescent="0.25">
      <c r="A256" s="86"/>
      <c r="B256" s="86"/>
      <c r="C256" s="82"/>
      <c r="D256" s="82"/>
      <c r="E256" s="82"/>
      <c r="F256" s="82"/>
    </row>
    <row r="257" spans="1:6" x14ac:dyDescent="0.25">
      <c r="A257" s="86"/>
      <c r="B257" s="86"/>
      <c r="C257" s="72" t="s">
        <v>22</v>
      </c>
      <c r="D257" s="72"/>
      <c r="E257" s="72"/>
      <c r="F257" s="54"/>
    </row>
    <row r="258" spans="1:6" x14ac:dyDescent="0.25">
      <c r="A258" s="86"/>
      <c r="B258" s="86"/>
      <c r="C258" s="85" t="s">
        <v>23</v>
      </c>
      <c r="D258" s="85"/>
      <c r="E258" s="87"/>
      <c r="F258" s="87"/>
    </row>
    <row r="259" spans="1:6" x14ac:dyDescent="0.25">
      <c r="A259" s="86"/>
      <c r="B259" s="86"/>
      <c r="C259" s="85" t="s">
        <v>24</v>
      </c>
      <c r="D259" s="85"/>
      <c r="E259" s="86"/>
      <c r="F259" s="86"/>
    </row>
    <row r="260" spans="1:6" x14ac:dyDescent="0.25">
      <c r="A260" s="86"/>
      <c r="B260" s="86"/>
      <c r="C260" s="85" t="s">
        <v>25</v>
      </c>
      <c r="D260" s="85"/>
      <c r="E260" s="86"/>
      <c r="F260" s="86"/>
    </row>
    <row r="261" spans="1:6" x14ac:dyDescent="0.25">
      <c r="A261" s="86"/>
      <c r="B261" s="86"/>
      <c r="C261" s="85" t="s">
        <v>26</v>
      </c>
      <c r="D261" s="90"/>
      <c r="E261" s="86"/>
      <c r="F261" s="86"/>
    </row>
    <row r="262" spans="1:6" x14ac:dyDescent="0.25">
      <c r="A262" s="86"/>
      <c r="B262" s="86"/>
      <c r="C262" s="85" t="s">
        <v>27</v>
      </c>
      <c r="D262" s="85"/>
      <c r="E262" s="86"/>
      <c r="F262" s="86"/>
    </row>
    <row r="263" spans="1:6" x14ac:dyDescent="0.25">
      <c r="A263" s="22" t="s">
        <v>28</v>
      </c>
      <c r="B263" s="82"/>
      <c r="C263" s="82"/>
      <c r="D263" s="82"/>
      <c r="E263" s="82"/>
      <c r="F263" s="82"/>
    </row>
    <row r="264" spans="1:6" x14ac:dyDescent="0.25">
      <c r="A264" s="49" t="s">
        <v>29</v>
      </c>
      <c r="B264" s="82"/>
      <c r="C264" s="82"/>
      <c r="D264" s="82"/>
      <c r="E264" s="82"/>
      <c r="F264" s="82"/>
    </row>
    <row r="265" spans="1:6" x14ac:dyDescent="0.25">
      <c r="A265" s="53" t="s">
        <v>30</v>
      </c>
      <c r="B265" s="50"/>
      <c r="C265" s="88" t="s">
        <v>31</v>
      </c>
      <c r="D265" s="88"/>
      <c r="E265" s="89"/>
      <c r="F265" s="89"/>
    </row>
    <row r="266" spans="1:6" x14ac:dyDescent="0.25">
      <c r="A266" s="24" t="s">
        <v>32</v>
      </c>
      <c r="B266" s="87"/>
      <c r="C266" s="87"/>
      <c r="D266" s="87"/>
      <c r="E266" s="87"/>
      <c r="F266" s="87"/>
    </row>
    <row r="267" spans="1:6" x14ac:dyDescent="0.25">
      <c r="A267" s="65"/>
      <c r="B267" s="65"/>
      <c r="C267" s="65"/>
      <c r="D267" s="65"/>
      <c r="E267" s="65"/>
      <c r="F267" s="65"/>
    </row>
    <row r="268" spans="1:6" x14ac:dyDescent="0.25">
      <c r="A268" s="15" t="s">
        <v>20</v>
      </c>
      <c r="B268" s="26">
        <f>B253+1</f>
        <v>16</v>
      </c>
      <c r="C268" s="25" t="str">
        <f>_xlfn.CONCAT("RAC"," ",'SOR Tracker'!N20)</f>
        <v xml:space="preserve">RAC </v>
      </c>
      <c r="D268" s="64" t="s">
        <v>21</v>
      </c>
      <c r="E268" s="64"/>
      <c r="F268" s="64"/>
    </row>
    <row r="269" spans="1:6" x14ac:dyDescent="0.25">
      <c r="A269" s="86"/>
      <c r="B269" s="86"/>
      <c r="C269" s="82"/>
      <c r="D269" s="82"/>
      <c r="E269" s="82"/>
      <c r="F269" s="82"/>
    </row>
    <row r="270" spans="1:6" x14ac:dyDescent="0.25">
      <c r="A270" s="86"/>
      <c r="B270" s="86"/>
      <c r="C270" s="82"/>
      <c r="D270" s="82"/>
      <c r="E270" s="82"/>
      <c r="F270" s="82"/>
    </row>
    <row r="271" spans="1:6" x14ac:dyDescent="0.25">
      <c r="A271" s="86"/>
      <c r="B271" s="86"/>
      <c r="C271" s="82"/>
      <c r="D271" s="82"/>
      <c r="E271" s="82"/>
      <c r="F271" s="82"/>
    </row>
    <row r="272" spans="1:6" x14ac:dyDescent="0.25">
      <c r="A272" s="86"/>
      <c r="B272" s="86"/>
      <c r="C272" s="72" t="s">
        <v>22</v>
      </c>
      <c r="D272" s="72"/>
      <c r="E272" s="72"/>
      <c r="F272" s="54"/>
    </row>
    <row r="273" spans="1:6" x14ac:dyDescent="0.25">
      <c r="A273" s="86"/>
      <c r="B273" s="86"/>
      <c r="C273" s="85" t="s">
        <v>23</v>
      </c>
      <c r="D273" s="85"/>
      <c r="E273" s="87"/>
      <c r="F273" s="87"/>
    </row>
    <row r="274" spans="1:6" x14ac:dyDescent="0.25">
      <c r="A274" s="86"/>
      <c r="B274" s="86"/>
      <c r="C274" s="85" t="s">
        <v>24</v>
      </c>
      <c r="D274" s="85"/>
      <c r="E274" s="86"/>
      <c r="F274" s="86"/>
    </row>
    <row r="275" spans="1:6" x14ac:dyDescent="0.25">
      <c r="A275" s="86"/>
      <c r="B275" s="86"/>
      <c r="C275" s="85" t="s">
        <v>25</v>
      </c>
      <c r="D275" s="85"/>
      <c r="E275" s="86"/>
      <c r="F275" s="86"/>
    </row>
    <row r="276" spans="1:6" x14ac:dyDescent="0.25">
      <c r="A276" s="86"/>
      <c r="B276" s="86"/>
      <c r="C276" s="85" t="s">
        <v>26</v>
      </c>
      <c r="D276" s="90"/>
      <c r="E276" s="86"/>
      <c r="F276" s="86"/>
    </row>
    <row r="277" spans="1:6" x14ac:dyDescent="0.25">
      <c r="A277" s="86"/>
      <c r="B277" s="86"/>
      <c r="C277" s="85" t="s">
        <v>27</v>
      </c>
      <c r="D277" s="85"/>
      <c r="E277" s="86"/>
      <c r="F277" s="86"/>
    </row>
    <row r="278" spans="1:6" x14ac:dyDescent="0.25">
      <c r="A278" s="22" t="s">
        <v>28</v>
      </c>
      <c r="B278" s="82"/>
      <c r="C278" s="82"/>
      <c r="D278" s="82"/>
      <c r="E278" s="82"/>
      <c r="F278" s="82"/>
    </row>
    <row r="279" spans="1:6" x14ac:dyDescent="0.25">
      <c r="A279" s="49" t="s">
        <v>29</v>
      </c>
      <c r="B279" s="82"/>
      <c r="C279" s="82"/>
      <c r="D279" s="82"/>
      <c r="E279" s="82"/>
      <c r="F279" s="82"/>
    </row>
    <row r="280" spans="1:6" x14ac:dyDescent="0.25">
      <c r="A280" s="53" t="s">
        <v>30</v>
      </c>
      <c r="B280" s="50"/>
      <c r="C280" s="88" t="s">
        <v>31</v>
      </c>
      <c r="D280" s="88"/>
      <c r="E280" s="89"/>
      <c r="F280" s="89"/>
    </row>
    <row r="281" spans="1:6" x14ac:dyDescent="0.25">
      <c r="A281" s="24" t="s">
        <v>32</v>
      </c>
      <c r="B281" s="87"/>
      <c r="C281" s="87"/>
      <c r="D281" s="87"/>
      <c r="E281" s="87"/>
      <c r="F281" s="87"/>
    </row>
    <row r="285" spans="1:6" x14ac:dyDescent="0.25">
      <c r="A285" s="15" t="s">
        <v>20</v>
      </c>
      <c r="B285" s="26">
        <f>B268+1</f>
        <v>17</v>
      </c>
      <c r="C285" s="25" t="str">
        <f>_xlfn.CONCAT("RAC"," ",'SOR Tracker'!N21)</f>
        <v xml:space="preserve">RAC </v>
      </c>
      <c r="D285" s="64" t="s">
        <v>21</v>
      </c>
      <c r="E285" s="64"/>
      <c r="F285" s="64"/>
    </row>
    <row r="286" spans="1:6" x14ac:dyDescent="0.25">
      <c r="A286" s="86"/>
      <c r="B286" s="86"/>
      <c r="C286" s="82"/>
      <c r="D286" s="82"/>
      <c r="E286" s="82"/>
      <c r="F286" s="82"/>
    </row>
    <row r="287" spans="1:6" x14ac:dyDescent="0.25">
      <c r="A287" s="86"/>
      <c r="B287" s="86"/>
      <c r="C287" s="82"/>
      <c r="D287" s="82"/>
      <c r="E287" s="82"/>
      <c r="F287" s="82"/>
    </row>
    <row r="288" spans="1:6" x14ac:dyDescent="0.25">
      <c r="A288" s="86"/>
      <c r="B288" s="86"/>
      <c r="C288" s="82"/>
      <c r="D288" s="82"/>
      <c r="E288" s="82"/>
      <c r="F288" s="82"/>
    </row>
    <row r="289" spans="1:6" x14ac:dyDescent="0.25">
      <c r="A289" s="86"/>
      <c r="B289" s="86"/>
      <c r="C289" s="72" t="s">
        <v>22</v>
      </c>
      <c r="D289" s="72"/>
      <c r="E289" s="72"/>
      <c r="F289" s="54"/>
    </row>
    <row r="290" spans="1:6" x14ac:dyDescent="0.25">
      <c r="A290" s="86"/>
      <c r="B290" s="86"/>
      <c r="C290" s="85" t="s">
        <v>23</v>
      </c>
      <c r="D290" s="85"/>
      <c r="E290" s="87"/>
      <c r="F290" s="87"/>
    </row>
    <row r="291" spans="1:6" x14ac:dyDescent="0.25">
      <c r="A291" s="86"/>
      <c r="B291" s="86"/>
      <c r="C291" s="85" t="s">
        <v>24</v>
      </c>
      <c r="D291" s="85"/>
      <c r="E291" s="86"/>
      <c r="F291" s="86"/>
    </row>
    <row r="292" spans="1:6" x14ac:dyDescent="0.25">
      <c r="A292" s="86"/>
      <c r="B292" s="86"/>
      <c r="C292" s="85" t="s">
        <v>25</v>
      </c>
      <c r="D292" s="85"/>
      <c r="E292" s="86"/>
      <c r="F292" s="86"/>
    </row>
    <row r="293" spans="1:6" x14ac:dyDescent="0.25">
      <c r="A293" s="86"/>
      <c r="B293" s="86"/>
      <c r="C293" s="85" t="s">
        <v>26</v>
      </c>
      <c r="D293" s="90"/>
      <c r="E293" s="86"/>
      <c r="F293" s="86"/>
    </row>
    <row r="294" spans="1:6" x14ac:dyDescent="0.25">
      <c r="A294" s="86"/>
      <c r="B294" s="86"/>
      <c r="C294" s="85" t="s">
        <v>27</v>
      </c>
      <c r="D294" s="85"/>
      <c r="E294" s="86"/>
      <c r="F294" s="86"/>
    </row>
    <row r="295" spans="1:6" x14ac:dyDescent="0.25">
      <c r="A295" s="22" t="s">
        <v>28</v>
      </c>
      <c r="B295" s="82"/>
      <c r="C295" s="82"/>
      <c r="D295" s="82"/>
      <c r="E295" s="82"/>
      <c r="F295" s="82"/>
    </row>
    <row r="296" spans="1:6" x14ac:dyDescent="0.25">
      <c r="A296" s="49" t="s">
        <v>29</v>
      </c>
      <c r="B296" s="82"/>
      <c r="C296" s="82"/>
      <c r="D296" s="82"/>
      <c r="E296" s="82"/>
      <c r="F296" s="82"/>
    </row>
    <row r="297" spans="1:6" x14ac:dyDescent="0.25">
      <c r="A297" s="53" t="s">
        <v>30</v>
      </c>
      <c r="B297" s="50"/>
      <c r="C297" s="88" t="s">
        <v>31</v>
      </c>
      <c r="D297" s="88"/>
      <c r="E297" s="89"/>
      <c r="F297" s="89"/>
    </row>
    <row r="298" spans="1:6" x14ac:dyDescent="0.25">
      <c r="A298" s="24" t="s">
        <v>32</v>
      </c>
      <c r="B298" s="87"/>
      <c r="C298" s="87"/>
      <c r="D298" s="87"/>
      <c r="E298" s="87"/>
      <c r="F298" s="87"/>
    </row>
    <row r="299" spans="1:6" x14ac:dyDescent="0.25">
      <c r="A299" s="65"/>
      <c r="B299" s="65"/>
      <c r="C299" s="65"/>
      <c r="D299" s="65"/>
      <c r="E299" s="65"/>
      <c r="F299" s="65"/>
    </row>
    <row r="300" spans="1:6" x14ac:dyDescent="0.25">
      <c r="A300" s="15" t="s">
        <v>20</v>
      </c>
      <c r="B300" s="26">
        <f>B285+1</f>
        <v>18</v>
      </c>
      <c r="C300" s="25" t="str">
        <f>_xlfn.CONCAT("RAC"," ",'SOR Tracker'!N22)</f>
        <v xml:space="preserve">RAC </v>
      </c>
      <c r="D300" s="64" t="s">
        <v>21</v>
      </c>
      <c r="E300" s="64"/>
      <c r="F300" s="64"/>
    </row>
    <row r="301" spans="1:6" x14ac:dyDescent="0.25">
      <c r="A301" s="86"/>
      <c r="B301" s="86"/>
      <c r="C301" s="82"/>
      <c r="D301" s="82"/>
      <c r="E301" s="82"/>
      <c r="F301" s="82"/>
    </row>
    <row r="302" spans="1:6" x14ac:dyDescent="0.25">
      <c r="A302" s="86"/>
      <c r="B302" s="86"/>
      <c r="C302" s="82"/>
      <c r="D302" s="82"/>
      <c r="E302" s="82"/>
      <c r="F302" s="82"/>
    </row>
    <row r="303" spans="1:6" x14ac:dyDescent="0.25">
      <c r="A303" s="86"/>
      <c r="B303" s="86"/>
      <c r="C303" s="82"/>
      <c r="D303" s="82"/>
      <c r="E303" s="82"/>
      <c r="F303" s="82"/>
    </row>
    <row r="304" spans="1:6" x14ac:dyDescent="0.25">
      <c r="A304" s="86"/>
      <c r="B304" s="86"/>
      <c r="C304" s="72" t="s">
        <v>22</v>
      </c>
      <c r="D304" s="72"/>
      <c r="E304" s="72"/>
      <c r="F304" s="54"/>
    </row>
    <row r="305" spans="1:6" x14ac:dyDescent="0.25">
      <c r="A305" s="86"/>
      <c r="B305" s="86"/>
      <c r="C305" s="85" t="s">
        <v>23</v>
      </c>
      <c r="D305" s="85"/>
      <c r="E305" s="87"/>
      <c r="F305" s="87"/>
    </row>
    <row r="306" spans="1:6" x14ac:dyDescent="0.25">
      <c r="A306" s="86"/>
      <c r="B306" s="86"/>
      <c r="C306" s="85" t="s">
        <v>24</v>
      </c>
      <c r="D306" s="85"/>
      <c r="E306" s="86"/>
      <c r="F306" s="86"/>
    </row>
    <row r="307" spans="1:6" x14ac:dyDescent="0.25">
      <c r="A307" s="86"/>
      <c r="B307" s="86"/>
      <c r="C307" s="85" t="s">
        <v>25</v>
      </c>
      <c r="D307" s="85"/>
      <c r="E307" s="86"/>
      <c r="F307" s="86"/>
    </row>
    <row r="308" spans="1:6" x14ac:dyDescent="0.25">
      <c r="A308" s="86"/>
      <c r="B308" s="86"/>
      <c r="C308" s="85" t="s">
        <v>26</v>
      </c>
      <c r="D308" s="90"/>
      <c r="E308" s="86"/>
      <c r="F308" s="86"/>
    </row>
    <row r="309" spans="1:6" x14ac:dyDescent="0.25">
      <c r="A309" s="86"/>
      <c r="B309" s="86"/>
      <c r="C309" s="85" t="s">
        <v>27</v>
      </c>
      <c r="D309" s="85"/>
      <c r="E309" s="86"/>
      <c r="F309" s="86"/>
    </row>
    <row r="310" spans="1:6" x14ac:dyDescent="0.25">
      <c r="A310" s="22" t="s">
        <v>28</v>
      </c>
      <c r="B310" s="82"/>
      <c r="C310" s="82"/>
      <c r="D310" s="82"/>
      <c r="E310" s="82"/>
      <c r="F310" s="82"/>
    </row>
    <row r="311" spans="1:6" x14ac:dyDescent="0.25">
      <c r="A311" s="49" t="s">
        <v>29</v>
      </c>
      <c r="B311" s="82"/>
      <c r="C311" s="82"/>
      <c r="D311" s="82"/>
      <c r="E311" s="82"/>
      <c r="F311" s="82"/>
    </row>
    <row r="312" spans="1:6" x14ac:dyDescent="0.25">
      <c r="A312" s="53" t="s">
        <v>30</v>
      </c>
      <c r="B312" s="50"/>
      <c r="C312" s="88" t="s">
        <v>31</v>
      </c>
      <c r="D312" s="88"/>
      <c r="E312" s="89"/>
      <c r="F312" s="89"/>
    </row>
    <row r="313" spans="1:6" x14ac:dyDescent="0.25">
      <c r="A313" s="24" t="s">
        <v>32</v>
      </c>
      <c r="B313" s="87"/>
      <c r="C313" s="87"/>
      <c r="D313" s="87"/>
      <c r="E313" s="87"/>
      <c r="F313" s="87"/>
    </row>
    <row r="314" spans="1:6" x14ac:dyDescent="0.25">
      <c r="A314" s="65"/>
      <c r="B314" s="65"/>
      <c r="C314" s="65"/>
      <c r="D314" s="65"/>
      <c r="E314" s="65"/>
      <c r="F314" s="65"/>
    </row>
    <row r="315" spans="1:6" x14ac:dyDescent="0.25">
      <c r="A315" s="15" t="s">
        <v>20</v>
      </c>
      <c r="B315" s="26">
        <f>B300+1</f>
        <v>19</v>
      </c>
      <c r="C315" s="25" t="str">
        <f>_xlfn.CONCAT("RAC"," ",'SOR Tracker'!N23)</f>
        <v xml:space="preserve">RAC </v>
      </c>
      <c r="D315" s="64" t="s">
        <v>21</v>
      </c>
      <c r="E315" s="64"/>
      <c r="F315" s="64"/>
    </row>
    <row r="316" spans="1:6" x14ac:dyDescent="0.25">
      <c r="A316" s="86"/>
      <c r="B316" s="86"/>
      <c r="C316" s="82"/>
      <c r="D316" s="82"/>
      <c r="E316" s="82"/>
      <c r="F316" s="82"/>
    </row>
    <row r="317" spans="1:6" x14ac:dyDescent="0.25">
      <c r="A317" s="86"/>
      <c r="B317" s="86"/>
      <c r="C317" s="82"/>
      <c r="D317" s="82"/>
      <c r="E317" s="82"/>
      <c r="F317" s="82"/>
    </row>
    <row r="318" spans="1:6" x14ac:dyDescent="0.25">
      <c r="A318" s="86"/>
      <c r="B318" s="86"/>
      <c r="C318" s="82"/>
      <c r="D318" s="82"/>
      <c r="E318" s="82"/>
      <c r="F318" s="82"/>
    </row>
    <row r="319" spans="1:6" x14ac:dyDescent="0.25">
      <c r="A319" s="86"/>
      <c r="B319" s="86"/>
      <c r="C319" s="72" t="s">
        <v>22</v>
      </c>
      <c r="D319" s="72"/>
      <c r="E319" s="72"/>
      <c r="F319" s="54"/>
    </row>
    <row r="320" spans="1:6" x14ac:dyDescent="0.25">
      <c r="A320" s="86"/>
      <c r="B320" s="86"/>
      <c r="C320" s="85" t="s">
        <v>23</v>
      </c>
      <c r="D320" s="85"/>
      <c r="E320" s="87"/>
      <c r="F320" s="87"/>
    </row>
    <row r="321" spans="1:6" x14ac:dyDescent="0.25">
      <c r="A321" s="86"/>
      <c r="B321" s="86"/>
      <c r="C321" s="85" t="s">
        <v>24</v>
      </c>
      <c r="D321" s="85"/>
      <c r="E321" s="86"/>
      <c r="F321" s="86"/>
    </row>
    <row r="322" spans="1:6" x14ac:dyDescent="0.25">
      <c r="A322" s="86"/>
      <c r="B322" s="86"/>
      <c r="C322" s="85" t="s">
        <v>25</v>
      </c>
      <c r="D322" s="85"/>
      <c r="E322" s="86"/>
      <c r="F322" s="86"/>
    </row>
    <row r="323" spans="1:6" x14ac:dyDescent="0.25">
      <c r="A323" s="86"/>
      <c r="B323" s="86"/>
      <c r="C323" s="85" t="s">
        <v>26</v>
      </c>
      <c r="D323" s="90"/>
      <c r="E323" s="86"/>
      <c r="F323" s="86"/>
    </row>
    <row r="324" spans="1:6" x14ac:dyDescent="0.25">
      <c r="A324" s="86"/>
      <c r="B324" s="86"/>
      <c r="C324" s="85" t="s">
        <v>27</v>
      </c>
      <c r="D324" s="85"/>
      <c r="E324" s="86"/>
      <c r="F324" s="86"/>
    </row>
    <row r="325" spans="1:6" x14ac:dyDescent="0.25">
      <c r="A325" s="22" t="s">
        <v>28</v>
      </c>
      <c r="B325" s="82"/>
      <c r="C325" s="82"/>
      <c r="D325" s="82"/>
      <c r="E325" s="82"/>
      <c r="F325" s="82"/>
    </row>
    <row r="326" spans="1:6" x14ac:dyDescent="0.25">
      <c r="A326" s="49" t="s">
        <v>29</v>
      </c>
      <c r="B326" s="82"/>
      <c r="C326" s="82"/>
      <c r="D326" s="82"/>
      <c r="E326" s="82"/>
      <c r="F326" s="82"/>
    </row>
    <row r="327" spans="1:6" x14ac:dyDescent="0.25">
      <c r="A327" s="53" t="s">
        <v>30</v>
      </c>
      <c r="B327" s="50"/>
      <c r="C327" s="88" t="s">
        <v>31</v>
      </c>
      <c r="D327" s="88"/>
      <c r="E327" s="89"/>
      <c r="F327" s="89"/>
    </row>
    <row r="328" spans="1:6" x14ac:dyDescent="0.25">
      <c r="A328" s="24" t="s">
        <v>32</v>
      </c>
      <c r="B328" s="87"/>
      <c r="C328" s="87"/>
      <c r="D328" s="87"/>
      <c r="E328" s="87"/>
      <c r="F328" s="87"/>
    </row>
    <row r="331" spans="1:6" x14ac:dyDescent="0.25">
      <c r="A331" s="33"/>
      <c r="B331" s="33"/>
      <c r="C331" s="33"/>
      <c r="D331" s="33"/>
      <c r="E331" s="33"/>
      <c r="F331" s="33"/>
    </row>
    <row r="332" spans="1:6" x14ac:dyDescent="0.25">
      <c r="A332" s="29"/>
      <c r="C332" s="29"/>
      <c r="D332" s="37"/>
      <c r="E332" s="37"/>
      <c r="F332" s="37"/>
    </row>
    <row r="333" spans="1:6" x14ac:dyDescent="0.25">
      <c r="A333" s="29"/>
      <c r="C333" s="29"/>
      <c r="D333" s="38"/>
      <c r="E333" s="38"/>
      <c r="F333" s="38"/>
    </row>
    <row r="334" spans="1:6" x14ac:dyDescent="0.25">
      <c r="A334" s="29"/>
      <c r="B334" s="30"/>
      <c r="C334" s="31"/>
      <c r="D334" s="38"/>
      <c r="E334" s="38"/>
      <c r="F334" s="38"/>
    </row>
    <row r="335" spans="1:6" x14ac:dyDescent="0.25">
      <c r="A335" s="29"/>
      <c r="C335" s="31"/>
      <c r="D335" s="38"/>
      <c r="E335" s="38"/>
      <c r="F335" s="38"/>
    </row>
    <row r="336" spans="1:6" x14ac:dyDescent="0.25">
      <c r="A336" s="29"/>
    </row>
    <row r="337" spans="1:6" x14ac:dyDescent="0.25">
      <c r="A337" s="32"/>
      <c r="B337" s="39"/>
      <c r="C337" s="39"/>
      <c r="D337" s="39"/>
      <c r="E337" s="39"/>
      <c r="F337" s="39"/>
    </row>
    <row r="338" spans="1:6" x14ac:dyDescent="0.25">
      <c r="A338" s="29"/>
      <c r="B338" s="29"/>
      <c r="C338" s="33"/>
      <c r="D338" s="34"/>
      <c r="E338" s="34"/>
      <c r="F338" s="34"/>
    </row>
    <row r="339" spans="1:6" x14ac:dyDescent="0.25">
      <c r="A339" s="36"/>
      <c r="B339" s="36"/>
      <c r="C339" s="29"/>
      <c r="D339" s="34"/>
      <c r="E339" s="34"/>
      <c r="F339" s="34"/>
    </row>
    <row r="340" spans="1:6" x14ac:dyDescent="0.25">
      <c r="A340" s="36"/>
      <c r="B340" s="36"/>
      <c r="C340" s="29"/>
      <c r="D340" s="34"/>
      <c r="E340" s="34"/>
      <c r="F340" s="34"/>
    </row>
    <row r="341" spans="1:6" x14ac:dyDescent="0.25">
      <c r="A341" s="36"/>
      <c r="B341" s="36"/>
      <c r="C341" s="33"/>
      <c r="D341" s="34"/>
      <c r="E341" s="34"/>
      <c r="F341" s="34"/>
    </row>
    <row r="342" spans="1:6" x14ac:dyDescent="0.25">
      <c r="A342" s="36"/>
      <c r="B342" s="36"/>
      <c r="C342" s="29"/>
      <c r="D342" s="34"/>
      <c r="E342" s="34"/>
      <c r="F342" s="34"/>
    </row>
    <row r="343" spans="1:6" x14ac:dyDescent="0.25">
      <c r="A343" s="36"/>
      <c r="B343" s="36"/>
      <c r="C343" s="29"/>
      <c r="D343" s="34"/>
      <c r="E343" s="34"/>
      <c r="F343" s="34"/>
    </row>
    <row r="344" spans="1:6" x14ac:dyDescent="0.25">
      <c r="A344" s="36"/>
      <c r="B344" s="36"/>
      <c r="C344" s="34"/>
      <c r="D344" s="34"/>
      <c r="E344" s="34"/>
      <c r="F344" s="34"/>
    </row>
    <row r="345" spans="1:6" x14ac:dyDescent="0.25">
      <c r="A345" s="36"/>
      <c r="B345" s="36"/>
      <c r="C345" s="29"/>
      <c r="D345" s="34"/>
      <c r="E345" s="34"/>
      <c r="F345" s="34"/>
    </row>
    <row r="346" spans="1:6" x14ac:dyDescent="0.25">
      <c r="A346" s="36"/>
      <c r="B346" s="36"/>
      <c r="C346" s="29"/>
      <c r="D346" s="34"/>
      <c r="E346" s="34"/>
      <c r="F346" s="34"/>
    </row>
    <row r="347" spans="1:6" x14ac:dyDescent="0.25">
      <c r="A347" s="34"/>
      <c r="B347" s="34"/>
      <c r="C347" s="34"/>
      <c r="D347" s="34"/>
      <c r="E347" s="34"/>
      <c r="F347" s="34"/>
    </row>
    <row r="348" spans="1:6" x14ac:dyDescent="0.25">
      <c r="A348" s="35"/>
      <c r="B348" s="35"/>
      <c r="C348" s="35"/>
      <c r="D348" s="35"/>
      <c r="E348" s="35"/>
      <c r="F348" s="35"/>
    </row>
    <row r="349" spans="1:6" x14ac:dyDescent="0.25">
      <c r="A349" s="35"/>
      <c r="B349" s="35"/>
      <c r="C349" s="35"/>
      <c r="D349" s="35"/>
      <c r="E349" s="35"/>
      <c r="F349" s="35"/>
    </row>
    <row r="350" spans="1:6" x14ac:dyDescent="0.25">
      <c r="A350" s="35"/>
      <c r="B350" s="35"/>
      <c r="C350" s="35"/>
      <c r="D350" s="35"/>
      <c r="E350" s="35"/>
      <c r="F350" s="35"/>
    </row>
    <row r="351" spans="1:6" x14ac:dyDescent="0.25">
      <c r="A351" s="35"/>
      <c r="B351" s="35"/>
      <c r="C351" s="35"/>
      <c r="D351" s="35"/>
      <c r="E351" s="35"/>
      <c r="F351" s="35"/>
    </row>
    <row r="352" spans="1:6" x14ac:dyDescent="0.25">
      <c r="A352" s="35"/>
      <c r="B352" s="35"/>
      <c r="C352" s="35"/>
      <c r="D352" s="35"/>
      <c r="E352" s="35"/>
      <c r="F352" s="35"/>
    </row>
    <row r="353" spans="1:6" x14ac:dyDescent="0.25">
      <c r="A353" s="35"/>
      <c r="B353" s="35"/>
      <c r="C353" s="35"/>
      <c r="D353" s="35"/>
      <c r="E353" s="35"/>
      <c r="F353" s="35"/>
    </row>
    <row r="354" spans="1:6" x14ac:dyDescent="0.25">
      <c r="A354" s="35"/>
      <c r="B354" s="35"/>
      <c r="C354" s="35"/>
      <c r="D354" s="35"/>
      <c r="E354" s="35"/>
      <c r="F354" s="35"/>
    </row>
    <row r="355" spans="1:6" x14ac:dyDescent="0.25">
      <c r="A355" s="35"/>
      <c r="B355" s="35"/>
      <c r="C355" s="35"/>
      <c r="D355" s="35"/>
      <c r="E355" s="35"/>
      <c r="F355" s="35"/>
    </row>
    <row r="356" spans="1:6" x14ac:dyDescent="0.25">
      <c r="A356" s="35"/>
      <c r="B356" s="35"/>
      <c r="C356" s="35"/>
      <c r="D356" s="35"/>
      <c r="E356" s="35"/>
      <c r="F356" s="35"/>
    </row>
    <row r="357" spans="1:6" x14ac:dyDescent="0.25">
      <c r="A357" s="35"/>
      <c r="B357" s="35"/>
      <c r="C357" s="35"/>
      <c r="D357" s="35"/>
      <c r="E357" s="35"/>
      <c r="F357" s="35"/>
    </row>
    <row r="358" spans="1:6" x14ac:dyDescent="0.25">
      <c r="A358" s="35"/>
      <c r="B358" s="35"/>
      <c r="C358" s="35"/>
      <c r="D358" s="35"/>
      <c r="E358" s="35"/>
      <c r="F358" s="35"/>
    </row>
    <row r="359" spans="1:6" x14ac:dyDescent="0.25">
      <c r="A359" s="35"/>
      <c r="B359" s="35"/>
      <c r="C359" s="35"/>
      <c r="D359" s="35"/>
      <c r="E359" s="35"/>
      <c r="F359" s="35"/>
    </row>
    <row r="360" spans="1:6" x14ac:dyDescent="0.25">
      <c r="A360" s="35"/>
      <c r="B360" s="35"/>
      <c r="C360" s="35"/>
      <c r="D360" s="35"/>
      <c r="E360" s="35"/>
      <c r="F360" s="35"/>
    </row>
    <row r="361" spans="1:6" x14ac:dyDescent="0.25">
      <c r="A361" s="35"/>
      <c r="B361" s="35"/>
      <c r="C361" s="35"/>
      <c r="D361" s="35"/>
      <c r="E361" s="35"/>
      <c r="F361" s="35"/>
    </row>
    <row r="362" spans="1:6" x14ac:dyDescent="0.25">
      <c r="A362" s="35"/>
      <c r="B362" s="35"/>
      <c r="C362" s="35"/>
      <c r="D362" s="35"/>
      <c r="E362" s="35"/>
      <c r="F362" s="35"/>
    </row>
    <row r="363" spans="1:6" x14ac:dyDescent="0.25">
      <c r="A363" s="35"/>
      <c r="B363" s="35"/>
      <c r="C363" s="35"/>
      <c r="D363" s="35"/>
      <c r="E363" s="35"/>
      <c r="F363" s="35"/>
    </row>
    <row r="364" spans="1:6" x14ac:dyDescent="0.25">
      <c r="A364" s="35"/>
      <c r="B364" s="35"/>
      <c r="C364" s="35"/>
      <c r="D364" s="35"/>
      <c r="E364" s="35"/>
      <c r="F364" s="35"/>
    </row>
    <row r="365" spans="1:6" x14ac:dyDescent="0.25">
      <c r="A365" s="35"/>
      <c r="B365" s="35"/>
      <c r="C365" s="35"/>
      <c r="D365" s="35"/>
      <c r="E365" s="35"/>
      <c r="F365" s="35"/>
    </row>
    <row r="366" spans="1:6" x14ac:dyDescent="0.25">
      <c r="A366" s="35"/>
      <c r="B366" s="35"/>
      <c r="C366" s="35"/>
      <c r="D366" s="35"/>
      <c r="E366" s="35"/>
      <c r="F366" s="35"/>
    </row>
    <row r="367" spans="1:6" x14ac:dyDescent="0.25">
      <c r="A367" s="35"/>
      <c r="B367" s="35"/>
      <c r="C367" s="35"/>
      <c r="D367" s="35"/>
      <c r="E367" s="35"/>
      <c r="F367" s="35"/>
    </row>
    <row r="368" spans="1:6" x14ac:dyDescent="0.25">
      <c r="A368" s="35"/>
      <c r="B368" s="35"/>
      <c r="C368" s="35"/>
      <c r="D368" s="35"/>
      <c r="E368" s="35"/>
      <c r="F368" s="35"/>
    </row>
    <row r="369" spans="1:6" x14ac:dyDescent="0.25">
      <c r="A369" s="35"/>
      <c r="B369" s="35"/>
      <c r="C369" s="35"/>
      <c r="D369" s="35"/>
      <c r="E369" s="35"/>
      <c r="F369" s="35"/>
    </row>
    <row r="370" spans="1:6" x14ac:dyDescent="0.25">
      <c r="A370" s="35"/>
      <c r="B370" s="35"/>
      <c r="C370" s="35"/>
      <c r="D370" s="35"/>
      <c r="E370" s="35"/>
      <c r="F370" s="35"/>
    </row>
    <row r="371" spans="1:6" x14ac:dyDescent="0.25">
      <c r="A371" s="35"/>
      <c r="B371" s="35"/>
      <c r="C371" s="35"/>
      <c r="D371" s="35"/>
      <c r="E371" s="35"/>
      <c r="F371" s="35"/>
    </row>
  </sheetData>
  <sheetProtection algorithmName="SHA-512" hashValue="dajO7YcBk41RyH/7ZoEH4oLzt5HKZ5S5SqgGmf7usAhDfQWpp7FS1R2R/Fc5IizkV53zI5icNvTrP0J9gJcIJg==" saltValue="5qw/4iG37P8xu9oMk9aKIA==" spinCount="100000" sheet="1" selectLockedCells="1"/>
  <dataConsolidate/>
  <mergeCells count="415">
    <mergeCell ref="C8:D8"/>
    <mergeCell ref="E8:F8"/>
    <mergeCell ref="I8:J8"/>
    <mergeCell ref="K8:M8"/>
    <mergeCell ref="C179:D179"/>
    <mergeCell ref="E179:F179"/>
    <mergeCell ref="C180:D180"/>
    <mergeCell ref="B325:F326"/>
    <mergeCell ref="B328:F328"/>
    <mergeCell ref="E321:F321"/>
    <mergeCell ref="C322:D322"/>
    <mergeCell ref="E322:F322"/>
    <mergeCell ref="C323:D323"/>
    <mergeCell ref="E323:F323"/>
    <mergeCell ref="C324:D324"/>
    <mergeCell ref="E324:F324"/>
    <mergeCell ref="C327:D327"/>
    <mergeCell ref="E327:F327"/>
    <mergeCell ref="B310:F311"/>
    <mergeCell ref="B313:F313"/>
    <mergeCell ref="A314:F314"/>
    <mergeCell ref="A316:B324"/>
    <mergeCell ref="C320:D320"/>
    <mergeCell ref="E320:F320"/>
    <mergeCell ref="C321:D321"/>
    <mergeCell ref="C312:D312"/>
    <mergeCell ref="E312:F312"/>
    <mergeCell ref="C316:F318"/>
    <mergeCell ref="C319:E319"/>
    <mergeCell ref="E306:F306"/>
    <mergeCell ref="C307:D307"/>
    <mergeCell ref="E307:F307"/>
    <mergeCell ref="C308:D308"/>
    <mergeCell ref="E308:F308"/>
    <mergeCell ref="C309:D309"/>
    <mergeCell ref="E309:F309"/>
    <mergeCell ref="D315:F315"/>
    <mergeCell ref="B295:F296"/>
    <mergeCell ref="B298:F298"/>
    <mergeCell ref="A299:F299"/>
    <mergeCell ref="A301:B309"/>
    <mergeCell ref="C305:D305"/>
    <mergeCell ref="E305:F305"/>
    <mergeCell ref="C306:D306"/>
    <mergeCell ref="C297:D297"/>
    <mergeCell ref="E297:F297"/>
    <mergeCell ref="C301:F303"/>
    <mergeCell ref="C304:E304"/>
    <mergeCell ref="D300:F300"/>
    <mergeCell ref="C292:D292"/>
    <mergeCell ref="E292:F292"/>
    <mergeCell ref="C293:D293"/>
    <mergeCell ref="E293:F293"/>
    <mergeCell ref="C294:D294"/>
    <mergeCell ref="E294:F294"/>
    <mergeCell ref="B278:F279"/>
    <mergeCell ref="B281:F281"/>
    <mergeCell ref="A286:B294"/>
    <mergeCell ref="C290:D290"/>
    <mergeCell ref="E290:F290"/>
    <mergeCell ref="C291:D291"/>
    <mergeCell ref="E291:F291"/>
    <mergeCell ref="C280:D280"/>
    <mergeCell ref="E280:F280"/>
    <mergeCell ref="C286:F288"/>
    <mergeCell ref="C289:E289"/>
    <mergeCell ref="D285:F285"/>
    <mergeCell ref="E274:F274"/>
    <mergeCell ref="C275:D275"/>
    <mergeCell ref="E275:F275"/>
    <mergeCell ref="C276:D276"/>
    <mergeCell ref="E276:F276"/>
    <mergeCell ref="C277:D277"/>
    <mergeCell ref="E277:F277"/>
    <mergeCell ref="B263:F264"/>
    <mergeCell ref="B266:F266"/>
    <mergeCell ref="A267:F267"/>
    <mergeCell ref="A269:B277"/>
    <mergeCell ref="C273:D273"/>
    <mergeCell ref="E273:F273"/>
    <mergeCell ref="C274:D274"/>
    <mergeCell ref="C265:D265"/>
    <mergeCell ref="E265:F265"/>
    <mergeCell ref="C269:F271"/>
    <mergeCell ref="C272:E272"/>
    <mergeCell ref="D268:F268"/>
    <mergeCell ref="E259:F259"/>
    <mergeCell ref="C260:D260"/>
    <mergeCell ref="E260:F260"/>
    <mergeCell ref="C261:D261"/>
    <mergeCell ref="E261:F261"/>
    <mergeCell ref="C262:D262"/>
    <mergeCell ref="E262:F262"/>
    <mergeCell ref="B248:F249"/>
    <mergeCell ref="B251:F251"/>
    <mergeCell ref="A252:F252"/>
    <mergeCell ref="A254:B262"/>
    <mergeCell ref="C258:D258"/>
    <mergeCell ref="E258:F258"/>
    <mergeCell ref="C259:D259"/>
    <mergeCell ref="C250:D250"/>
    <mergeCell ref="E250:F250"/>
    <mergeCell ref="C254:F256"/>
    <mergeCell ref="C257:E257"/>
    <mergeCell ref="D253:F253"/>
    <mergeCell ref="C245:D245"/>
    <mergeCell ref="E245:F245"/>
    <mergeCell ref="C246:D246"/>
    <mergeCell ref="E246:F246"/>
    <mergeCell ref="C247:D247"/>
    <mergeCell ref="E247:F247"/>
    <mergeCell ref="B231:F232"/>
    <mergeCell ref="B234:F234"/>
    <mergeCell ref="A239:B247"/>
    <mergeCell ref="C243:D243"/>
    <mergeCell ref="E243:F243"/>
    <mergeCell ref="C244:D244"/>
    <mergeCell ref="E244:F244"/>
    <mergeCell ref="C233:D233"/>
    <mergeCell ref="E233:F233"/>
    <mergeCell ref="C239:F241"/>
    <mergeCell ref="C242:E242"/>
    <mergeCell ref="D238:F238"/>
    <mergeCell ref="E227:F227"/>
    <mergeCell ref="C228:D228"/>
    <mergeCell ref="E228:F228"/>
    <mergeCell ref="C229:D229"/>
    <mergeCell ref="E229:F229"/>
    <mergeCell ref="C230:D230"/>
    <mergeCell ref="E230:F230"/>
    <mergeCell ref="B216:F217"/>
    <mergeCell ref="B219:F219"/>
    <mergeCell ref="A220:F220"/>
    <mergeCell ref="A222:B230"/>
    <mergeCell ref="C226:D226"/>
    <mergeCell ref="E226:F226"/>
    <mergeCell ref="C227:D227"/>
    <mergeCell ref="C218:D218"/>
    <mergeCell ref="E218:F218"/>
    <mergeCell ref="C222:F224"/>
    <mergeCell ref="C225:E225"/>
    <mergeCell ref="D221:F221"/>
    <mergeCell ref="E212:F212"/>
    <mergeCell ref="C213:D213"/>
    <mergeCell ref="E213:F213"/>
    <mergeCell ref="C214:D214"/>
    <mergeCell ref="E214:F214"/>
    <mergeCell ref="C215:D215"/>
    <mergeCell ref="E215:F215"/>
    <mergeCell ref="B201:F202"/>
    <mergeCell ref="B204:F204"/>
    <mergeCell ref="A205:F205"/>
    <mergeCell ref="A207:B215"/>
    <mergeCell ref="C211:D211"/>
    <mergeCell ref="E211:F211"/>
    <mergeCell ref="C212:D212"/>
    <mergeCell ref="C203:D203"/>
    <mergeCell ref="E203:F203"/>
    <mergeCell ref="C207:F209"/>
    <mergeCell ref="C210:E210"/>
    <mergeCell ref="D206:F206"/>
    <mergeCell ref="C198:D198"/>
    <mergeCell ref="E198:F198"/>
    <mergeCell ref="C199:D199"/>
    <mergeCell ref="E199:F199"/>
    <mergeCell ref="C200:D200"/>
    <mergeCell ref="E200:F200"/>
    <mergeCell ref="B184:F185"/>
    <mergeCell ref="B187:F187"/>
    <mergeCell ref="A192:B200"/>
    <mergeCell ref="C196:D196"/>
    <mergeCell ref="E196:F196"/>
    <mergeCell ref="C197:D197"/>
    <mergeCell ref="E197:F197"/>
    <mergeCell ref="C195:E195"/>
    <mergeCell ref="C186:D186"/>
    <mergeCell ref="E186:F186"/>
    <mergeCell ref="D191:F191"/>
    <mergeCell ref="E121:F121"/>
    <mergeCell ref="B107:F108"/>
    <mergeCell ref="B110:F110"/>
    <mergeCell ref="A113:B121"/>
    <mergeCell ref="E180:F180"/>
    <mergeCell ref="E166:F166"/>
    <mergeCell ref="C167:D167"/>
    <mergeCell ref="E167:F167"/>
    <mergeCell ref="C168:D168"/>
    <mergeCell ref="E168:F168"/>
    <mergeCell ref="B169:F170"/>
    <mergeCell ref="B157:F157"/>
    <mergeCell ref="A158:F158"/>
    <mergeCell ref="A160:B168"/>
    <mergeCell ref="C164:D164"/>
    <mergeCell ref="E164:F164"/>
    <mergeCell ref="C165:D165"/>
    <mergeCell ref="E165:F165"/>
    <mergeCell ref="C166:D166"/>
    <mergeCell ref="C124:D124"/>
    <mergeCell ref="E124:F124"/>
    <mergeCell ref="C117:D117"/>
    <mergeCell ref="E117:F117"/>
    <mergeCell ref="C118:D118"/>
    <mergeCell ref="D9:F9"/>
    <mergeCell ref="D12:F12"/>
    <mergeCell ref="E133:F133"/>
    <mergeCell ref="C134:D134"/>
    <mergeCell ref="E134:F134"/>
    <mergeCell ref="C135:D135"/>
    <mergeCell ref="E135:F135"/>
    <mergeCell ref="C136:D136"/>
    <mergeCell ref="E136:F136"/>
    <mergeCell ref="B122:F123"/>
    <mergeCell ref="B125:F125"/>
    <mergeCell ref="A126:F126"/>
    <mergeCell ref="A128:B136"/>
    <mergeCell ref="C132:D132"/>
    <mergeCell ref="E132:F132"/>
    <mergeCell ref="C133:D133"/>
    <mergeCell ref="E118:F118"/>
    <mergeCell ref="C119:D119"/>
    <mergeCell ref="E119:F119"/>
    <mergeCell ref="C120:D120"/>
    <mergeCell ref="E120:F120"/>
    <mergeCell ref="A111:F111"/>
    <mergeCell ref="D16:F17"/>
    <mergeCell ref="C121:D121"/>
    <mergeCell ref="C116:E116"/>
    <mergeCell ref="B90:F91"/>
    <mergeCell ref="B93:F93"/>
    <mergeCell ref="A98:B106"/>
    <mergeCell ref="C102:D102"/>
    <mergeCell ref="E102:F102"/>
    <mergeCell ref="C103:D103"/>
    <mergeCell ref="E103:F103"/>
    <mergeCell ref="C92:D92"/>
    <mergeCell ref="E92:F92"/>
    <mergeCell ref="C101:E101"/>
    <mergeCell ref="C98:F100"/>
    <mergeCell ref="C104:D104"/>
    <mergeCell ref="E104:F104"/>
    <mergeCell ref="C105:D105"/>
    <mergeCell ref="E105:F105"/>
    <mergeCell ref="C106:D106"/>
    <mergeCell ref="E106:F106"/>
    <mergeCell ref="C109:D109"/>
    <mergeCell ref="E109:F109"/>
    <mergeCell ref="C113:F115"/>
    <mergeCell ref="E86:F86"/>
    <mergeCell ref="C87:D87"/>
    <mergeCell ref="E87:F87"/>
    <mergeCell ref="C88:D88"/>
    <mergeCell ref="E88:F88"/>
    <mergeCell ref="C89:D89"/>
    <mergeCell ref="E89:F89"/>
    <mergeCell ref="B75:F76"/>
    <mergeCell ref="B78:F78"/>
    <mergeCell ref="A79:F79"/>
    <mergeCell ref="A81:B89"/>
    <mergeCell ref="C85:D85"/>
    <mergeCell ref="E85:F85"/>
    <mergeCell ref="C86:D86"/>
    <mergeCell ref="C77:D77"/>
    <mergeCell ref="E77:F77"/>
    <mergeCell ref="C81:F83"/>
    <mergeCell ref="C84:E84"/>
    <mergeCell ref="E40:F40"/>
    <mergeCell ref="A33:F33"/>
    <mergeCell ref="A51:B59"/>
    <mergeCell ref="C55:D55"/>
    <mergeCell ref="E55:F55"/>
    <mergeCell ref="C56:D56"/>
    <mergeCell ref="C41:D41"/>
    <mergeCell ref="E41:F41"/>
    <mergeCell ref="C42:D42"/>
    <mergeCell ref="E42:F42"/>
    <mergeCell ref="C43:D43"/>
    <mergeCell ref="E43:F43"/>
    <mergeCell ref="E56:F56"/>
    <mergeCell ref="C57:D57"/>
    <mergeCell ref="E57:F57"/>
    <mergeCell ref="C58:D58"/>
    <mergeCell ref="E58:F58"/>
    <mergeCell ref="C59:D59"/>
    <mergeCell ref="E59:F59"/>
    <mergeCell ref="B44:F45"/>
    <mergeCell ref="B6:F6"/>
    <mergeCell ref="A1:F1"/>
    <mergeCell ref="A10:B17"/>
    <mergeCell ref="A9:B9"/>
    <mergeCell ref="C13:C14"/>
    <mergeCell ref="D13:F14"/>
    <mergeCell ref="C16:C17"/>
    <mergeCell ref="B7:F7"/>
    <mergeCell ref="B29:F30"/>
    <mergeCell ref="D2:F2"/>
    <mergeCell ref="D3:F3"/>
    <mergeCell ref="D4:F4"/>
    <mergeCell ref="D5:F5"/>
    <mergeCell ref="D15:F15"/>
    <mergeCell ref="D10:F11"/>
    <mergeCell ref="C10:C11"/>
    <mergeCell ref="C26:D26"/>
    <mergeCell ref="E26:F26"/>
    <mergeCell ref="C27:D27"/>
    <mergeCell ref="E27:F27"/>
    <mergeCell ref="C28:D28"/>
    <mergeCell ref="E28:F28"/>
    <mergeCell ref="C24:D24"/>
    <mergeCell ref="E24:F24"/>
    <mergeCell ref="E73:F73"/>
    <mergeCell ref="C46:D46"/>
    <mergeCell ref="E46:F46"/>
    <mergeCell ref="C74:D74"/>
    <mergeCell ref="E74:F74"/>
    <mergeCell ref="B60:F61"/>
    <mergeCell ref="B63:F63"/>
    <mergeCell ref="A64:F64"/>
    <mergeCell ref="A66:B74"/>
    <mergeCell ref="C70:D70"/>
    <mergeCell ref="E70:F70"/>
    <mergeCell ref="C71:D71"/>
    <mergeCell ref="C62:D62"/>
    <mergeCell ref="E62:F62"/>
    <mergeCell ref="C54:E54"/>
    <mergeCell ref="C66:F68"/>
    <mergeCell ref="C69:E69"/>
    <mergeCell ref="B47:F47"/>
    <mergeCell ref="E71:F71"/>
    <mergeCell ref="C72:D72"/>
    <mergeCell ref="E72:F72"/>
    <mergeCell ref="C73:D73"/>
    <mergeCell ref="C163:E163"/>
    <mergeCell ref="C175:F177"/>
    <mergeCell ref="C178:E178"/>
    <mergeCell ref="C192:F194"/>
    <mergeCell ref="C152:D152"/>
    <mergeCell ref="E152:F152"/>
    <mergeCell ref="C153:D153"/>
    <mergeCell ref="E153:F153"/>
    <mergeCell ref="B154:F155"/>
    <mergeCell ref="C156:D156"/>
    <mergeCell ref="E156:F156"/>
    <mergeCell ref="C171:D171"/>
    <mergeCell ref="E171:F171"/>
    <mergeCell ref="C181:D181"/>
    <mergeCell ref="E181:F181"/>
    <mergeCell ref="C182:D182"/>
    <mergeCell ref="E182:F182"/>
    <mergeCell ref="C183:D183"/>
    <mergeCell ref="E183:F183"/>
    <mergeCell ref="B172:F172"/>
    <mergeCell ref="A173:F173"/>
    <mergeCell ref="A175:B183"/>
    <mergeCell ref="A145:B153"/>
    <mergeCell ref="C149:D149"/>
    <mergeCell ref="C160:F162"/>
    <mergeCell ref="E149:F149"/>
    <mergeCell ref="C150:D150"/>
    <mergeCell ref="E150:F150"/>
    <mergeCell ref="C151:D151"/>
    <mergeCell ref="E151:F151"/>
    <mergeCell ref="B137:F138"/>
    <mergeCell ref="B140:F140"/>
    <mergeCell ref="C139:D139"/>
    <mergeCell ref="E139:F139"/>
    <mergeCell ref="C145:F147"/>
    <mergeCell ref="C148:E148"/>
    <mergeCell ref="K12:M12"/>
    <mergeCell ref="J13:J14"/>
    <mergeCell ref="K13:M14"/>
    <mergeCell ref="K15:M15"/>
    <mergeCell ref="J16:J17"/>
    <mergeCell ref="K16:M17"/>
    <mergeCell ref="C35:F37"/>
    <mergeCell ref="C38:E38"/>
    <mergeCell ref="C51:F53"/>
    <mergeCell ref="C25:D25"/>
    <mergeCell ref="E25:F25"/>
    <mergeCell ref="A18:F18"/>
    <mergeCell ref="A20:B28"/>
    <mergeCell ref="B32:F32"/>
    <mergeCell ref="C31:D31"/>
    <mergeCell ref="E31:F31"/>
    <mergeCell ref="C20:F22"/>
    <mergeCell ref="C23:E23"/>
    <mergeCell ref="D34:F34"/>
    <mergeCell ref="D19:F19"/>
    <mergeCell ref="A35:B43"/>
    <mergeCell ref="C39:D39"/>
    <mergeCell ref="E39:F39"/>
    <mergeCell ref="C40:D40"/>
    <mergeCell ref="D174:F174"/>
    <mergeCell ref="D159:F159"/>
    <mergeCell ref="D144:F144"/>
    <mergeCell ref="D112:F112"/>
    <mergeCell ref="D97:F97"/>
    <mergeCell ref="D80:F80"/>
    <mergeCell ref="D65:F65"/>
    <mergeCell ref="D50:F50"/>
    <mergeCell ref="H1:M1"/>
    <mergeCell ref="K2:M2"/>
    <mergeCell ref="K3:M3"/>
    <mergeCell ref="K4:M4"/>
    <mergeCell ref="K5:M5"/>
    <mergeCell ref="I6:M6"/>
    <mergeCell ref="I7:M7"/>
    <mergeCell ref="H9:I9"/>
    <mergeCell ref="K9:M9"/>
    <mergeCell ref="H18:M18"/>
    <mergeCell ref="H19:M42"/>
    <mergeCell ref="C128:F130"/>
    <mergeCell ref="C131:E131"/>
    <mergeCell ref="H10:I17"/>
    <mergeCell ref="J10:J11"/>
    <mergeCell ref="K10:M11"/>
  </mergeCells>
  <conditionalFormatting sqref="B4">
    <cfRule type="containsText" dxfId="10" priority="4" operator="containsText" text=" ">
      <formula>NOT(ISERROR(SEARCH(" ",B4)))</formula>
    </cfRule>
    <cfRule type="containsText" dxfId="9" priority="5" operator="containsText" text="_">
      <formula>NOT(ISERROR(SEARCH("_",B4)))</formula>
    </cfRule>
  </conditionalFormatting>
  <conditionalFormatting sqref="B8">
    <cfRule type="containsText" dxfId="8" priority="3" operator="containsText" text="Yes">
      <formula>NOT(ISERROR(SEARCH("Yes",B8)))</formula>
    </cfRule>
  </conditionalFormatting>
  <conditionalFormatting sqref="C1:C1048576">
    <cfRule type="cellIs" dxfId="7" priority="10" operator="equal">
      <formula>"RAC 3"</formula>
    </cfRule>
    <cfRule type="cellIs" dxfId="6" priority="11" operator="equal">
      <formula>"RAC 2"</formula>
    </cfRule>
    <cfRule type="cellIs" dxfId="5" priority="13" operator="equal">
      <formula>"RAC 1"</formula>
    </cfRule>
  </conditionalFormatting>
  <conditionalFormatting sqref="D9:F9">
    <cfRule type="expression" dxfId="4" priority="2">
      <formula>IF(ISBLANK($B$8),TRUE,"")</formula>
    </cfRule>
  </conditionalFormatting>
  <conditionalFormatting sqref="D12:F12">
    <cfRule type="expression" dxfId="3" priority="1">
      <formula>IF(ISBLANK($E$8),TRUE,"")</formula>
    </cfRule>
  </conditionalFormatting>
  <conditionalFormatting sqref="E8:F8">
    <cfRule type="containsText" dxfId="2" priority="6" operator="containsText" text="Good ">
      <formula>NOT(ISERROR(SEARCH("Good ",E8)))</formula>
    </cfRule>
    <cfRule type="containsText" dxfId="1" priority="7" operator="containsText" text="Fair">
      <formula>NOT(ISERROR(SEARCH("Fair",E8)))</formula>
    </cfRule>
    <cfRule type="containsText" dxfId="0" priority="8" operator="containsText" text="Poor">
      <formula>NOT(ISERROR(SEARCH("Poor",E8)))</formula>
    </cfRule>
  </conditionalFormatting>
  <dataValidations count="43">
    <dataValidation type="list" allowBlank="1" showInputMessage="1" showErrorMessage="1" sqref="B312 B327 B62 B77 B92 B109 B124 B139 B156 B171 B186 B203 B218 B233 B250 B265 B280 B297 B46 B31" xr:uid="{88D5551A-8C87-40F2-8A41-E9186DB6BF81}">
      <formula1>Reference</formula1>
    </dataValidation>
    <dataValidation type="list" allowBlank="1" showInputMessage="1" showErrorMessage="1" sqref="B32:F32" xr:uid="{F5E2B7E1-EFE8-4C63-912E-F330FA1D1838}">
      <formula1>INDIRECT($B$31)</formula1>
    </dataValidation>
    <dataValidation type="list" allowBlank="1" showInputMessage="1" showErrorMessage="1" sqref="B47:F47" xr:uid="{D26CC046-A86F-4058-A9AD-6E35C03BBC67}">
      <formula1>INDIRECT($B$46)</formula1>
    </dataValidation>
    <dataValidation type="list" allowBlank="1" showInputMessage="1" showErrorMessage="1" sqref="B63:F63" xr:uid="{05BD52ED-1A05-4BFD-8376-9383921FB164}">
      <formula1>INDIRECT($B$62)</formula1>
    </dataValidation>
    <dataValidation type="list" allowBlank="1" showInputMessage="1" showErrorMessage="1" sqref="B78:F78" xr:uid="{E9A4A1C0-D4DC-443F-9A79-253A28244F04}">
      <formula1>INDIRECT($B$77)</formula1>
    </dataValidation>
    <dataValidation type="list" allowBlank="1" showInputMessage="1" showErrorMessage="1" sqref="B93:F93" xr:uid="{B2829116-0654-428D-A6E5-EDDB4FAEACA0}">
      <formula1>INDIRECT($B$92)</formula1>
    </dataValidation>
    <dataValidation type="list" allowBlank="1" showInputMessage="1" showErrorMessage="1" sqref="B125:F125" xr:uid="{C0A63662-451E-4006-97AA-3A835993DF3E}">
      <formula1>INDIRECT($B$124)</formula1>
    </dataValidation>
    <dataValidation type="list" allowBlank="1" showInputMessage="1" showErrorMessage="1" sqref="B140:F140" xr:uid="{3825578B-1120-488C-8708-C25A3B32D0B0}">
      <formula1>INDIRECT($B$139)</formula1>
    </dataValidation>
    <dataValidation type="list" allowBlank="1" showInputMessage="1" showErrorMessage="1" sqref="B328:F328" xr:uid="{46AD94A9-A76F-4C01-BF16-55CEE228E1D1}">
      <formula1>INDIRECT($B$327)</formula1>
    </dataValidation>
    <dataValidation type="list" allowBlank="1" showInputMessage="1" showErrorMessage="1" sqref="B313:F313" xr:uid="{9D963108-95B6-41DD-95A2-2F199CD620FE}">
      <formula1>INDIRECT($B$312)</formula1>
    </dataValidation>
    <dataValidation type="list" allowBlank="1" showInputMessage="1" showErrorMessage="1" sqref="B298:F298" xr:uid="{A4A97469-62EB-4390-A727-77450C82FBA7}">
      <formula1>INDIRECT($B$297)</formula1>
    </dataValidation>
    <dataValidation type="list" allowBlank="1" showInputMessage="1" showErrorMessage="1" sqref="B281:F281" xr:uid="{BC5FD00E-569C-4915-902A-33216C696F15}">
      <formula1>INDIRECT($B$280)</formula1>
    </dataValidation>
    <dataValidation type="list" allowBlank="1" showInputMessage="1" showErrorMessage="1" sqref="B266:F266" xr:uid="{8B4F2D0A-5E68-43D4-BAA2-7BF8744D0462}">
      <formula1>INDIRECT($B$265)</formula1>
    </dataValidation>
    <dataValidation type="list" allowBlank="1" showInputMessage="1" showErrorMessage="1" sqref="B251:F251" xr:uid="{21E30D93-EDAB-452A-9C95-2BD98BC78E59}">
      <formula1>INDIRECT($B$250)</formula1>
    </dataValidation>
    <dataValidation type="list" allowBlank="1" showInputMessage="1" showErrorMessage="1" sqref="B234:F234" xr:uid="{BE60D84C-9BCE-445C-94E6-1195B6B434EF}">
      <formula1>INDIRECT($B$233)</formula1>
    </dataValidation>
    <dataValidation type="list" allowBlank="1" showInputMessage="1" showErrorMessage="1" sqref="B219:F219" xr:uid="{F7E7EA1E-92ED-459C-8770-C71D31FBE027}">
      <formula1>INDIRECT($B$218)</formula1>
    </dataValidation>
    <dataValidation type="list" allowBlank="1" showInputMessage="1" showErrorMessage="1" sqref="B204:F204" xr:uid="{E4E60C82-FE21-41DB-A241-92360444DD9A}">
      <formula1>INDIRECT($B$203)</formula1>
    </dataValidation>
    <dataValidation type="list" allowBlank="1" showInputMessage="1" showErrorMessage="1" sqref="B187:F187" xr:uid="{FA6E9EC1-EB5E-4523-B913-228298750875}">
      <formula1>INDIRECT($B$186)</formula1>
    </dataValidation>
    <dataValidation type="list" allowBlank="1" showInputMessage="1" showErrorMessage="1" sqref="B172:F172" xr:uid="{85433413-0888-4766-A13B-575B60C51AC6}">
      <formula1>INDIRECT($B$171)</formula1>
    </dataValidation>
    <dataValidation type="list" allowBlank="1" showInputMessage="1" showErrorMessage="1" sqref="B157:F157" xr:uid="{09F1BF6B-4140-42F7-B114-946E8F6FC1F2}">
      <formula1>INDIRECT($B$156)</formula1>
    </dataValidation>
    <dataValidation type="list" allowBlank="1" showInputMessage="1" showErrorMessage="1" sqref="B110:F110" xr:uid="{76E22E61-253F-4C22-BF5D-236E339C3950}">
      <formula1>INDIRECT($B$109)</formula1>
    </dataValidation>
    <dataValidation type="list" allowBlank="1" showInputMessage="1" showErrorMessage="1" sqref="E323:F323 E308:F308 E42:F42 E58:F58 E73:F73 E88:F88 E105:F105 E120:F120 E135:F135 E152:F152 E167:F167 E182:F182 E199:F199 E214:F214 E229:F229 E246:F246 E261:F261 E276:F276 E293:F293 E27:F27" xr:uid="{C132EF66-2D09-48DC-A11C-2AF58CF25566}">
      <formula1>INDIRECT(E26)</formula1>
    </dataValidation>
    <dataValidation type="list" allowBlank="1" showInputMessage="1" showErrorMessage="1" sqref="E46:F46" xr:uid="{89CA305D-EAC0-4695-8EE9-91C15A68BECA}">
      <formula1>INDIRECT(SUBSTITUTE(D5," ","_"))</formula1>
    </dataValidation>
    <dataValidation type="list" showInputMessage="1" showErrorMessage="1" sqref="E31:F31" xr:uid="{2A9828CD-6FBD-46B9-942D-3385E44B78B5}">
      <formula1>INDIRECT(SUBSTITUTE(D5," ","_"))</formula1>
    </dataValidation>
    <dataValidation type="list" allowBlank="1" showInputMessage="1" showErrorMessage="1" sqref="E327:F327" xr:uid="{3978CCF0-8210-4F94-B3CC-CDBB38D5F032}">
      <formula1>INDIRECT(SUBSTITUTE(D5," ","_"))</formula1>
    </dataValidation>
    <dataValidation type="list" allowBlank="1" showInputMessage="1" showErrorMessage="1" sqref="E62:F62" xr:uid="{D5ADCAF4-EBD6-4B35-818E-435C909E2829}">
      <formula1>INDIRECT(SUBSTITUTE(D5," ","_"))</formula1>
    </dataValidation>
    <dataValidation type="list" allowBlank="1" showInputMessage="1" showErrorMessage="1" sqref="E77:F77" xr:uid="{A0EF36C2-C9AC-46B5-B015-9B0782228885}">
      <formula1>INDIRECT(SUBSTITUTE(D5," ","_"))</formula1>
    </dataValidation>
    <dataValidation type="list" allowBlank="1" showInputMessage="1" showErrorMessage="1" sqref="E92:F92" xr:uid="{48744262-F51A-4D18-AF21-E2F91005A7FC}">
      <formula1>INDIRECT(SUBSTITUTE(D5," ","_"))</formula1>
    </dataValidation>
    <dataValidation type="list" allowBlank="1" showInputMessage="1" showErrorMessage="1" sqref="E109:F109" xr:uid="{CBCB9F97-151F-416D-8FFA-A92E3B4CC71B}">
      <formula1>INDIRECT(SUBSTITUTE(D5," ","_"))</formula1>
    </dataValidation>
    <dataValidation type="list" allowBlank="1" showInputMessage="1" showErrorMessage="1" sqref="E124:F124" xr:uid="{24BFEAC5-E0BB-48B3-A088-BA9939015759}">
      <formula1>INDIRECT(SUBSTITUTE(D5," ","_"))</formula1>
    </dataValidation>
    <dataValidation type="list" allowBlank="1" showInputMessage="1" showErrorMessage="1" sqref="E139:F139" xr:uid="{A4E9BC41-7E4C-4C99-BC75-E31F8BDE0942}">
      <formula1>INDIRECT(SUBSTITUTE(D5," ","_"))</formula1>
    </dataValidation>
    <dataValidation type="list" allowBlank="1" showInputMessage="1" showErrorMessage="1" sqref="E156:F156" xr:uid="{80378D49-427F-4532-AB6F-1AE1BADFA95E}">
      <formula1>INDIRECT(SUBSTITUTE(D5," ","_"))</formula1>
    </dataValidation>
    <dataValidation type="list" allowBlank="1" showInputMessage="1" showErrorMessage="1" sqref="E171:F171" xr:uid="{27114FB4-0166-433E-B38E-EA1B7CDAC0A3}">
      <formula1>INDIRECT(SUBSTITUTE(D5," ","_"))</formula1>
    </dataValidation>
    <dataValidation type="list" allowBlank="1" showInputMessage="1" showErrorMessage="1" sqref="E186:F186" xr:uid="{CA4B6AAB-84C9-45F5-96E7-E98E5B3902EC}">
      <formula1>INDIRECT(SUBSTITUTE(D5," ","_"))</formula1>
    </dataValidation>
    <dataValidation type="list" allowBlank="1" showInputMessage="1" showErrorMessage="1" sqref="E203:F203" xr:uid="{10A12BF9-E053-4C8C-AF90-9CE42D640949}">
      <formula1>INDIRECT(SUBSTITUTE(D5," ","_"))</formula1>
    </dataValidation>
    <dataValidation type="list" allowBlank="1" showInputMessage="1" showErrorMessage="1" sqref="E218:F218" xr:uid="{5E86EEE7-C2D3-42DA-81CB-B3EB356A98D1}">
      <formula1>INDIRECT(SUBSTITUTE(D5," ","_"))</formula1>
    </dataValidation>
    <dataValidation type="list" allowBlank="1" showInputMessage="1" showErrorMessage="1" sqref="E233:F233" xr:uid="{39B95CC1-143A-4A28-82B7-69E2C781D822}">
      <formula1>INDIRECT(SUBSTITUTE(D5," ","_"))</formula1>
    </dataValidation>
    <dataValidation type="list" allowBlank="1" showInputMessage="1" showErrorMessage="1" sqref="E250:F250" xr:uid="{FC0BB90A-4695-4903-8C35-9B7B23E585A5}">
      <formula1>INDIRECT(SUBSTITUTE(D5," ","_"))</formula1>
    </dataValidation>
    <dataValidation type="list" allowBlank="1" showInputMessage="1" showErrorMessage="1" sqref="E265:F265" xr:uid="{A4EE4C39-BC97-42A3-9FD9-C3C38E354592}">
      <formula1>INDIRECT(SUBSTITUTE(D5," ","_"))</formula1>
    </dataValidation>
    <dataValidation type="list" allowBlank="1" showInputMessage="1" showErrorMessage="1" sqref="E280:F280" xr:uid="{4A0DAB1F-D9B2-4081-B265-F92A77C88282}">
      <formula1>INDIRECT(SUBSTITUTE(D5," ","_"))</formula1>
    </dataValidation>
    <dataValidation type="list" allowBlank="1" showInputMessage="1" showErrorMessage="1" sqref="E297:F297" xr:uid="{F4EF290A-9958-47F5-9309-6BDE5ABCF468}">
      <formula1>INDIRECT(SUBSTITUTE(D5," ","_"))</formula1>
    </dataValidation>
    <dataValidation type="list" allowBlank="1" showInputMessage="1" showErrorMessage="1" sqref="E312:F312" xr:uid="{807B3D26-3FB4-4BC7-9F6E-D70CE03E2BDB}">
      <formula1>INDIRECT(SUBSTITUTE(D5," ","_"))</formula1>
    </dataValidation>
    <dataValidation type="textLength" allowBlank="1" showInputMessage="1" showErrorMessage="1" sqref="B29:F30 B75:F76 B90:F91 B60:F61 B107:F108 B122:F123 B137:F138 B154:F155 B169:F170 B184:F185 B201:F202 B216:F217 B231:F232 B248:F249 B263:F264 B278:F279 B295:F296 B310:F311 B325:F326 B44:F45" xr:uid="{C9C0FB9A-5D21-4FB6-A640-C05E66E1D60C}">
      <formula1>0</formula1>
      <formula2>150</formula2>
    </dataValidation>
  </dataValidations>
  <pageMargins left="0.70866141732283472" right="0.70866141732283472" top="0.74803149606299213" bottom="0.74803149606299213" header="0.31496062992125984" footer="0.31496062992125984"/>
  <pageSetup scale="93" orientation="portrait" horizontalDpi="1200" verticalDpi="1200" r:id="rId1"/>
  <headerFooter>
    <oddFooter>&amp;F</oddFooter>
  </headerFooter>
  <rowBreaks count="6" manualBreakCount="6">
    <brk id="48" max="5" man="1"/>
    <brk id="95" max="5" man="1"/>
    <brk id="142" max="5" man="1"/>
    <brk id="189" max="5" man="1"/>
    <brk id="236" max="5" man="1"/>
    <brk id="283" max="5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39ED29B0-2B42-4983-B4B3-4800A6B55A11}">
          <x14:formula1>
            <xm:f>Data!$G$3:$G$67</xm:f>
          </x14:formula1>
          <xm:sqref>B2</xm:sqref>
        </x14:dataValidation>
        <x14:dataValidation type="list" allowBlank="1" showInputMessage="1" showErrorMessage="1" xr:uid="{1EF8F5A8-C113-4278-8E01-1D9672428E4A}">
          <x14:formula1>
            <xm:f>Data!$D$2:$D$11</xm:f>
          </x14:formula1>
          <xm:sqref>B5</xm:sqref>
        </x14:dataValidation>
        <x14:dataValidation type="list" allowBlank="1" showInputMessage="1" showErrorMessage="1" xr:uid="{A37CEAEB-1EB3-4E7D-B148-F6F6020FF039}">
          <x14:formula1>
            <xm:f>Data!$B$16:$B$21</xm:f>
          </x14:formula1>
          <xm:sqref>E24:F24 E39:F39 E55:F55 E70:F70 E85:F85 E102:F102 E117:F117 E132:F132 E149:F149 E164:F164 E179:F179 E196:F196 E211:F211 E226:F226 E243:F243 E258:F258 E273:F273 E290:F290 E305:F305 E320:F320</xm:sqref>
        </x14:dataValidation>
        <x14:dataValidation type="list" allowBlank="1" showInputMessage="1" showErrorMessage="1" xr:uid="{05FC5F95-8224-4B33-88BB-D1AD27016069}">
          <x14:formula1>
            <xm:f>Data!$D$14:$D$22</xm:f>
          </x14:formula1>
          <xm:sqref>E25:F25 E40:F40 E56:F56 E71:F71 E86:F86 E103:F103 E118:F118 E133:F133 E150:F150 E165:F165 E180:F180 E197:F197 E212:F212 E227:F227 E244:F244 E259:F259 E274:F274 E291:F291 E306:F306 E321:F321</xm:sqref>
        </x14:dataValidation>
        <x14:dataValidation type="list" allowBlank="1" showInputMessage="1" showErrorMessage="1" xr:uid="{9AB9C729-049C-4737-9B35-A690EA4D8ABE}">
          <x14:formula1>
            <xm:f>Data!$P$3:$Q$3</xm:f>
          </x14:formula1>
          <xm:sqref>E322:F322 E307:F307 E41:F41 E57:F57 E72:F72 E87:F87 E104:F104 E119:F119 E134:F134 E151:F151 E166:F166 E181:F181 E198:F198 E213:F213 E228:F228 E245:F245 E260:F260 E275:F275 E292:F292 E26:F26</xm:sqref>
        </x14:dataValidation>
        <x14:dataValidation type="list" allowBlank="1" showInputMessage="1" showErrorMessage="1" xr:uid="{54DECB68-E685-43DD-8C39-CEF5AA3E512C}">
          <x14:formula1>
            <xm:f>Data!$B$9:$B$12</xm:f>
          </x14:formula1>
          <xm:sqref>E324:F324 E43:F43 E28:F28 E74:F74 E89:F89 E106:F106 E121:F121 E136:F136 E153:F153 E168:F168 E183:F183 E200:F200 E215:F215 E230:F230 E247:F247 E262:F262 E277:F277 E294:F294 E309:F309 E59:F59</xm:sqref>
        </x14:dataValidation>
        <x14:dataValidation type="list" allowBlank="1" showInputMessage="1" showErrorMessage="1" xr:uid="{FC22B9AF-3472-4A05-8CC0-89461475AF24}">
          <x14:formula1>
            <xm:f>Data!$U$3:$W$3</xm:f>
          </x14:formula1>
          <xm:sqref>D5:F5</xm:sqref>
        </x14:dataValidation>
        <x14:dataValidation type="list" allowBlank="1" showInputMessage="1" showErrorMessage="1" xr:uid="{830AC592-1D66-47A7-AE65-F1D120FB27C4}">
          <x14:formula1>
            <xm:f>Data!$J$2:$J$6</xm:f>
          </x14:formula1>
          <xm:sqref>D4:F4</xm:sqref>
        </x14:dataValidation>
        <x14:dataValidation type="list" allowBlank="1" showInputMessage="1" showErrorMessage="1" xr:uid="{CEA15FB1-1E6C-443A-A2DC-B96040D5A695}">
          <x14:formula1>
            <xm:f>Data!$B$26:$B$28</xm:f>
          </x14:formula1>
          <xm:sqref>E8:F8</xm:sqref>
        </x14:dataValidation>
        <x14:dataValidation type="list" allowBlank="1" showInputMessage="1" showErrorMessage="1" xr:uid="{30B07592-A05A-4E41-A480-34DDAE1C76A6}">
          <x14:formula1>
            <xm:f>Data!$B$2:$B$3</xm:f>
          </x14:formula1>
          <xm:sqref>B8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A2008-3C66-491A-80ED-BDCD262DD0FA}">
  <dimension ref="A1:X23"/>
  <sheetViews>
    <sheetView zoomScale="99" zoomScaleNormal="99" workbookViewId="0">
      <pane ySplit="3" topLeftCell="A4" activePane="bottomLeft" state="frozen"/>
      <selection pane="bottomLeft" activeCell="P2" sqref="P2:X2"/>
    </sheetView>
  </sheetViews>
  <sheetFormatPr defaultRowHeight="15" x14ac:dyDescent="0.25"/>
  <cols>
    <col min="1" max="1" width="29.85546875" customWidth="1"/>
    <col min="2" max="3" width="0.85546875" customWidth="1"/>
    <col min="4" max="4" width="1" customWidth="1"/>
    <col min="5" max="5" width="15.42578125" customWidth="1"/>
    <col min="6" max="6" width="11.42578125" style="11" customWidth="1"/>
    <col min="7" max="7" width="5.28515625" style="11" customWidth="1"/>
    <col min="8" max="8" width="11.28515625" bestFit="1" customWidth="1"/>
    <col min="9" max="9" width="9.42578125" customWidth="1"/>
    <col min="10" max="10" width="13.42578125" bestFit="1" customWidth="1"/>
    <col min="11" max="11" width="13.42578125" customWidth="1"/>
    <col min="12" max="12" width="18" bestFit="1" customWidth="1"/>
    <col min="13" max="13" width="11.5703125" customWidth="1"/>
    <col min="14" max="14" width="6.5703125" customWidth="1"/>
    <col min="15" max="15" width="10.5703125" bestFit="1" customWidth="1"/>
  </cols>
  <sheetData>
    <row r="1" spans="1:24" x14ac:dyDescent="0.25">
      <c r="A1" s="4" t="s">
        <v>33</v>
      </c>
      <c r="B1" s="5"/>
      <c r="C1" s="5"/>
      <c r="D1" s="5"/>
      <c r="E1" s="106" t="str">
        <f>'Inspection Report'!A1</f>
        <v>Re-Inspection-Report_TFSAFE_R5SPE___00-01-00_0</v>
      </c>
      <c r="F1" s="107"/>
      <c r="G1" s="107"/>
      <c r="H1" s="107"/>
      <c r="I1" s="107"/>
      <c r="J1" s="107"/>
      <c r="K1" s="107"/>
      <c r="L1" s="107"/>
      <c r="M1" s="107"/>
      <c r="N1" s="46"/>
      <c r="O1" s="44" t="s">
        <v>34</v>
      </c>
      <c r="P1" s="108"/>
      <c r="Q1" s="109"/>
      <c r="R1" s="109"/>
      <c r="S1" s="109"/>
      <c r="T1" s="109"/>
      <c r="U1" s="109"/>
      <c r="V1" s="109"/>
      <c r="W1" s="109"/>
      <c r="X1" s="109"/>
    </row>
    <row r="2" spans="1:24" x14ac:dyDescent="0.25">
      <c r="A2" s="4" t="s">
        <v>35</v>
      </c>
      <c r="B2" s="16"/>
      <c r="C2" s="16"/>
      <c r="D2" s="16"/>
      <c r="E2" s="101" t="s">
        <v>36</v>
      </c>
      <c r="F2" s="102"/>
      <c r="G2" s="102"/>
      <c r="H2" s="103"/>
      <c r="I2" s="104" t="str">
        <f>IF('Inspection Report'!B6="","",'Inspection Report'!B6)</f>
        <v/>
      </c>
      <c r="J2" s="105"/>
      <c r="K2" s="105"/>
      <c r="L2" s="105"/>
      <c r="M2" s="105"/>
      <c r="N2" s="43"/>
      <c r="O2" s="45" t="s">
        <v>35</v>
      </c>
      <c r="P2" s="110"/>
      <c r="Q2" s="111"/>
      <c r="R2" s="111"/>
      <c r="S2" s="111"/>
      <c r="T2" s="111"/>
      <c r="U2" s="111"/>
      <c r="V2" s="111"/>
      <c r="W2" s="111"/>
      <c r="X2" s="111"/>
    </row>
    <row r="3" spans="1:24" x14ac:dyDescent="0.25">
      <c r="A3" s="4" t="s">
        <v>20</v>
      </c>
      <c r="B3" s="18"/>
      <c r="C3" s="18"/>
      <c r="D3" s="18" t="s">
        <v>37</v>
      </c>
      <c r="E3" s="8" t="s">
        <v>38</v>
      </c>
      <c r="F3" s="15" t="s">
        <v>39</v>
      </c>
      <c r="G3" s="15" t="s">
        <v>40</v>
      </c>
      <c r="H3" s="4" t="s">
        <v>41</v>
      </c>
      <c r="I3" s="13" t="s">
        <v>42</v>
      </c>
      <c r="J3" s="13" t="s">
        <v>43</v>
      </c>
      <c r="K3" s="13" t="s">
        <v>44</v>
      </c>
      <c r="L3" s="13" t="s">
        <v>45</v>
      </c>
      <c r="M3" s="8" t="s">
        <v>46</v>
      </c>
      <c r="N3" s="47" t="s">
        <v>47</v>
      </c>
      <c r="O3" s="8" t="s">
        <v>48</v>
      </c>
    </row>
    <row r="4" spans="1:24" x14ac:dyDescent="0.25">
      <c r="A4" s="3" t="str">
        <f>_xlfn.CONCAT('Inspection Report'!B3,"_",'Inspection Report'!B4,"_",'Inspection Report'!D3,"_",TEXT('Inspection Report'!D2,"DD-MM-YY"),"_",'Inspection Report'!B19)</f>
        <v>R5SPE___00-01-00_</v>
      </c>
      <c r="B4" s="19" t="str">
        <f>IF('Inspection Report'!E24="","",'Inspection Report'!E24)</f>
        <v/>
      </c>
      <c r="C4" s="19" t="str">
        <f>IF('Inspection Report'!E25="","",'Inspection Report'!E25)</f>
        <v/>
      </c>
      <c r="D4" s="19" t="e" cm="1">
        <f t="array" ref="D4">_xlfn.IFS('Inspection Report'!$D$5="Re Inspection","Re-Inspection",'Inspection Report'!$D$5="Full Inspection","Full Inspection",'Inspection Report'!$D$5="Callout","Callout")</f>
        <v>#N/A</v>
      </c>
      <c r="E4" s="17" t="str">
        <f>IF('Inspection Report'!E28="","",'Inspection Report'!E28)</f>
        <v/>
      </c>
      <c r="F4" s="12" t="str">
        <f>IF($L$4=Data!E9,'Inspection Report'!$F$23,IF($L$4=Data!E10,'Inspection Report'!$F$23,IF($L$4=Data!E13,'Inspection Report'!$F$23,"")))</f>
        <v/>
      </c>
      <c r="G4" s="12" t="str">
        <f>IF('Inspection Report'!E26="","",'Inspection Report'!E26)</f>
        <v/>
      </c>
      <c r="H4" s="10"/>
      <c r="I4" s="10"/>
      <c r="J4" s="10"/>
      <c r="K4" s="9"/>
      <c r="L4" s="7" t="str">
        <f>IF('Inspection Report'!E31="","",'Inspection Report'!E31)</f>
        <v/>
      </c>
      <c r="M4" s="14" t="str">
        <f>IF('Inspection Report'!E31="","",'Inspection Report'!$D$2)</f>
        <v/>
      </c>
      <c r="N4" s="42" t="str">
        <f>Data!K31</f>
        <v/>
      </c>
      <c r="O4" s="62">
        <f>'Inspection Report'!B8</f>
        <v>0</v>
      </c>
    </row>
    <row r="5" spans="1:24" x14ac:dyDescent="0.25">
      <c r="A5" s="3" t="str">
        <f>_xlfn.CONCAT('Inspection Report'!B3,"_",'Inspection Report'!B4,"_",'Inspection Report'!D3,"_",TEXT('Inspection Report'!D2,"DD-MM-YY"),"_",'Inspection Report'!B34)</f>
        <v>R5SPE___00-01-00_1</v>
      </c>
      <c r="B5" s="19" t="str">
        <f>IF('Inspection Report'!E39="","",'Inspection Report'!E39)</f>
        <v/>
      </c>
      <c r="C5" s="19" t="str">
        <f>IF('Inspection Report'!E40="","",'Inspection Report'!E40)</f>
        <v/>
      </c>
      <c r="D5" s="19" t="e" cm="1">
        <f t="array" ref="D5">_xlfn.IFS('Inspection Report'!$D$5="Re Inspection","Re-Inspection",'Inspection Report'!$D$5="Full Inspection","Full Inspection",'Inspection Report'!$D$5="Callout","Callout")</f>
        <v>#N/A</v>
      </c>
      <c r="E5" s="17" t="str">
        <f>IF('Inspection Report'!E43="","",'Inspection Report'!E43)</f>
        <v/>
      </c>
      <c r="F5" s="12" t="str">
        <f>IF(L5=Data!$E$9,'Inspection Report'!$F$38,IF(L5=Data!$E$10,'Inspection Report'!$F$38,IF(L5=Data!$E$13,'Inspection Report'!$F$38,"")))</f>
        <v/>
      </c>
      <c r="G5" s="12" t="str">
        <f>IF('Inspection Report'!E41="","",'Inspection Report'!E41)</f>
        <v/>
      </c>
      <c r="H5" s="10"/>
      <c r="I5" s="10"/>
      <c r="J5" s="10"/>
      <c r="K5" s="9"/>
      <c r="L5" s="7" t="str">
        <f>IF('Inspection Report'!E46="","",'Inspection Report'!E46)</f>
        <v/>
      </c>
      <c r="M5" s="14" t="str">
        <f>IF('Inspection Report'!E46="","",'Inspection Report'!$D$2)</f>
        <v/>
      </c>
      <c r="N5" s="42" t="str">
        <f>Data!K32</f>
        <v/>
      </c>
    </row>
    <row r="6" spans="1:24" x14ac:dyDescent="0.25">
      <c r="A6" s="3" t="str">
        <f>_xlfn.CONCAT('Inspection Report'!B3,"_",'Inspection Report'!B4,"_",'Inspection Report'!D3,"_",TEXT('Inspection Report'!D2,"DD-MM-YY"),"_",'Inspection Report'!B50)</f>
        <v>R5SPE___00-01-00_2</v>
      </c>
      <c r="B6" s="19" t="str">
        <f>IF('Inspection Report'!E55="","",'Inspection Report'!E55)</f>
        <v/>
      </c>
      <c r="C6" s="19" t="str">
        <f>IF('Inspection Report'!E56="","",'Inspection Report'!E56)</f>
        <v/>
      </c>
      <c r="D6" s="19" t="e" cm="1">
        <f t="array" ref="D6">_xlfn.IFS('Inspection Report'!$D$5="Re Inspection","Re-Inspection",'Inspection Report'!$D$5="Full Inspection","Full Inspection",'Inspection Report'!$D$5="Callout","Callout")</f>
        <v>#N/A</v>
      </c>
      <c r="E6" s="17" t="str">
        <f>IF('Inspection Report'!E59="","",'Inspection Report'!E59)</f>
        <v/>
      </c>
      <c r="F6" s="12" t="str">
        <f>IF(L6=Data!$E$9,'Inspection Report'!F54,IF(L6=Data!$E$10,'Inspection Report'!F54,IF(L6=Data!$E$13,'Inspection Report'!F54,"")))</f>
        <v/>
      </c>
      <c r="G6" s="12" t="str">
        <f>IF('Inspection Report'!E57="","",'Inspection Report'!E57)</f>
        <v/>
      </c>
      <c r="H6" s="10"/>
      <c r="I6" s="10"/>
      <c r="J6" s="10"/>
      <c r="K6" s="9"/>
      <c r="L6" s="7" t="str">
        <f>IF('Inspection Report'!E62="","",'Inspection Report'!E62)</f>
        <v/>
      </c>
      <c r="M6" s="14" t="str">
        <f>IF('Inspection Report'!E62="","",'Inspection Report'!$D$2)</f>
        <v/>
      </c>
      <c r="N6" s="42" t="str">
        <f>Data!K33</f>
        <v/>
      </c>
    </row>
    <row r="7" spans="1:24" x14ac:dyDescent="0.25">
      <c r="A7" s="3" t="str">
        <f>_xlfn.CONCAT('Inspection Report'!B3,"_",'Inspection Report'!B4,"_",'Inspection Report'!D3,"_",TEXT('Inspection Report'!D2,"DD-MM-YY"),"_",'Inspection Report'!B65)</f>
        <v>R5SPE___00-01-00_3</v>
      </c>
      <c r="B7" s="19" t="str">
        <f>IF('Inspection Report'!E70="","",'Inspection Report'!E70)</f>
        <v/>
      </c>
      <c r="C7" s="19" t="str">
        <f>IF('Inspection Report'!E71="","",'Inspection Report'!E71)</f>
        <v/>
      </c>
      <c r="D7" s="19" t="e" cm="1">
        <f t="array" ref="D7">_xlfn.IFS('Inspection Report'!$D$5="Re Inspection","Re-Inspection",'Inspection Report'!$D$5="Full Inspection","Full Inspection",'Inspection Report'!$D$5="Callout","Callout")</f>
        <v>#N/A</v>
      </c>
      <c r="E7" s="17" t="str">
        <f>IF('Inspection Report'!E74="","",'Inspection Report'!E74)</f>
        <v/>
      </c>
      <c r="F7" s="12" t="str">
        <f>IF(L7=Data!$E$9,'Inspection Report'!F69,IF(L7=Data!$E$10,'Inspection Report'!$F$69,IF(L7=Data!$E$13,'Inspection Report'!$F$69,"")))</f>
        <v/>
      </c>
      <c r="G7" s="12" t="str">
        <f>IF('Inspection Report'!E72="","",'Inspection Report'!E72)</f>
        <v/>
      </c>
      <c r="H7" s="10"/>
      <c r="I7" s="10"/>
      <c r="J7" s="10"/>
      <c r="K7" s="9"/>
      <c r="L7" s="7" t="str">
        <f>IF('Inspection Report'!E77="","",'Inspection Report'!E77)</f>
        <v/>
      </c>
      <c r="M7" s="14" t="str">
        <f>IF('Inspection Report'!E77="","",'Inspection Report'!$D$2)</f>
        <v/>
      </c>
      <c r="N7" s="42" t="str">
        <f>Data!K34</f>
        <v/>
      </c>
    </row>
    <row r="8" spans="1:24" x14ac:dyDescent="0.25">
      <c r="A8" s="3" t="str">
        <f>_xlfn.CONCAT('Inspection Report'!B3,"_",'Inspection Report'!B4,"_",'Inspection Report'!D3,"_",TEXT('Inspection Report'!D2,"DD-MM-YY"),"_",'Inspection Report'!B80)</f>
        <v>R5SPE___00-01-00_4</v>
      </c>
      <c r="B8" s="19" t="str">
        <f>IF('Inspection Report'!E85="","",'Inspection Report'!E85)</f>
        <v/>
      </c>
      <c r="C8" s="19" t="str">
        <f>IF('Inspection Report'!E86="","",'Inspection Report'!E86)</f>
        <v/>
      </c>
      <c r="D8" s="19" t="e" cm="1">
        <f t="array" ref="D8">_xlfn.IFS('Inspection Report'!$D$5="Re Inspection","Re-Inspection",'Inspection Report'!$D$5="Full Inspection","Full Inspection",'Inspection Report'!$D$5="Callout","Callout")</f>
        <v>#N/A</v>
      </c>
      <c r="E8" s="17" t="str">
        <f>IF('Inspection Report'!E89="","",'Inspection Report'!E89)</f>
        <v/>
      </c>
      <c r="F8" s="12" t="str">
        <f>IF(L8=Data!$E$9,'Inspection Report'!$F$84,IF(L8=Data!$E$10,'Inspection Report'!$F$84,IF(L8=Data!$E$13,'Inspection Report'!$F$84,"")))</f>
        <v/>
      </c>
      <c r="G8" s="12" t="str">
        <f>IF('Inspection Report'!E87="","",'Inspection Report'!E87)</f>
        <v/>
      </c>
      <c r="H8" s="10"/>
      <c r="I8" s="10"/>
      <c r="J8" s="10"/>
      <c r="K8" s="9"/>
      <c r="L8" s="7" t="str">
        <f>IF('Inspection Report'!E92="","",'Inspection Report'!E92)</f>
        <v/>
      </c>
      <c r="M8" s="14" t="str">
        <f>IF('Inspection Report'!E92="","",'Inspection Report'!$D$2)</f>
        <v/>
      </c>
      <c r="N8" s="42" t="str">
        <f>Data!K35</f>
        <v/>
      </c>
    </row>
    <row r="9" spans="1:24" x14ac:dyDescent="0.25">
      <c r="A9" s="3" t="str">
        <f>_xlfn.CONCAT('Inspection Report'!B3,"_",'Inspection Report'!B4,"_",'Inspection Report'!D3,"_",TEXT('Inspection Report'!D2,"DD-MM-YY"),"_",'Inspection Report'!B97)</f>
        <v>R5SPE___00-01-00_5</v>
      </c>
      <c r="B9" s="19" t="str">
        <f>IF('Inspection Report'!E102="","",'Inspection Report'!E102)</f>
        <v/>
      </c>
      <c r="C9" s="19" t="str">
        <f>IF('Inspection Report'!E103="","",'Inspection Report'!E103)</f>
        <v/>
      </c>
      <c r="D9" s="19" t="e" cm="1">
        <f t="array" ref="D9">_xlfn.IFS('Inspection Report'!$D$5="Re Inspection","Re-Inspection",'Inspection Report'!$D$5="Full Inspection","Full Inspection",'Inspection Report'!$D$5="Callout","Callout")</f>
        <v>#N/A</v>
      </c>
      <c r="E9" s="17" t="str">
        <f>IF('Inspection Report'!E106="","",'Inspection Report'!E106)</f>
        <v/>
      </c>
      <c r="F9" s="12" t="str">
        <f>IF(L9=Data!$E$9,'Inspection Report'!$F$101,IF(L9=Data!$E$10,'Inspection Report'!$F$101,IF(L9=Data!$E$13,'Inspection Report'!$F$101,"")))</f>
        <v/>
      </c>
      <c r="G9" s="12" t="str">
        <f>IF('Inspection Report'!E104="","",'Inspection Report'!E104)</f>
        <v/>
      </c>
      <c r="H9" s="10"/>
      <c r="I9" s="10"/>
      <c r="J9" s="10"/>
      <c r="K9" s="9"/>
      <c r="L9" s="7" t="str">
        <f>IF('Inspection Report'!E109="","",'Inspection Report'!E109)</f>
        <v/>
      </c>
      <c r="M9" s="14" t="str">
        <f>IF('Inspection Report'!E109="","",'Inspection Report'!$D$2)</f>
        <v/>
      </c>
      <c r="N9" s="42" t="str">
        <f>Data!K36</f>
        <v/>
      </c>
    </row>
    <row r="10" spans="1:24" x14ac:dyDescent="0.25">
      <c r="A10" s="3" t="str">
        <f>_xlfn.CONCAT('Inspection Report'!B3,"_",'Inspection Report'!B4,"_",'Inspection Report'!D3,"_",TEXT('Inspection Report'!D2,"DD-MM-YY"),"_",'Inspection Report'!B112)</f>
        <v>R5SPE___00-01-00_6</v>
      </c>
      <c r="B10" s="19" t="str">
        <f>IF('Inspection Report'!E117="","",'Inspection Report'!E117)</f>
        <v/>
      </c>
      <c r="C10" s="19" t="str">
        <f>IF('Inspection Report'!E118="","",'Inspection Report'!E118)</f>
        <v/>
      </c>
      <c r="D10" s="19" t="e" cm="1">
        <f t="array" ref="D10">_xlfn.IFS('Inspection Report'!$D$5="Re Inspection","Re-Inspection",'Inspection Report'!$D$5="Full Inspection","Full Inspection",'Inspection Report'!$D$5="Callout","Callout")</f>
        <v>#N/A</v>
      </c>
      <c r="E10" s="17" t="str">
        <f>IF('Inspection Report'!E121="","",'Inspection Report'!E121)</f>
        <v/>
      </c>
      <c r="F10" s="12" t="str">
        <f>IF(L10=Data!$E$9,'Inspection Report'!$F$116,IF(L10=Data!$E$10,'Inspection Report'!$F$116,IF(L10=Data!$E$13,'Inspection Report'!$F$116,"")))</f>
        <v/>
      </c>
      <c r="G10" s="12" t="str">
        <f>IF('Inspection Report'!E119="","",'Inspection Report'!E119)</f>
        <v/>
      </c>
      <c r="H10" s="10"/>
      <c r="I10" s="10"/>
      <c r="J10" s="10"/>
      <c r="K10" s="9"/>
      <c r="L10" s="7" t="str">
        <f>IF('Inspection Report'!E124="","",'Inspection Report'!E124)</f>
        <v/>
      </c>
      <c r="M10" s="14" t="str">
        <f>IF('Inspection Report'!E124="","",'Inspection Report'!$D$2)</f>
        <v/>
      </c>
      <c r="N10" s="42" t="str">
        <f>Data!K37</f>
        <v/>
      </c>
    </row>
    <row r="11" spans="1:24" x14ac:dyDescent="0.25">
      <c r="A11" s="3" t="str">
        <f>_xlfn.CONCAT('Inspection Report'!B3,"_",'Inspection Report'!B4,"_",'Inspection Report'!D3,"_",TEXT('Inspection Report'!D2,"DD-MM-YY"),"_",'Inspection Report'!B127)</f>
        <v>R5SPE___00-01-00_7</v>
      </c>
      <c r="B11" s="19" t="str">
        <f>IF('Inspection Report'!E132="","",'Inspection Report'!E132)</f>
        <v/>
      </c>
      <c r="C11" s="19" t="str">
        <f>IF('Inspection Report'!E133="","",'Inspection Report'!E133)</f>
        <v/>
      </c>
      <c r="D11" s="19" t="e" cm="1">
        <f t="array" ref="D11">_xlfn.IFS('Inspection Report'!$D$5="Re Inspection","Re-Inspection",'Inspection Report'!$D$5="Full Inspection","Full Inspection",'Inspection Report'!$D$5="Callout","Callout")</f>
        <v>#N/A</v>
      </c>
      <c r="E11" s="17" t="str">
        <f>IF('Inspection Report'!E136="","",'Inspection Report'!E136)</f>
        <v/>
      </c>
      <c r="F11" s="12" t="str">
        <f>IF(L11=Data!$E$9,'Inspection Report'!$F$131,IF(L11=Data!$E$10,'Inspection Report'!$F$131,IF(L11=Data!$E$13,'Inspection Report'!$F$131,"")))</f>
        <v/>
      </c>
      <c r="G11" s="12" t="str">
        <f>IF('Inspection Report'!E134="","",'Inspection Report'!E134)</f>
        <v/>
      </c>
      <c r="H11" s="10"/>
      <c r="I11" s="10"/>
      <c r="J11" s="10"/>
      <c r="K11" s="9"/>
      <c r="L11" s="7" t="str">
        <f>IF('Inspection Report'!E139="","",'Inspection Report'!E139)</f>
        <v/>
      </c>
      <c r="M11" s="14" t="str">
        <f>IF('Inspection Report'!E139="","",'Inspection Report'!$D$2)</f>
        <v/>
      </c>
      <c r="N11" s="42" t="str">
        <f>Data!K38</f>
        <v/>
      </c>
    </row>
    <row r="12" spans="1:24" x14ac:dyDescent="0.25">
      <c r="A12" s="3" t="str">
        <f>_xlfn.CONCAT('Inspection Report'!B3,"_",'Inspection Report'!B4,"_",'Inspection Report'!D3,"_",TEXT('Inspection Report'!D2,"DD-MM-YY"),"_",'Inspection Report'!B144)</f>
        <v>R5SPE___00-01-00_8</v>
      </c>
      <c r="B12" s="19" t="str">
        <f>IF('Inspection Report'!E149="","",'Inspection Report'!E149)</f>
        <v/>
      </c>
      <c r="C12" s="19" t="str">
        <f>IF('Inspection Report'!E150="","",'Inspection Report'!E150)</f>
        <v/>
      </c>
      <c r="D12" s="19" t="e" cm="1">
        <f t="array" ref="D12">_xlfn.IFS('Inspection Report'!$D$5="Re Inspection","Re-Inspection",'Inspection Report'!$D$5="Full Inspection","Full Inspection",'Inspection Report'!$D$5="Callout","Callout")</f>
        <v>#N/A</v>
      </c>
      <c r="E12" s="17" t="str">
        <f>IF('Inspection Report'!E153="","",'Inspection Report'!E153)</f>
        <v/>
      </c>
      <c r="F12" s="12" t="str">
        <f>IF(L12=Data!$E$9,'Inspection Report'!$F$148,IF(L12=Data!$E$10,'Inspection Report'!$F$148,IF(L12=Data!$E$13,'Inspection Report'!$F$148,"")))</f>
        <v/>
      </c>
      <c r="G12" s="12" t="str">
        <f>IF('Inspection Report'!E151="","",'Inspection Report'!E151)</f>
        <v/>
      </c>
      <c r="H12" s="10"/>
      <c r="I12" s="10"/>
      <c r="J12" s="10"/>
      <c r="K12" s="9"/>
      <c r="L12" s="7" t="str">
        <f>IF('Inspection Report'!E156="","",'Inspection Report'!E156)</f>
        <v/>
      </c>
      <c r="M12" s="14" t="str">
        <f>IF('Inspection Report'!E156="","",'Inspection Report'!$D$2)</f>
        <v/>
      </c>
      <c r="N12" s="42" t="str">
        <f>Data!K39</f>
        <v/>
      </c>
    </row>
    <row r="13" spans="1:24" x14ac:dyDescent="0.25">
      <c r="A13" s="3" t="str">
        <f>_xlfn.CONCAT('Inspection Report'!B3,"_",'Inspection Report'!B4,"_",'Inspection Report'!D3,"_",TEXT('Inspection Report'!D2,"DD-MM-YY"),"_",'Inspection Report'!B159)</f>
        <v>R5SPE___00-01-00_9</v>
      </c>
      <c r="B13" s="19" t="str">
        <f>IF('Inspection Report'!E164="","",'Inspection Report'!E164)</f>
        <v/>
      </c>
      <c r="C13" s="19" t="str">
        <f>IF('Inspection Report'!E165="","",'Inspection Report'!E165)</f>
        <v/>
      </c>
      <c r="D13" s="19" t="e" cm="1">
        <f t="array" ref="D13">_xlfn.IFS('Inspection Report'!$D$5="Re Inspection","Re-Inspection",'Inspection Report'!$D$5="Full Inspection","Full Inspection",'Inspection Report'!$D$5="Callout","Callout")</f>
        <v>#N/A</v>
      </c>
      <c r="E13" s="17" t="str">
        <f>IF('Inspection Report'!E168="","",'Inspection Report'!E168)</f>
        <v/>
      </c>
      <c r="F13" s="12" t="str">
        <f>IF(L13=Data!$E$9,'Inspection Report'!$F$163,IF(L13=Data!$E$10,'Inspection Report'!$F$163,IF(L13=Data!$E$13,'Inspection Report'!$F$163,"")))</f>
        <v/>
      </c>
      <c r="G13" s="12" t="str">
        <f>IF('Inspection Report'!E166="","",'Inspection Report'!E166)</f>
        <v/>
      </c>
      <c r="H13" s="10"/>
      <c r="I13" s="10"/>
      <c r="J13" s="10"/>
      <c r="K13" s="9"/>
      <c r="L13" s="7" t="str">
        <f>IF('Inspection Report'!E171="","",'Inspection Report'!E171)</f>
        <v/>
      </c>
      <c r="M13" s="14" t="str">
        <f>IF('Inspection Report'!E171="","",'Inspection Report'!$D$2)</f>
        <v/>
      </c>
      <c r="N13" s="42" t="str">
        <f>Data!K40</f>
        <v/>
      </c>
    </row>
    <row r="14" spans="1:24" x14ac:dyDescent="0.25">
      <c r="A14" s="3" t="str">
        <f>_xlfn.CONCAT('Inspection Report'!B3,"_",'Inspection Report'!B4,"_",'Inspection Report'!D3,"_",TEXT('Inspection Report'!D2,"DD-MM-YY"),"_",'Inspection Report'!B174)</f>
        <v>R5SPE___00-01-00_10</v>
      </c>
      <c r="B14" s="19" t="str">
        <f>IF('Inspection Report'!E179="","",'Inspection Report'!E179)</f>
        <v/>
      </c>
      <c r="C14" s="19" t="str">
        <f>IF('Inspection Report'!E180="","",'Inspection Report'!E180)</f>
        <v/>
      </c>
      <c r="D14" s="19" t="e" cm="1">
        <f t="array" ref="D14">_xlfn.IFS('Inspection Report'!$D$5="Re Inspection","Re-Inspection",'Inspection Report'!$D$5="Full Inspection","Full Inspection",'Inspection Report'!$D$5="Callout","Callout")</f>
        <v>#N/A</v>
      </c>
      <c r="E14" s="17" t="str">
        <f>IF('Inspection Report'!E183="","",'Inspection Report'!E183)</f>
        <v/>
      </c>
      <c r="F14" s="12" t="str">
        <f>IF(L14=Data!$E$9,'Inspection Report'!$F$178,IF(L14=Data!$E$10,'Inspection Report'!$F$178,IF(L14=Data!$E$13,'Inspection Report'!$F$178,"")))</f>
        <v/>
      </c>
      <c r="G14" s="12" t="str">
        <f>IF('Inspection Report'!E181="","",'Inspection Report'!E181)</f>
        <v/>
      </c>
      <c r="H14" s="10"/>
      <c r="I14" s="10"/>
      <c r="J14" s="10"/>
      <c r="K14" s="9"/>
      <c r="L14" s="7" t="str">
        <f>IF('Inspection Report'!E186="","",'Inspection Report'!E186)</f>
        <v/>
      </c>
      <c r="M14" s="14" t="str">
        <f>IF('Inspection Report'!E186="","",'Inspection Report'!$D$2)</f>
        <v/>
      </c>
      <c r="N14" s="42" t="str">
        <f>Data!K41</f>
        <v/>
      </c>
    </row>
    <row r="15" spans="1:24" x14ac:dyDescent="0.25">
      <c r="A15" s="3" t="str">
        <f>_xlfn.CONCAT('Inspection Report'!B3,"_",'Inspection Report'!B4,"_",'Inspection Report'!D3,"_",TEXT('Inspection Report'!D2,"DD-MM-YY"),"_",'Inspection Report'!B191)</f>
        <v>R5SPE___00-01-00_11</v>
      </c>
      <c r="B15" s="19" t="str">
        <f>IF('Inspection Report'!E196="","",'Inspection Report'!E196)</f>
        <v/>
      </c>
      <c r="C15" s="19" t="str">
        <f>IF('Inspection Report'!E197="","",'Inspection Report'!E197)</f>
        <v/>
      </c>
      <c r="D15" s="19" t="e" cm="1">
        <f t="array" ref="D15">_xlfn.IFS('Inspection Report'!$D$5="Re Inspection","Re-Inspection",'Inspection Report'!$D$5="Full Inspection","Full Inspection",'Inspection Report'!$D$5="Callout","Callout")</f>
        <v>#N/A</v>
      </c>
      <c r="E15" s="17" t="str">
        <f>IF('Inspection Report'!E200="","",'Inspection Report'!E200)</f>
        <v/>
      </c>
      <c r="F15" s="12" t="str">
        <f>IF(L15=Data!$E$9,'Inspection Report'!$F$195,IF(L15=Data!$E$10,'Inspection Report'!$F$195,IF(L15=Data!$E$13,'Inspection Report'!$F$195,"")))</f>
        <v/>
      </c>
      <c r="G15" s="12" t="str">
        <f>IF('Inspection Report'!E198="","",'Inspection Report'!E198)</f>
        <v/>
      </c>
      <c r="H15" s="10"/>
      <c r="I15" s="10"/>
      <c r="J15" s="10"/>
      <c r="K15" s="9"/>
      <c r="L15" s="7" t="str">
        <f>IF('Inspection Report'!E203="","",'Inspection Report'!E203)</f>
        <v/>
      </c>
      <c r="M15" s="14" t="str">
        <f>IF('Inspection Report'!E203="","",'Inspection Report'!$D$2)</f>
        <v/>
      </c>
      <c r="N15" s="42" t="str">
        <f>Data!K42</f>
        <v/>
      </c>
    </row>
    <row r="16" spans="1:24" x14ac:dyDescent="0.25">
      <c r="A16" s="3" t="str">
        <f>_xlfn.CONCAT('Inspection Report'!B3,"_",'Inspection Report'!B4,"_",'Inspection Report'!D3,"_",TEXT('Inspection Report'!D2,"DD-MM-YY"),"_",'Inspection Report'!B206)</f>
        <v>R5SPE___00-01-00_12</v>
      </c>
      <c r="B16" s="19" t="str">
        <f>IF('Inspection Report'!E211="","",'Inspection Report'!E211)</f>
        <v/>
      </c>
      <c r="C16" s="19" t="str">
        <f>IF('Inspection Report'!E212="","",'Inspection Report'!E212)</f>
        <v/>
      </c>
      <c r="D16" s="19" t="e" cm="1">
        <f t="array" ref="D16">_xlfn.IFS('Inspection Report'!$D$5="Re Inspection","Re-Inspection",'Inspection Report'!$D$5="Full Inspection","Full Inspection",'Inspection Report'!$D$5="Callout","Callout")</f>
        <v>#N/A</v>
      </c>
      <c r="E16" s="17" t="str">
        <f>IF('Inspection Report'!E215="","",'Inspection Report'!E215)</f>
        <v/>
      </c>
      <c r="F16" s="12" t="str">
        <f>IF(L16=Data!$E$9,'Inspection Report'!$F$210,IF(L16=Data!$E$10,'Inspection Report'!$F$210,IF(L16=Data!$E$13,'Inspection Report'!$F$210,"")))</f>
        <v/>
      </c>
      <c r="G16" s="12" t="str">
        <f>IF('Inspection Report'!E213="","",'Inspection Report'!E213)</f>
        <v/>
      </c>
      <c r="H16" s="10"/>
      <c r="I16" s="10"/>
      <c r="J16" s="10"/>
      <c r="K16" s="9"/>
      <c r="L16" s="7" t="str">
        <f>IF('Inspection Report'!E218="","",'Inspection Report'!E218)</f>
        <v/>
      </c>
      <c r="M16" s="14" t="str">
        <f>IF('Inspection Report'!E218="","",'Inspection Report'!$D$2)</f>
        <v/>
      </c>
      <c r="N16" s="42" t="str">
        <f>Data!K43</f>
        <v/>
      </c>
    </row>
    <row r="17" spans="1:14" x14ac:dyDescent="0.25">
      <c r="A17" s="3" t="str">
        <f>_xlfn.CONCAT('Inspection Report'!B3,"_",'Inspection Report'!B4,"_",'Inspection Report'!D3,"_",TEXT('Inspection Report'!D2,"DD-MM-YY"),"_",'Inspection Report'!B221)</f>
        <v>R5SPE___00-01-00_13</v>
      </c>
      <c r="B17" s="19" t="str">
        <f>IF('Inspection Report'!E226="","",'Inspection Report'!E226)</f>
        <v/>
      </c>
      <c r="C17" s="19" t="str">
        <f>IF('Inspection Report'!E227="","",'Inspection Report'!E227)</f>
        <v/>
      </c>
      <c r="D17" s="19" t="e" cm="1">
        <f t="array" ref="D17">_xlfn.IFS('Inspection Report'!$D$5="Re Inspection","Re-Inspection",'Inspection Report'!$D$5="Full Inspection","Full Inspection",'Inspection Report'!$D$5="Callout","Callout")</f>
        <v>#N/A</v>
      </c>
      <c r="E17" s="17" t="str">
        <f>IF('Inspection Report'!E230="","",'Inspection Report'!E230)</f>
        <v/>
      </c>
      <c r="F17" s="12" t="str">
        <f>IF(L17=Data!$E$9,'Inspection Report'!$F$225,IF(L17=Data!$E$10,'Inspection Report'!$F$225,IF(L17=Data!$E$13,'Inspection Report'!$F$225,"")))</f>
        <v/>
      </c>
      <c r="G17" s="12" t="str">
        <f>IF('Inspection Report'!E228="","",'Inspection Report'!E228)</f>
        <v/>
      </c>
      <c r="H17" s="10"/>
      <c r="I17" s="10"/>
      <c r="J17" s="10"/>
      <c r="K17" s="9"/>
      <c r="L17" s="7" t="str">
        <f>IF('Inspection Report'!E233="","",'Inspection Report'!E233)</f>
        <v/>
      </c>
      <c r="M17" s="14" t="str">
        <f>IF('Inspection Report'!E233="","",'Inspection Report'!$D$2)</f>
        <v/>
      </c>
      <c r="N17" s="42" t="str">
        <f>Data!K44</f>
        <v/>
      </c>
    </row>
    <row r="18" spans="1:14" x14ac:dyDescent="0.25">
      <c r="A18" s="3" t="str">
        <f>_xlfn.CONCAT('Inspection Report'!B3,"_",'Inspection Report'!B4,"_",'Inspection Report'!D3,"_",TEXT('Inspection Report'!D2,"DD-MM-YY"),"_",'Inspection Report'!B238)</f>
        <v>R5SPE___00-01-00_14</v>
      </c>
      <c r="B18" s="19" t="str">
        <f>IF('Inspection Report'!E243="","",'Inspection Report'!E243)</f>
        <v/>
      </c>
      <c r="C18" s="19" t="str">
        <f>IF('Inspection Report'!E244="","",'Inspection Report'!E244)</f>
        <v/>
      </c>
      <c r="D18" s="19" t="e" cm="1">
        <f t="array" ref="D18">_xlfn.IFS('Inspection Report'!$D$5="Re Inspection","Re-Inspection",'Inspection Report'!$D$5="Full Inspection","Full Inspection",'Inspection Report'!$D$5="Callout","Callout")</f>
        <v>#N/A</v>
      </c>
      <c r="E18" s="17" t="str">
        <f>IF('Inspection Report'!E247="","",'Inspection Report'!E247)</f>
        <v/>
      </c>
      <c r="F18" s="12" t="str">
        <f>IF(L18=Data!$E$9,'Inspection Report'!$F$242,IF(L18=Data!$E$10,'Inspection Report'!$F$242,IF(L18=Data!$E$13,'Inspection Report'!$F$242,"")))</f>
        <v/>
      </c>
      <c r="G18" s="12" t="str">
        <f>IF('Inspection Report'!E245="","",'Inspection Report'!E245)</f>
        <v/>
      </c>
      <c r="H18" s="10"/>
      <c r="I18" s="10"/>
      <c r="J18" s="10"/>
      <c r="K18" s="9"/>
      <c r="L18" s="7" t="str">
        <f>IF('Inspection Report'!E250="","",'Inspection Report'!E250)</f>
        <v/>
      </c>
      <c r="M18" s="14" t="str">
        <f>IF('Inspection Report'!E250="","",'Inspection Report'!$D$2)</f>
        <v/>
      </c>
      <c r="N18" s="42" t="str">
        <f>Data!K45</f>
        <v/>
      </c>
    </row>
    <row r="19" spans="1:14" x14ac:dyDescent="0.25">
      <c r="A19" s="3" t="str">
        <f>_xlfn.CONCAT('Inspection Report'!B3,"_",'Inspection Report'!B4,"_",'Inspection Report'!D3,"_",TEXT('Inspection Report'!D2,"DD-MM-YY"),"_",'Inspection Report'!B253)</f>
        <v>R5SPE___00-01-00_15</v>
      </c>
      <c r="B19" s="19" t="str">
        <f>IF('Inspection Report'!E258="","",'Inspection Report'!E258)</f>
        <v/>
      </c>
      <c r="C19" s="19" t="str">
        <f>IF('Inspection Report'!E259="","",'Inspection Report'!E259)</f>
        <v/>
      </c>
      <c r="D19" s="19" t="e" cm="1">
        <f t="array" ref="D19">_xlfn.IFS('Inspection Report'!$D$5="Re Inspection","Re-Inspection",'Inspection Report'!$D$5="Full Inspection","Full Inspection",'Inspection Report'!$D$5="Callout","Callout")</f>
        <v>#N/A</v>
      </c>
      <c r="E19" s="17" t="str">
        <f>IF('Inspection Report'!E262="","",'Inspection Report'!E262)</f>
        <v/>
      </c>
      <c r="F19" s="12" t="str">
        <f>IF(L19=Data!$E$9,'Inspection Report'!$F$257,IF(L19=Data!$E$10,'Inspection Report'!$F$257,IF(L19=Data!$E$13,'Inspection Report'!$F$257,"")))</f>
        <v/>
      </c>
      <c r="G19" s="12" t="str">
        <f>IF('Inspection Report'!E260="","",'Inspection Report'!E260)</f>
        <v/>
      </c>
      <c r="H19" s="10"/>
      <c r="I19" s="10"/>
      <c r="J19" s="10"/>
      <c r="K19" s="9"/>
      <c r="L19" s="7" t="str">
        <f>IF('Inspection Report'!E265="","",'Inspection Report'!E265)</f>
        <v/>
      </c>
      <c r="M19" s="14" t="str">
        <f>IF('Inspection Report'!E265="","",'Inspection Report'!$D$2)</f>
        <v/>
      </c>
      <c r="N19" s="42" t="str">
        <f>Data!K46</f>
        <v/>
      </c>
    </row>
    <row r="20" spans="1:14" x14ac:dyDescent="0.25">
      <c r="A20" s="3" t="str">
        <f>_xlfn.CONCAT('Inspection Report'!B3,"_",'Inspection Report'!B4,"_",'Inspection Report'!D3,"_",TEXT('Inspection Report'!D2,"DD-MM-YY"),"_",'Inspection Report'!B268)</f>
        <v>R5SPE___00-01-00_16</v>
      </c>
      <c r="B20" s="19" t="str">
        <f>IF('Inspection Report'!E273="","",'Inspection Report'!E273)</f>
        <v/>
      </c>
      <c r="C20" s="19" t="str">
        <f>IF('Inspection Report'!E274="","",'Inspection Report'!E274)</f>
        <v/>
      </c>
      <c r="D20" s="19" t="e" cm="1">
        <f t="array" ref="D20">_xlfn.IFS('Inspection Report'!$D$5="Re Inspection","Re-Inspection",'Inspection Report'!$D$5="Full Inspection","Full Inspection",'Inspection Report'!$D$5="Callout","Callout")</f>
        <v>#N/A</v>
      </c>
      <c r="E20" s="17" t="str">
        <f>IF('Inspection Report'!E277="","",'Inspection Report'!E277)</f>
        <v/>
      </c>
      <c r="F20" s="12" t="str">
        <f>IF(L20=Data!$E$9,'Inspection Report'!$F$272,IF(L20=Data!$E$10,'Inspection Report'!$F$272,IF(L20=Data!$E$13,'Inspection Report'!$F$272,"")))</f>
        <v/>
      </c>
      <c r="G20" s="12" t="str">
        <f>IF('Inspection Report'!E275="","",'Inspection Report'!E275)</f>
        <v/>
      </c>
      <c r="H20" s="10"/>
      <c r="I20" s="10"/>
      <c r="J20" s="10"/>
      <c r="K20" s="9"/>
      <c r="L20" s="7" t="str">
        <f>IF('Inspection Report'!E280="","",'Inspection Report'!E280)</f>
        <v/>
      </c>
      <c r="M20" s="14" t="str">
        <f>IF('Inspection Report'!E280="","",'Inspection Report'!$D$2)</f>
        <v/>
      </c>
      <c r="N20" s="42" t="str">
        <f>Data!K47</f>
        <v/>
      </c>
    </row>
    <row r="21" spans="1:14" x14ac:dyDescent="0.25">
      <c r="A21" s="3" t="str">
        <f>_xlfn.CONCAT('Inspection Report'!B3,"_",'Inspection Report'!B4,"_",'Inspection Report'!D3,"_",TEXT('Inspection Report'!D2,"DD-MM-YY"),"_",'Inspection Report'!B285)</f>
        <v>R5SPE___00-01-00_17</v>
      </c>
      <c r="B21" s="19" t="str">
        <f>IF('Inspection Report'!E290="","",'Inspection Report'!E290)</f>
        <v/>
      </c>
      <c r="C21" s="19" t="str">
        <f>IF('Inspection Report'!E291="","",'Inspection Report'!E291)</f>
        <v/>
      </c>
      <c r="D21" s="19" t="e" cm="1">
        <f t="array" ref="D21">_xlfn.IFS('Inspection Report'!$D$5="Re Inspection","Re-Inspection",'Inspection Report'!$D$5="Full Inspection","Full Inspection",'Inspection Report'!$D$5="Callout","Callout")</f>
        <v>#N/A</v>
      </c>
      <c r="E21" s="17" t="str">
        <f>IF('Inspection Report'!E294="","",'Inspection Report'!E294)</f>
        <v/>
      </c>
      <c r="F21" s="12" t="str">
        <f>IF(L21=Data!$E$9,'Inspection Report'!$F$289,IF(L21=Data!$E$10,'Inspection Report'!$F$289,IF(L21=Data!$E$13,'Inspection Report'!$F$289,"")))</f>
        <v/>
      </c>
      <c r="G21" s="12" t="str">
        <f>IF('Inspection Report'!E292="","",'Inspection Report'!E292)</f>
        <v/>
      </c>
      <c r="H21" s="10"/>
      <c r="I21" s="10"/>
      <c r="J21" s="10"/>
      <c r="K21" s="9"/>
      <c r="L21" s="7" t="str">
        <f>IF('Inspection Report'!E297="","",'Inspection Report'!E297)</f>
        <v/>
      </c>
      <c r="M21" s="14" t="str">
        <f>IF('Inspection Report'!E297="","",'Inspection Report'!$D$2)</f>
        <v/>
      </c>
      <c r="N21" s="42" t="str">
        <f>Data!K48</f>
        <v/>
      </c>
    </row>
    <row r="22" spans="1:14" x14ac:dyDescent="0.25">
      <c r="A22" s="3" t="str">
        <f>_xlfn.CONCAT('Inspection Report'!B3,"_",'Inspection Report'!B4,"_",'Inspection Report'!D3,"_",TEXT('Inspection Report'!D2,"DD-MM-YY"),"_",'Inspection Report'!B300)</f>
        <v>R5SPE___00-01-00_18</v>
      </c>
      <c r="B22" s="19" t="str">
        <f>IF('Inspection Report'!E305="","",'Inspection Report'!E305)</f>
        <v/>
      </c>
      <c r="C22" s="19" t="str">
        <f>IF('Inspection Report'!E306="","",'Inspection Report'!E306)</f>
        <v/>
      </c>
      <c r="D22" s="19" t="e" cm="1">
        <f t="array" ref="D22">_xlfn.IFS('Inspection Report'!$D$5="Re Inspection","Re-Inspection",'Inspection Report'!$D$5="Full Inspection","Full Inspection",'Inspection Report'!$D$5="Callout","Callout")</f>
        <v>#N/A</v>
      </c>
      <c r="E22" s="17" t="str">
        <f>IF('Inspection Report'!E309="","",'Inspection Report'!E309)</f>
        <v/>
      </c>
      <c r="F22" s="12" t="str">
        <f>IF(L22=Data!$E$9,'Inspection Report'!$F$304,IF(L22=Data!$E$10,'Inspection Report'!$F$304,IF(L22=Data!$E$13,'Inspection Report'!$F$304,"")))</f>
        <v/>
      </c>
      <c r="G22" s="12" t="str">
        <f>IF('Inspection Report'!E307="","",'Inspection Report'!E307)</f>
        <v/>
      </c>
      <c r="H22" s="10"/>
      <c r="I22" s="10"/>
      <c r="J22" s="10"/>
      <c r="K22" s="9"/>
      <c r="L22" s="7" t="str">
        <f>IF('Inspection Report'!E312="","",'Inspection Report'!E312)</f>
        <v/>
      </c>
      <c r="M22" s="14" t="str">
        <f>IF('Inspection Report'!E312="","",'Inspection Report'!$D$2)</f>
        <v/>
      </c>
      <c r="N22" s="42" t="str">
        <f>Data!K49</f>
        <v/>
      </c>
    </row>
    <row r="23" spans="1:14" x14ac:dyDescent="0.25">
      <c r="A23" s="3" t="str">
        <f>_xlfn.CONCAT('Inspection Report'!B3,"_",'Inspection Report'!B4,"_",'Inspection Report'!D3,"_",TEXT('Inspection Report'!D2,"DD-MM-YY"),"_",'Inspection Report'!B315)</f>
        <v>R5SPE___00-01-00_19</v>
      </c>
      <c r="B23" s="19" t="str">
        <f>IF('Inspection Report'!E320="","",'Inspection Report'!E320)</f>
        <v/>
      </c>
      <c r="C23" s="19" t="str">
        <f>IF('Inspection Report'!E321="","",'Inspection Report'!E321)</f>
        <v/>
      </c>
      <c r="D23" s="19" t="e" cm="1">
        <f t="array" ref="D23">_xlfn.IFS('Inspection Report'!$D$5="Re Inspection","Re-Inspection",'Inspection Report'!$D$5="Full Inspection","Full Inspection",'Inspection Report'!$D$5="Callout","Callout")</f>
        <v>#N/A</v>
      </c>
      <c r="E23" s="17" t="str">
        <f>IF('Inspection Report'!E324="","",'Inspection Report'!E324)</f>
        <v/>
      </c>
      <c r="F23" s="12" t="str">
        <f>IF(L23=Data!$E$9,'Inspection Report'!$F$319,IF(L23=Data!$E$10,'Inspection Report'!$F$319,IF(L23=Data!$E$13,'Inspection Report'!$F$319,"")))</f>
        <v/>
      </c>
      <c r="G23" s="12" t="str">
        <f>IF('Inspection Report'!E322="","",'Inspection Report'!E322)</f>
        <v/>
      </c>
      <c r="H23" s="10"/>
      <c r="I23" s="10"/>
      <c r="J23" s="10"/>
      <c r="K23" s="9"/>
      <c r="L23" s="7" t="str">
        <f>IF('Inspection Report'!E327="","",'Inspection Report'!E327)</f>
        <v/>
      </c>
      <c r="M23" s="14" t="str">
        <f>IF('Inspection Report'!E327="","",'Inspection Report'!$D$2)</f>
        <v/>
      </c>
      <c r="N23" s="42" t="str">
        <f>Data!K50</f>
        <v/>
      </c>
    </row>
  </sheetData>
  <sheetProtection algorithmName="SHA-512" hashValue="fRQ5h8jNWz16h9AGcoiU5RifP2cM2gQNnxX3Y997bFByyydtKne7L4eTA6CG0XX00JfGbRIiJoMBHr0R4wbUEw==" saltValue="2JA98LQICGZPMqrXCDQyLQ==" spinCount="100000" sheet="1" objects="1" scenarios="1"/>
  <mergeCells count="5">
    <mergeCell ref="E2:H2"/>
    <mergeCell ref="I2:M2"/>
    <mergeCell ref="E1:M1"/>
    <mergeCell ref="P1:X1"/>
    <mergeCell ref="P2:X2"/>
  </mergeCell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9F7FE1-FFCA-4CFC-87D6-5810754497F7}">
          <x14:formula1>
            <xm:f>Data!$B$1:$B$4</xm:f>
          </x14:formula1>
          <xm:sqref>J4:J23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13D7-A886-416F-A247-AF67BCE73B60}">
  <dimension ref="A1"/>
  <sheetViews>
    <sheetView zoomScale="80" zoomScaleNormal="80" workbookViewId="0">
      <selection activeCell="D57" sqref="D57"/>
    </sheetView>
  </sheetViews>
  <sheetFormatPr defaultRowHeight="15" x14ac:dyDescent="0.25"/>
  <cols>
    <col min="1" max="1" width="9" customWidth="1"/>
  </cols>
  <sheetData/>
  <sheetProtection algorithmName="SHA-512" hashValue="JNNcUfJDXwP8oAKydzt+lYCuVyNELZ/C4OAvTwUNEwsSL/qCfymZqEl+Hw/5aOd+vpARrfmnIUVeQ/HUbuVWMg==" saltValue="i2h2sr6sKYS7w+31janz4Q==" spinCount="100000" sheet="1" objects="1" scenarios="1"/>
  <pageMargins left="0.7" right="0.7" top="0.75" bottom="0.75" header="0.3" footer="0.3"/>
  <pageSetup paperSize="9" scale="86" orientation="portrait" r:id="rId1"/>
  <colBreaks count="1" manualBreakCount="1">
    <brk id="11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00AC-1CCD-4E8C-A0EE-E10D8E8195DD}">
  <dimension ref="A1"/>
  <sheetViews>
    <sheetView workbookViewId="0">
      <selection activeCell="B6" sqref="B6"/>
    </sheetView>
  </sheetViews>
  <sheetFormatPr defaultRowHeight="15" x14ac:dyDescent="0.25"/>
  <sheetData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Acrobat Document" dvAspect="DVASPECT_ICON" shapeId="4097" r:id="rId3">
          <objectPr defaultSize="0" r:id="rId4">
            <anchor moveWithCells="1">
              <from>
                <xdr:col>1</xdr:col>
                <xdr:colOff>152400</xdr:colOff>
                <xdr:row>5</xdr:row>
                <xdr:rowOff>28575</xdr:rowOff>
              </from>
              <to>
                <xdr:col>2</xdr:col>
                <xdr:colOff>457200</xdr:colOff>
                <xdr:row>8</xdr:row>
                <xdr:rowOff>171450</xdr:rowOff>
              </to>
            </anchor>
          </objectPr>
        </oleObject>
      </mc:Choice>
      <mc:Fallback>
        <oleObject progId="Acrobat Document" dvAspect="DVASPECT_ICON" shapeId="4097" r:id="rId3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DD38-D269-4F0C-9374-0D78EDC66D7E}">
  <dimension ref="B1:AC75"/>
  <sheetViews>
    <sheetView topLeftCell="A26" zoomScale="70" zoomScaleNormal="70" workbookViewId="0">
      <selection activeCell="G45" sqref="G45"/>
    </sheetView>
  </sheetViews>
  <sheetFormatPr defaultRowHeight="15" x14ac:dyDescent="0.25"/>
  <cols>
    <col min="2" max="2" width="26.5703125" customWidth="1"/>
    <col min="3" max="3" width="10.28515625" customWidth="1"/>
    <col min="4" max="4" width="27.28515625" customWidth="1"/>
    <col min="5" max="5" width="82.5703125" bestFit="1" customWidth="1"/>
    <col min="6" max="6" width="10.28515625" bestFit="1" customWidth="1"/>
    <col min="7" max="7" width="33.28515625" bestFit="1" customWidth="1"/>
    <col min="8" max="8" width="7.7109375" bestFit="1" customWidth="1"/>
    <col min="10" max="10" width="14.7109375" bestFit="1" customWidth="1"/>
    <col min="21" max="21" width="17.28515625" customWidth="1"/>
    <col min="22" max="22" width="18.85546875" customWidth="1"/>
    <col min="23" max="23" width="20.5703125" customWidth="1"/>
    <col min="24" max="24" width="8.85546875" customWidth="1"/>
    <col min="27" max="27" width="19.28515625" customWidth="1"/>
    <col min="28" max="28" width="18.28515625" customWidth="1"/>
    <col min="29" max="29" width="16.7109375" customWidth="1"/>
  </cols>
  <sheetData>
    <row r="1" spans="2:29" x14ac:dyDescent="0.25">
      <c r="D1" s="1" t="s">
        <v>7</v>
      </c>
      <c r="E1" s="1" t="s">
        <v>8</v>
      </c>
      <c r="F1" s="1" t="s">
        <v>3</v>
      </c>
      <c r="G1" s="1" t="s">
        <v>49</v>
      </c>
      <c r="H1" s="1" t="s">
        <v>50</v>
      </c>
      <c r="J1" s="1" t="s">
        <v>6</v>
      </c>
    </row>
    <row r="2" spans="2:29" x14ac:dyDescent="0.25">
      <c r="B2" t="s">
        <v>51</v>
      </c>
      <c r="C2">
        <v>3.5</v>
      </c>
      <c r="F2" s="1"/>
      <c r="G2" s="1"/>
      <c r="H2" s="1"/>
    </row>
    <row r="3" spans="2:29" x14ac:dyDescent="0.25">
      <c r="B3" t="s">
        <v>52</v>
      </c>
      <c r="C3">
        <v>0.5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J3" t="s">
        <v>58</v>
      </c>
      <c r="K3" t="s">
        <v>59</v>
      </c>
      <c r="P3" t="str">
        <f>B2</f>
        <v>Yes</v>
      </c>
      <c r="Q3" t="str">
        <f>B3</f>
        <v>No</v>
      </c>
      <c r="U3" t="s">
        <v>54</v>
      </c>
      <c r="V3" t="s">
        <v>60</v>
      </c>
      <c r="W3" t="s">
        <v>61</v>
      </c>
      <c r="AA3" t="s">
        <v>54</v>
      </c>
      <c r="AB3" t="s">
        <v>60</v>
      </c>
    </row>
    <row r="4" spans="2:29" ht="15.75" customHeight="1" x14ac:dyDescent="0.25">
      <c r="B4" t="s">
        <v>62</v>
      </c>
      <c r="D4" t="s">
        <v>63</v>
      </c>
      <c r="E4" t="s">
        <v>64</v>
      </c>
      <c r="F4" t="s">
        <v>65</v>
      </c>
      <c r="G4" t="s">
        <v>1</v>
      </c>
      <c r="H4" t="s">
        <v>57</v>
      </c>
      <c r="J4" t="s">
        <v>66</v>
      </c>
      <c r="K4" t="s">
        <v>67</v>
      </c>
      <c r="P4" t="s">
        <v>68</v>
      </c>
      <c r="Q4" t="s">
        <v>62</v>
      </c>
      <c r="U4" t="s">
        <v>69</v>
      </c>
      <c r="V4" t="s">
        <v>69</v>
      </c>
      <c r="W4" t="s">
        <v>69</v>
      </c>
      <c r="AA4" t="s">
        <v>70</v>
      </c>
      <c r="AB4" t="s">
        <v>70</v>
      </c>
    </row>
    <row r="5" spans="2:29" x14ac:dyDescent="0.25">
      <c r="D5" t="s">
        <v>71</v>
      </c>
      <c r="E5" t="s">
        <v>72</v>
      </c>
      <c r="F5" t="s">
        <v>73</v>
      </c>
      <c r="G5" t="s">
        <v>74</v>
      </c>
      <c r="H5" t="s">
        <v>57</v>
      </c>
      <c r="J5" t="s">
        <v>75</v>
      </c>
      <c r="K5" t="s">
        <v>67</v>
      </c>
      <c r="P5" t="s">
        <v>76</v>
      </c>
      <c r="U5" t="s">
        <v>77</v>
      </c>
      <c r="V5" t="s">
        <v>77</v>
      </c>
      <c r="W5" t="s">
        <v>77</v>
      </c>
      <c r="AA5" t="s">
        <v>78</v>
      </c>
      <c r="AB5" t="s">
        <v>78</v>
      </c>
    </row>
    <row r="6" spans="2:29" x14ac:dyDescent="0.25">
      <c r="B6" t="s">
        <v>68</v>
      </c>
      <c r="D6" t="s">
        <v>79</v>
      </c>
      <c r="F6" t="s">
        <v>80</v>
      </c>
      <c r="G6" t="s">
        <v>81</v>
      </c>
      <c r="H6" t="s">
        <v>57</v>
      </c>
      <c r="J6" t="s">
        <v>82</v>
      </c>
      <c r="V6" t="s">
        <v>83</v>
      </c>
      <c r="AA6" t="s">
        <v>84</v>
      </c>
      <c r="AB6" t="s">
        <v>84</v>
      </c>
    </row>
    <row r="7" spans="2:29" x14ac:dyDescent="0.25">
      <c r="B7" t="s">
        <v>76</v>
      </c>
      <c r="D7" t="s">
        <v>85</v>
      </c>
      <c r="E7" s="1" t="s">
        <v>45</v>
      </c>
      <c r="F7" t="s">
        <v>86</v>
      </c>
      <c r="G7" t="s">
        <v>87</v>
      </c>
      <c r="H7" t="s">
        <v>57</v>
      </c>
      <c r="V7" t="s">
        <v>88</v>
      </c>
    </row>
    <row r="8" spans="2:29" x14ac:dyDescent="0.25">
      <c r="B8" t="s">
        <v>62</v>
      </c>
      <c r="D8" t="s">
        <v>89</v>
      </c>
      <c r="F8" t="s">
        <v>90</v>
      </c>
      <c r="G8" t="s">
        <v>91</v>
      </c>
      <c r="H8" t="s">
        <v>57</v>
      </c>
      <c r="V8" t="s">
        <v>92</v>
      </c>
    </row>
    <row r="9" spans="2:29" x14ac:dyDescent="0.25">
      <c r="D9" t="s">
        <v>93</v>
      </c>
      <c r="E9" t="s">
        <v>69</v>
      </c>
      <c r="F9" t="s">
        <v>94</v>
      </c>
      <c r="G9" t="s">
        <v>95</v>
      </c>
      <c r="H9" t="s">
        <v>57</v>
      </c>
    </row>
    <row r="10" spans="2:29" x14ac:dyDescent="0.25">
      <c r="B10" t="s">
        <v>70</v>
      </c>
      <c r="D10" t="s">
        <v>96</v>
      </c>
      <c r="E10" t="s">
        <v>77</v>
      </c>
      <c r="F10" t="s">
        <v>97</v>
      </c>
      <c r="G10" t="s">
        <v>98</v>
      </c>
      <c r="H10" t="s">
        <v>99</v>
      </c>
    </row>
    <row r="11" spans="2:29" x14ac:dyDescent="0.25">
      <c r="B11" t="s">
        <v>78</v>
      </c>
      <c r="D11" s="2" t="s">
        <v>100</v>
      </c>
      <c r="E11" t="s">
        <v>83</v>
      </c>
      <c r="F11" t="s">
        <v>101</v>
      </c>
      <c r="G11" t="s">
        <v>102</v>
      </c>
      <c r="H11" t="s">
        <v>99</v>
      </c>
    </row>
    <row r="12" spans="2:29" x14ac:dyDescent="0.25">
      <c r="B12" t="s">
        <v>84</v>
      </c>
      <c r="E12" t="s">
        <v>88</v>
      </c>
      <c r="F12" t="s">
        <v>103</v>
      </c>
      <c r="G12" t="s">
        <v>104</v>
      </c>
      <c r="H12" t="s">
        <v>99</v>
      </c>
    </row>
    <row r="13" spans="2:29" x14ac:dyDescent="0.25">
      <c r="D13" s="1" t="s">
        <v>105</v>
      </c>
      <c r="E13" t="s">
        <v>92</v>
      </c>
      <c r="F13" t="s">
        <v>106</v>
      </c>
      <c r="G13" t="s">
        <v>107</v>
      </c>
      <c r="H13" t="s">
        <v>99</v>
      </c>
      <c r="AA13" t="s">
        <v>70</v>
      </c>
      <c r="AB13" t="s">
        <v>78</v>
      </c>
      <c r="AC13" t="s">
        <v>84</v>
      </c>
    </row>
    <row r="14" spans="2:29" x14ac:dyDescent="0.25">
      <c r="F14" t="s">
        <v>108</v>
      </c>
      <c r="G14" t="s">
        <v>109</v>
      </c>
      <c r="H14" t="s">
        <v>99</v>
      </c>
      <c r="L14" s="1"/>
      <c r="M14" s="1" t="s">
        <v>47</v>
      </c>
    </row>
    <row r="15" spans="2:29" x14ac:dyDescent="0.25">
      <c r="B15" s="1" t="s">
        <v>110</v>
      </c>
      <c r="D15" t="s">
        <v>111</v>
      </c>
      <c r="F15" t="s">
        <v>112</v>
      </c>
      <c r="G15" t="s">
        <v>113</v>
      </c>
      <c r="H15" t="s">
        <v>99</v>
      </c>
      <c r="L15" s="48"/>
      <c r="M15">
        <v>1</v>
      </c>
    </row>
    <row r="16" spans="2:29" x14ac:dyDescent="0.25">
      <c r="D16" t="s">
        <v>114</v>
      </c>
      <c r="F16" t="s">
        <v>115</v>
      </c>
      <c r="G16" t="s">
        <v>116</v>
      </c>
      <c r="H16" t="s">
        <v>99</v>
      </c>
      <c r="M16">
        <v>2</v>
      </c>
    </row>
    <row r="17" spans="2:22" x14ac:dyDescent="0.25">
      <c r="B17" t="s">
        <v>117</v>
      </c>
      <c r="C17">
        <v>2.5</v>
      </c>
      <c r="D17" t="s">
        <v>118</v>
      </c>
      <c r="F17" t="s">
        <v>119</v>
      </c>
      <c r="G17" t="s">
        <v>120</v>
      </c>
      <c r="H17" t="s">
        <v>99</v>
      </c>
      <c r="M17">
        <v>3</v>
      </c>
      <c r="U17" t="s">
        <v>60</v>
      </c>
      <c r="V17" t="s">
        <v>92</v>
      </c>
    </row>
    <row r="18" spans="2:22" x14ac:dyDescent="0.25">
      <c r="B18" t="s">
        <v>121</v>
      </c>
      <c r="C18">
        <v>1</v>
      </c>
      <c r="D18" t="s">
        <v>122</v>
      </c>
      <c r="F18" t="s">
        <v>123</v>
      </c>
      <c r="G18" t="s">
        <v>124</v>
      </c>
      <c r="H18" t="s">
        <v>99</v>
      </c>
      <c r="M18">
        <v>4</v>
      </c>
    </row>
    <row r="19" spans="2:22" x14ac:dyDescent="0.25">
      <c r="B19" t="s">
        <v>125</v>
      </c>
      <c r="C19">
        <v>2</v>
      </c>
      <c r="D19" t="s">
        <v>126</v>
      </c>
      <c r="F19" t="s">
        <v>127</v>
      </c>
      <c r="G19" t="s">
        <v>128</v>
      </c>
      <c r="H19" t="s">
        <v>99</v>
      </c>
    </row>
    <row r="20" spans="2:22" x14ac:dyDescent="0.25">
      <c r="B20" t="s">
        <v>129</v>
      </c>
      <c r="C20">
        <v>1</v>
      </c>
      <c r="D20" t="s">
        <v>130</v>
      </c>
      <c r="F20" t="s">
        <v>131</v>
      </c>
      <c r="G20" t="s">
        <v>132</v>
      </c>
      <c r="H20" t="s">
        <v>99</v>
      </c>
      <c r="V20" t="str" cm="1">
        <f t="array" aca="1" ref="V20:V24" ca="1">INDIRECT(SUBSTITUTE(U17," ","_"))</f>
        <v>Open</v>
      </c>
    </row>
    <row r="21" spans="2:22" x14ac:dyDescent="0.25">
      <c r="B21" t="s">
        <v>133</v>
      </c>
      <c r="C21">
        <v>2</v>
      </c>
      <c r="D21" t="s">
        <v>134</v>
      </c>
      <c r="F21" t="s">
        <v>135</v>
      </c>
      <c r="G21" t="s">
        <v>136</v>
      </c>
      <c r="H21" t="s">
        <v>137</v>
      </c>
      <c r="V21" t="str">
        <f ca="1"/>
        <v>Closed / Repaired</v>
      </c>
    </row>
    <row r="22" spans="2:22" x14ac:dyDescent="0.25">
      <c r="D22" t="s">
        <v>138</v>
      </c>
      <c r="F22" t="s">
        <v>139</v>
      </c>
      <c r="G22" t="s">
        <v>140</v>
      </c>
      <c r="H22" t="s">
        <v>137</v>
      </c>
      <c r="V22" t="str">
        <f ca="1"/>
        <v>Closed Previously</v>
      </c>
    </row>
    <row r="23" spans="2:22" x14ac:dyDescent="0.25">
      <c r="F23" t="s">
        <v>141</v>
      </c>
      <c r="G23" t="s">
        <v>142</v>
      </c>
      <c r="H23" t="s">
        <v>137</v>
      </c>
      <c r="V23" t="str">
        <f ca="1"/>
        <v>ReInsp-Open</v>
      </c>
    </row>
    <row r="24" spans="2:22" x14ac:dyDescent="0.25">
      <c r="F24" t="s">
        <v>143</v>
      </c>
      <c r="G24" t="s">
        <v>144</v>
      </c>
      <c r="H24" t="s">
        <v>137</v>
      </c>
      <c r="P24" s="41"/>
      <c r="V24" t="str">
        <f ca="1"/>
        <v>TFS Closed</v>
      </c>
    </row>
    <row r="25" spans="2:22" x14ac:dyDescent="0.25">
      <c r="F25" t="s">
        <v>145</v>
      </c>
      <c r="G25" t="s">
        <v>146</v>
      </c>
      <c r="H25" t="s">
        <v>137</v>
      </c>
      <c r="O25" s="41"/>
    </row>
    <row r="26" spans="2:22" x14ac:dyDescent="0.25">
      <c r="B26" t="s">
        <v>147</v>
      </c>
      <c r="C26">
        <v>0</v>
      </c>
      <c r="F26" t="s">
        <v>148</v>
      </c>
      <c r="G26" t="s">
        <v>149</v>
      </c>
      <c r="H26" t="s">
        <v>137</v>
      </c>
      <c r="N26" s="41"/>
    </row>
    <row r="27" spans="2:22" x14ac:dyDescent="0.25">
      <c r="B27" t="s">
        <v>150</v>
      </c>
      <c r="C27">
        <v>0</v>
      </c>
      <c r="F27" t="s">
        <v>151</v>
      </c>
      <c r="G27" t="s">
        <v>152</v>
      </c>
      <c r="H27" t="s">
        <v>137</v>
      </c>
      <c r="M27" s="41"/>
    </row>
    <row r="28" spans="2:22" x14ac:dyDescent="0.25">
      <c r="B28" t="s">
        <v>153</v>
      </c>
      <c r="C28">
        <v>0.5</v>
      </c>
      <c r="F28" t="s">
        <v>154</v>
      </c>
      <c r="G28" t="s">
        <v>155</v>
      </c>
      <c r="H28" t="s">
        <v>137</v>
      </c>
    </row>
    <row r="29" spans="2:22" x14ac:dyDescent="0.25">
      <c r="F29" t="s">
        <v>156</v>
      </c>
      <c r="G29" t="s">
        <v>157</v>
      </c>
      <c r="H29" t="s">
        <v>137</v>
      </c>
    </row>
    <row r="30" spans="2:22" x14ac:dyDescent="0.25">
      <c r="F30" t="s">
        <v>158</v>
      </c>
      <c r="G30" t="s">
        <v>159</v>
      </c>
      <c r="H30" t="s">
        <v>137</v>
      </c>
      <c r="I30" s="1" t="s">
        <v>160</v>
      </c>
      <c r="J30" s="1" t="s">
        <v>161</v>
      </c>
      <c r="K30" s="1" t="s">
        <v>47</v>
      </c>
      <c r="U30" s="55" t="s">
        <v>162</v>
      </c>
      <c r="V30" s="56"/>
    </row>
    <row r="31" spans="2:22" x14ac:dyDescent="0.25">
      <c r="F31" t="s">
        <v>163</v>
      </c>
      <c r="G31" t="s">
        <v>164</v>
      </c>
      <c r="H31" t="s">
        <v>137</v>
      </c>
      <c r="I31">
        <v>1</v>
      </c>
      <c r="J31">
        <f>SUMIF(Data!$B$2:$B$3,'Inspection Report'!E26,Data!$C$2:$C$3)+SUMIF(Data!$B$17:$B$21,'Inspection Report'!E24,Data!$C$17:$C$21)+SUMIF(Data!B26:B28,'Inspection Report'!E8,Data!C26:C28)</f>
        <v>0</v>
      </c>
      <c r="K31" t="str">
        <f>IF(J31&gt;=4,$M$15,IF(J31&gt;=2,$M$16,IF(J31&gt;=1,$M$17,"")))</f>
        <v/>
      </c>
      <c r="U31" s="57" t="s">
        <v>165</v>
      </c>
      <c r="V31" s="58">
        <f>'Inspection Report'!B19</f>
        <v>0</v>
      </c>
    </row>
    <row r="32" spans="2:22" x14ac:dyDescent="0.25">
      <c r="F32" t="s">
        <v>166</v>
      </c>
      <c r="G32" t="s">
        <v>167</v>
      </c>
      <c r="H32" t="s">
        <v>137</v>
      </c>
      <c r="I32">
        <v>2</v>
      </c>
      <c r="J32">
        <f>SUMIF(Data!$B$2:$B$3,'Inspection Report'!E41,Data!$C$2:$C$3)+SUMIF(Data!$B$17:$B$21,'Inspection Report'!E39,Data!$C$17:$C$21)+SUMIF(Data!B26:B28,'Inspection Report'!E8,Data!C26:C28)</f>
        <v>0</v>
      </c>
      <c r="K32" t="str">
        <f>IF(J32&gt;=4,$M$15,IF(J32&gt;=2,$M$16,IF(J32&gt;=1,$M$17,"")))</f>
        <v/>
      </c>
      <c r="U32" s="57" t="s">
        <v>168</v>
      </c>
      <c r="V32" s="59" t="str">
        <f>_xlfn.CONCAT(V34,V36)</f>
        <v/>
      </c>
    </row>
    <row r="33" spans="2:22" x14ac:dyDescent="0.25">
      <c r="F33" t="s">
        <v>169</v>
      </c>
      <c r="G33" t="s">
        <v>170</v>
      </c>
      <c r="H33" t="s">
        <v>137</v>
      </c>
      <c r="I33">
        <v>3</v>
      </c>
      <c r="J33">
        <f>SUMIF(Data!$B$2:$B$3,'Inspection Report'!E57,Data!$C$2:$C$3)+SUMIF(Data!$B$17:$B$21,'Inspection Report'!E55,Data!$C$17:$C$21)+SUMIF(Data!B26:B28,'Inspection Report'!E8,Data!C26:C28)</f>
        <v>0</v>
      </c>
      <c r="K33" t="str">
        <f t="shared" ref="K33:K50" si="0">IF(J33&gt;=4,$M$15,IF(J33&gt;=2,$M$16,IF(J33&gt;=1,$M$17,"")))</f>
        <v/>
      </c>
      <c r="U33" s="57" t="s">
        <v>171</v>
      </c>
      <c r="V33" s="58">
        <f>(COUNTIF('SOR Tracker'!M4:M23,"&gt;0")-1)</f>
        <v>-1</v>
      </c>
    </row>
    <row r="34" spans="2:22" x14ac:dyDescent="0.25">
      <c r="F34" t="s">
        <v>172</v>
      </c>
      <c r="G34" t="s">
        <v>172</v>
      </c>
      <c r="H34" t="s">
        <v>137</v>
      </c>
      <c r="I34">
        <v>4</v>
      </c>
      <c r="J34">
        <f>SUMIF(Data!$B$2:$B$3,'Inspection Report'!E72,Data!$C$2:$C$3)+SUMIF(Data!$B$17:$B$21,'Inspection Report'!E70,Data!$C$17:$C$21)+SUMIF(Data!B26:B28,'Inspection Report'!E8,Data!C26:C28)</f>
        <v>0</v>
      </c>
      <c r="K34" t="str">
        <f t="shared" si="0"/>
        <v/>
      </c>
      <c r="U34" s="57"/>
      <c r="V34" s="59" t="str">
        <f>IF(V33&gt;0,"-","")</f>
        <v/>
      </c>
    </row>
    <row r="35" spans="2:22" x14ac:dyDescent="0.25">
      <c r="F35" t="s">
        <v>173</v>
      </c>
      <c r="G35" t="s">
        <v>174</v>
      </c>
      <c r="H35" t="s">
        <v>137</v>
      </c>
      <c r="I35">
        <v>5</v>
      </c>
      <c r="J35">
        <f>SUMIF(Data!$B$2:$B$3,'Inspection Report'!E87,Data!$C$2:$C$3)+SUMIF(Data!$B$17:$B$21,'Inspection Report'!E85,Data!$C$17:$C$21)+SUMIF(Data!B26:B28,'Inspection Report'!E8,Data!C26:C28)</f>
        <v>0</v>
      </c>
      <c r="K35" t="str">
        <f t="shared" si="0"/>
        <v/>
      </c>
      <c r="U35" s="57"/>
      <c r="V35" s="58" t="str">
        <f>IF(V33&gt;0,V33,"")</f>
        <v/>
      </c>
    </row>
    <row r="36" spans="2:22" x14ac:dyDescent="0.25">
      <c r="F36" t="s">
        <v>175</v>
      </c>
      <c r="G36" t="s">
        <v>176</v>
      </c>
      <c r="H36" t="s">
        <v>137</v>
      </c>
      <c r="I36">
        <v>6</v>
      </c>
      <c r="J36">
        <f>SUMIF(Data!$B$2:$B$3,'Inspection Report'!E104,Data!$C$2:$C$3)+SUMIF(Data!$B$17:$B$21,'Inspection Report'!E102,Data!$C$17:$C$21)+SUMIF(Data!B26:B28,'Inspection Report'!E8,Data!C26:C28)</f>
        <v>0</v>
      </c>
      <c r="K36" t="str">
        <f t="shared" si="0"/>
        <v/>
      </c>
      <c r="U36" s="57" t="s">
        <v>177</v>
      </c>
      <c r="V36" s="58" t="str">
        <f>IF(V33&gt;0,V31+V33,"")</f>
        <v/>
      </c>
    </row>
    <row r="37" spans="2:22" x14ac:dyDescent="0.25">
      <c r="F37" t="s">
        <v>178</v>
      </c>
      <c r="G37" t="s">
        <v>179</v>
      </c>
      <c r="H37" t="s">
        <v>180</v>
      </c>
      <c r="I37">
        <v>7</v>
      </c>
      <c r="J37">
        <f>SUMIF(Data!$B$2:$B$3,'Inspection Report'!E119,Data!$C$2:$C$3)+SUMIF(Data!$B$17:$B$21,'Inspection Report'!E117,Data!$C$17:$C$21)+SUMIF(Data!B26:B28,'Inspection Report'!E8,Data!C26:C28)</f>
        <v>0</v>
      </c>
      <c r="K37" t="str">
        <f t="shared" si="0"/>
        <v/>
      </c>
      <c r="U37" s="60"/>
      <c r="V37" s="61"/>
    </row>
    <row r="38" spans="2:22" x14ac:dyDescent="0.25">
      <c r="F38" t="s">
        <v>181</v>
      </c>
      <c r="G38" t="s">
        <v>182</v>
      </c>
      <c r="H38" t="s">
        <v>180</v>
      </c>
      <c r="I38">
        <v>8</v>
      </c>
      <c r="J38">
        <f>SUMIF(Data!$B$2:$B$3,'Inspection Report'!E134,Data!$C$2:$C$3)+SUMIF(Data!$B$17:$B$21,'Inspection Report'!E132,Data!$C$17:$C$21)+SUMIF(Data!B26:B28,'Inspection Report'!E8,Data!C26:C28)</f>
        <v>0</v>
      </c>
      <c r="K38" t="str">
        <f t="shared" si="0"/>
        <v/>
      </c>
    </row>
    <row r="39" spans="2:22" x14ac:dyDescent="0.25">
      <c r="F39" t="s">
        <v>183</v>
      </c>
      <c r="G39" t="s">
        <v>184</v>
      </c>
      <c r="H39" t="s">
        <v>185</v>
      </c>
      <c r="I39">
        <v>9</v>
      </c>
      <c r="J39">
        <f>SUMIF(Data!$B$2:$B$3,'Inspection Report'!E151,Data!$C$2:$C$3)+SUMIF(Data!$B$17:$B$21,'Inspection Report'!E149,Data!$C$17:$C$21)+SUMIF(Data!B26:B28,'Inspection Report'!E8,Data!C26:C28)</f>
        <v>0</v>
      </c>
      <c r="K39" t="str">
        <f t="shared" si="0"/>
        <v/>
      </c>
    </row>
    <row r="40" spans="2:22" x14ac:dyDescent="0.25">
      <c r="F40" t="s">
        <v>186</v>
      </c>
      <c r="G40" t="s">
        <v>187</v>
      </c>
      <c r="H40" t="s">
        <v>185</v>
      </c>
      <c r="I40">
        <v>10</v>
      </c>
      <c r="J40">
        <f>SUMIF(Data!$B$2:$B$3,'Inspection Report'!E166,Data!$C$2:$C$3)+SUMIF(Data!$B$17:$B$21,'Inspection Report'!E164,Data!$C$17:$C$21)+SUMIF(Data!B26:B28,'Inspection Report'!E8,Data!C26:C28)</f>
        <v>0</v>
      </c>
      <c r="K40" t="str">
        <f t="shared" si="0"/>
        <v/>
      </c>
    </row>
    <row r="41" spans="2:22" x14ac:dyDescent="0.25">
      <c r="F41" t="s">
        <v>188</v>
      </c>
      <c r="G41" t="s">
        <v>189</v>
      </c>
      <c r="H41" t="s">
        <v>185</v>
      </c>
      <c r="I41">
        <v>11</v>
      </c>
      <c r="J41">
        <f>SUMIF(Data!$B$2:$B$3,'Inspection Report'!E181,Data!$C$2:$C$3)+SUMIF(Data!$B$17:$B$21,'Inspection Report'!E179,Data!$C$17:$C$21)+SUMIF(Data!B26:B28,'Inspection Report'!E8,Data!C26:C28)</f>
        <v>0</v>
      </c>
      <c r="K41" t="str">
        <f t="shared" si="0"/>
        <v/>
      </c>
    </row>
    <row r="42" spans="2:22" x14ac:dyDescent="0.25">
      <c r="F42" t="s">
        <v>190</v>
      </c>
      <c r="G42" t="s">
        <v>191</v>
      </c>
      <c r="H42" t="s">
        <v>192</v>
      </c>
      <c r="I42">
        <v>12</v>
      </c>
      <c r="J42">
        <f>SUMIF(Data!$B$2:$B$3,'Inspection Report'!E198,Data!$C$2:$C$3)+SUMIF(Data!$B$17:$B$21,'Inspection Report'!E196,Data!$C$17:$C$21)+SUMIF(Data!B26:B28,'Inspection Report'!E8,Data!C26:C28)</f>
        <v>0</v>
      </c>
      <c r="K42" t="str">
        <f t="shared" si="0"/>
        <v/>
      </c>
    </row>
    <row r="43" spans="2:22" x14ac:dyDescent="0.25">
      <c r="F43" t="s">
        <v>193</v>
      </c>
      <c r="G43" t="s">
        <v>194</v>
      </c>
      <c r="H43" t="s">
        <v>99</v>
      </c>
      <c r="I43">
        <v>13</v>
      </c>
      <c r="J43">
        <f>SUMIF(Data!$B$2:$B$3,'Inspection Report'!E213,Data!$C$2:$C$3)+SUMIF(Data!$B$17:$B$21,'Inspection Report'!E211,Data!$C$17:$C$21)+SUMIF(Data!B26:B28,'Inspection Report'!E8,Data!C26:C28)</f>
        <v>0</v>
      </c>
      <c r="K43" t="str">
        <f t="shared" si="0"/>
        <v/>
      </c>
    </row>
    <row r="44" spans="2:22" x14ac:dyDescent="0.25">
      <c r="B44" s="1"/>
      <c r="D44" s="1" t="s">
        <v>67</v>
      </c>
      <c r="E44" s="1" t="s">
        <v>195</v>
      </c>
      <c r="F44" t="s">
        <v>196</v>
      </c>
      <c r="G44" t="s">
        <v>197</v>
      </c>
      <c r="H44" t="s">
        <v>198</v>
      </c>
      <c r="I44">
        <v>14</v>
      </c>
      <c r="J44">
        <f>SUMIF(Data!$B$2:$B$3,'Inspection Report'!E228,Data!$C$2:$C$3)+SUMIF(Data!$B$17:$B$21,'Inspection Report'!E226,Data!$C$17:$C$21)+SUMIF(Data!B26:B28,'Inspection Report'!E8,Data!C26:C28)</f>
        <v>0</v>
      </c>
      <c r="K44" t="str">
        <f t="shared" si="0"/>
        <v/>
      </c>
    </row>
    <row r="45" spans="2:22" x14ac:dyDescent="0.25">
      <c r="F45" t="s">
        <v>199</v>
      </c>
      <c r="G45" t="s">
        <v>200</v>
      </c>
      <c r="H45" t="s">
        <v>201</v>
      </c>
      <c r="I45">
        <v>15</v>
      </c>
      <c r="J45">
        <f>SUMIF(Data!$B$2:$B$3,'Inspection Report'!E245,Data!$C$2:$C$3)+SUMIF(Data!$B$17:$B$21,'Inspection Report'!E243,Data!$C$17:$C$21)+SUMIF(Data!B26:B28,'Inspection Report'!E8,Data!C26:C28)</f>
        <v>0</v>
      </c>
      <c r="K45" t="str">
        <f t="shared" si="0"/>
        <v/>
      </c>
    </row>
    <row r="46" spans="2:22" x14ac:dyDescent="0.25">
      <c r="B46" s="1" t="s">
        <v>202</v>
      </c>
      <c r="D46" t="s">
        <v>203</v>
      </c>
      <c r="E46" s="6" t="s">
        <v>204</v>
      </c>
      <c r="F46" t="s">
        <v>205</v>
      </c>
      <c r="G46" t="s">
        <v>206</v>
      </c>
      <c r="H46" t="s">
        <v>198</v>
      </c>
      <c r="I46">
        <v>16</v>
      </c>
      <c r="J46">
        <f>SUMIF(Data!$B$2:$B$3,'Inspection Report'!E260,Data!$C$2:$C$3)+SUMIF(Data!$B$17:$B$21,'Inspection Report'!E258,Data!$C$17:$C$21)+SUMIF(Data!B26:B28,'Inspection Report'!E8,Data!C26:C28)</f>
        <v>0</v>
      </c>
      <c r="K46" t="str">
        <f t="shared" si="0"/>
        <v/>
      </c>
    </row>
    <row r="47" spans="2:22" x14ac:dyDescent="0.25">
      <c r="D47" t="s">
        <v>207</v>
      </c>
      <c r="E47" t="s">
        <v>208</v>
      </c>
      <c r="F47" t="s">
        <v>209</v>
      </c>
      <c r="G47" t="s">
        <v>210</v>
      </c>
      <c r="H47" t="s">
        <v>137</v>
      </c>
      <c r="I47">
        <v>17</v>
      </c>
      <c r="J47">
        <f>SUMIF(Data!$B$2:$B$3,'Inspection Report'!E275,Data!$C$2:$C$3)+SUMIF(Data!$B$17:$B$21,'Inspection Report'!E273,Data!$C$17:$C$21)+SUMIF(Data!B26:B28,'Inspection Report'!E8,Data!C26:C28)</f>
        <v>0</v>
      </c>
      <c r="K47" t="str">
        <f t="shared" si="0"/>
        <v/>
      </c>
    </row>
    <row r="48" spans="2:22" x14ac:dyDescent="0.25">
      <c r="B48" t="s">
        <v>67</v>
      </c>
      <c r="D48" t="s">
        <v>211</v>
      </c>
      <c r="E48" t="s">
        <v>212</v>
      </c>
      <c r="F48" t="s">
        <v>213</v>
      </c>
      <c r="G48" t="s">
        <v>214</v>
      </c>
      <c r="H48" t="s">
        <v>137</v>
      </c>
      <c r="I48">
        <v>18</v>
      </c>
      <c r="J48">
        <f>SUMIF(Data!$B$2:$B$3,'Inspection Report'!E292,Data!$C$2:$C$3)+SUMIF(Data!$B$17:$B$21,'Inspection Report'!E290,Data!$C$17:$C$21)+SUMIF(Data!B26:B28,'Inspection Report'!E8,Data!C26:C28)</f>
        <v>0</v>
      </c>
      <c r="K48" t="str">
        <f t="shared" si="0"/>
        <v/>
      </c>
    </row>
    <row r="49" spans="2:11" x14ac:dyDescent="0.25">
      <c r="B49" t="s">
        <v>59</v>
      </c>
      <c r="D49" t="s">
        <v>215</v>
      </c>
      <c r="E49" s="6" t="s">
        <v>216</v>
      </c>
      <c r="F49" t="s">
        <v>217</v>
      </c>
      <c r="G49" t="s">
        <v>218</v>
      </c>
      <c r="H49" t="s">
        <v>137</v>
      </c>
      <c r="I49">
        <v>19</v>
      </c>
      <c r="J49">
        <f>SUMIF(Data!$B$2:$B$3,'Inspection Report'!E307,Data!$C$2:$C$3)+SUMIF(Data!$B$17:$B$21,'Inspection Report'!E305,Data!$C$17:$C$21)+SUMIF(Data!B26:B28,'Inspection Report'!E8,Data!C26:C28)</f>
        <v>0</v>
      </c>
      <c r="K49" t="str">
        <f t="shared" si="0"/>
        <v/>
      </c>
    </row>
    <row r="50" spans="2:11" x14ac:dyDescent="0.25">
      <c r="B50" t="s">
        <v>219</v>
      </c>
      <c r="D50" t="s">
        <v>220</v>
      </c>
      <c r="E50" t="s">
        <v>221</v>
      </c>
      <c r="F50" t="s">
        <v>222</v>
      </c>
      <c r="G50" t="s">
        <v>223</v>
      </c>
      <c r="H50" t="s">
        <v>137</v>
      </c>
      <c r="I50">
        <v>20</v>
      </c>
      <c r="J50">
        <f>SUMIF(Data!$B$2:$B$3,'Inspection Report'!E322,Data!$C$2:$C$3)+SUMIF(Data!$B$17:$B$21,'Inspection Report'!E320,Data!$C$17:$C$21)+SUMIF(Data!B26:B28,'Inspection Report'!E8,Data!C26:C28)</f>
        <v>0</v>
      </c>
      <c r="K50" t="str">
        <f t="shared" si="0"/>
        <v/>
      </c>
    </row>
    <row r="51" spans="2:11" x14ac:dyDescent="0.25">
      <c r="D51" t="s">
        <v>224</v>
      </c>
      <c r="E51" t="s">
        <v>225</v>
      </c>
      <c r="F51" t="s">
        <v>226</v>
      </c>
      <c r="G51" t="s">
        <v>227</v>
      </c>
      <c r="H51" t="s">
        <v>198</v>
      </c>
    </row>
    <row r="52" spans="2:11" x14ac:dyDescent="0.25">
      <c r="D52" t="s">
        <v>228</v>
      </c>
      <c r="E52" t="s">
        <v>229</v>
      </c>
      <c r="F52" t="s">
        <v>230</v>
      </c>
      <c r="G52" t="s">
        <v>231</v>
      </c>
      <c r="H52" t="s">
        <v>198</v>
      </c>
    </row>
    <row r="53" spans="2:11" x14ac:dyDescent="0.25">
      <c r="D53" t="s">
        <v>232</v>
      </c>
      <c r="E53" t="s">
        <v>233</v>
      </c>
      <c r="F53" t="s">
        <v>234</v>
      </c>
      <c r="G53" t="s">
        <v>235</v>
      </c>
      <c r="H53" t="s">
        <v>198</v>
      </c>
    </row>
    <row r="54" spans="2:11" x14ac:dyDescent="0.25">
      <c r="D54" t="s">
        <v>236</v>
      </c>
      <c r="E54" t="s">
        <v>237</v>
      </c>
      <c r="F54" t="s">
        <v>238</v>
      </c>
      <c r="G54" t="s">
        <v>239</v>
      </c>
      <c r="H54" t="s">
        <v>240</v>
      </c>
    </row>
    <row r="55" spans="2:11" x14ac:dyDescent="0.25">
      <c r="D55" s="6" t="s">
        <v>241</v>
      </c>
      <c r="E55" t="s">
        <v>242</v>
      </c>
      <c r="F55" t="s">
        <v>243</v>
      </c>
      <c r="G55" t="s">
        <v>244</v>
      </c>
      <c r="H55" t="s">
        <v>198</v>
      </c>
    </row>
    <row r="56" spans="2:11" x14ac:dyDescent="0.25">
      <c r="D56" t="s">
        <v>245</v>
      </c>
      <c r="E56" s="6" t="s">
        <v>246</v>
      </c>
      <c r="F56" t="s">
        <v>247</v>
      </c>
      <c r="G56" t="s">
        <v>248</v>
      </c>
      <c r="H56" t="s">
        <v>99</v>
      </c>
    </row>
    <row r="57" spans="2:11" x14ac:dyDescent="0.25">
      <c r="D57" t="s">
        <v>249</v>
      </c>
      <c r="E57" t="s">
        <v>250</v>
      </c>
      <c r="F57" t="s">
        <v>251</v>
      </c>
      <c r="G57" t="s">
        <v>252</v>
      </c>
      <c r="H57" t="s">
        <v>192</v>
      </c>
    </row>
    <row r="58" spans="2:11" x14ac:dyDescent="0.25">
      <c r="D58" t="s">
        <v>253</v>
      </c>
      <c r="F58" t="s">
        <v>254</v>
      </c>
      <c r="G58" t="s">
        <v>255</v>
      </c>
      <c r="H58" t="s">
        <v>99</v>
      </c>
    </row>
    <row r="59" spans="2:11" x14ac:dyDescent="0.25">
      <c r="D59" t="s">
        <v>256</v>
      </c>
      <c r="F59" t="s">
        <v>257</v>
      </c>
      <c r="G59" t="s">
        <v>258</v>
      </c>
      <c r="H59" t="s">
        <v>137</v>
      </c>
    </row>
    <row r="60" spans="2:11" x14ac:dyDescent="0.25">
      <c r="D60" t="s">
        <v>259</v>
      </c>
      <c r="E60" s="6"/>
      <c r="F60" t="s">
        <v>260</v>
      </c>
      <c r="G60" t="s">
        <v>260</v>
      </c>
      <c r="H60" t="s">
        <v>261</v>
      </c>
    </row>
    <row r="61" spans="2:11" x14ac:dyDescent="0.25">
      <c r="F61" t="s">
        <v>262</v>
      </c>
      <c r="G61" t="s">
        <v>263</v>
      </c>
      <c r="H61" t="s">
        <v>137</v>
      </c>
    </row>
    <row r="62" spans="2:11" x14ac:dyDescent="0.25">
      <c r="F62" t="s">
        <v>264</v>
      </c>
      <c r="G62" t="s">
        <v>265</v>
      </c>
      <c r="H62" t="s">
        <v>137</v>
      </c>
    </row>
    <row r="63" spans="2:11" x14ac:dyDescent="0.25">
      <c r="F63" t="s">
        <v>266</v>
      </c>
      <c r="G63" t="s">
        <v>267</v>
      </c>
      <c r="H63" t="s">
        <v>198</v>
      </c>
    </row>
    <row r="64" spans="2:11" x14ac:dyDescent="0.25">
      <c r="F64" t="s">
        <v>268</v>
      </c>
      <c r="G64" t="s">
        <v>269</v>
      </c>
      <c r="H64" t="s">
        <v>192</v>
      </c>
    </row>
    <row r="65" spans="2:8" x14ac:dyDescent="0.25">
      <c r="F65" t="s">
        <v>270</v>
      </c>
      <c r="G65" t="s">
        <v>271</v>
      </c>
      <c r="H65" t="s">
        <v>192</v>
      </c>
    </row>
    <row r="66" spans="2:8" x14ac:dyDescent="0.25">
      <c r="F66" t="s">
        <v>272</v>
      </c>
      <c r="G66" t="s">
        <v>273</v>
      </c>
      <c r="H66" t="s">
        <v>198</v>
      </c>
    </row>
    <row r="67" spans="2:8" x14ac:dyDescent="0.25">
      <c r="B67" s="1" t="s">
        <v>219</v>
      </c>
      <c r="F67" t="s">
        <v>274</v>
      </c>
      <c r="G67" t="s">
        <v>275</v>
      </c>
      <c r="H67" t="s">
        <v>198</v>
      </c>
    </row>
    <row r="68" spans="2:8" x14ac:dyDescent="0.25">
      <c r="B68" s="1"/>
      <c r="D68" s="1"/>
    </row>
    <row r="69" spans="2:8" x14ac:dyDescent="0.25">
      <c r="B69" t="s">
        <v>276</v>
      </c>
    </row>
    <row r="70" spans="2:8" x14ac:dyDescent="0.25">
      <c r="B70" t="s">
        <v>277</v>
      </c>
    </row>
    <row r="71" spans="2:8" x14ac:dyDescent="0.25">
      <c r="B71" t="s">
        <v>278</v>
      </c>
    </row>
    <row r="72" spans="2:8" x14ac:dyDescent="0.25">
      <c r="B72" t="s">
        <v>279</v>
      </c>
    </row>
    <row r="73" spans="2:8" x14ac:dyDescent="0.25">
      <c r="B73" t="s">
        <v>280</v>
      </c>
    </row>
    <row r="74" spans="2:8" x14ac:dyDescent="0.25">
      <c r="B74" t="s">
        <v>281</v>
      </c>
    </row>
    <row r="75" spans="2:8" x14ac:dyDescent="0.25">
      <c r="B75" t="s">
        <v>282</v>
      </c>
    </row>
  </sheetData>
  <sheetProtection algorithmName="SHA-512" hashValue="1DXCPRS85SUAO1xNAkjIVEUoyyecsfiWhYMN8JU0/A67TLITHi7gnzLrbIUcAAUeBnBOclyM6Bc6K9K/yDLkEw==" saltValue="6/WITkJETYcdww80fGkp2w==" spinCount="100000" sheet="1" objects="1" scenarios="1"/>
  <dataValidations count="2">
    <dataValidation type="list" allowBlank="1" showInputMessage="1" showErrorMessage="1" sqref="U17" xr:uid="{C42DC3E4-88A2-43E4-820E-0C342E8CDDA9}">
      <formula1>$U$3:$V$3</formula1>
    </dataValidation>
    <dataValidation type="list" allowBlank="1" showInputMessage="1" showErrorMessage="1" sqref="V17" xr:uid="{9A14B94B-93E9-4865-ADCE-722320D52950}">
      <formula1>INDIRECT(SUBSTITUTE(U17," ","_"))</formula1>
    </dataValidation>
  </dataValidation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c64b7a12-8e9f-4b7c-a6b9-a8bb2ddbabf4">
      <UserInfo>
        <DisplayName>Forbes, David [KWT - CON]</DisplayName>
        <AccountId>28</AccountId>
        <AccountType/>
      </UserInfo>
      <UserInfo>
        <DisplayName>Seddon, Mark [KWT - CON]</DisplayName>
        <AccountId>50</AccountId>
        <AccountType/>
      </UserInfo>
      <UserInfo>
        <DisplayName>Hoy, Christopher [KWT - CON]</DisplayName>
        <AccountId>31</AccountId>
        <AccountType/>
      </UserInfo>
    </SharedWithUsers>
    <TaxCatchAll xmlns="c64b7a12-8e9f-4b7c-a6b9-a8bb2ddbabf4" xsi:nil="true"/>
    <lcf76f155ced4ddcb4097134ff3c332f xmlns="47518eb9-eb9f-43e2-8f62-0ac5b1467e79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ACEC63CB888C46AFDA654D3D4F46BA" ma:contentTypeVersion="18" ma:contentTypeDescription="Create a new document." ma:contentTypeScope="" ma:versionID="a31e6f78a9d5c7629470372376da6448">
  <xsd:schema xmlns:xsd="http://www.w3.org/2001/XMLSchema" xmlns:xs="http://www.w3.org/2001/XMLSchema" xmlns:p="http://schemas.microsoft.com/office/2006/metadata/properties" xmlns:ns2="c64b7a12-8e9f-4b7c-a6b9-a8bb2ddbabf4" xmlns:ns3="47518eb9-eb9f-43e2-8f62-0ac5b1467e79" targetNamespace="http://schemas.microsoft.com/office/2006/metadata/properties" ma:root="true" ma:fieldsID="cf210afa8e872cf1e38db9358750f51d" ns2:_="" ns3:_="">
    <xsd:import namespace="c64b7a12-8e9f-4b7c-a6b9-a8bb2ddbabf4"/>
    <xsd:import namespace="47518eb9-eb9f-43e2-8f62-0ac5b1467e7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b7a12-8e9f-4b7c-a6b9-a8bb2ddbabf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305eb37-9868-4b71-ba3e-7ef1dcacb238}" ma:internalName="TaxCatchAll" ma:showField="CatchAllData" ma:web="c64b7a12-8e9f-4b7c-a6b9-a8bb2ddbab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18eb9-eb9f-43e2-8f62-0ac5b1467e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48dc39e-9fbb-4a44-bda7-f8dbd564b1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E3897C-587A-44A6-A22A-FB767B3EF9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2135A-EA06-4CB1-82A3-41C38511DBC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DB6839F-B060-4962-BB6D-A5E7369A2595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47518eb9-eb9f-43e2-8f62-0ac5b1467e79"/>
    <ds:schemaRef ds:uri="c64b7a12-8e9f-4b7c-a6b9-a8bb2ddbabf4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DCD44D85-CCF1-42E2-8DD3-EC92555D95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4b7a12-8e9f-4b7c-a6b9-a8bb2ddbabf4"/>
    <ds:schemaRef ds:uri="47518eb9-eb9f-43e2-8f62-0ac5b1467e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96dff88-54fc-4855-94b0-415cd9876a47}" enabled="0" method="" siteId="{596dff88-54fc-4855-94b0-415cd9876a4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16</vt:i4>
      </vt:variant>
    </vt:vector>
  </HeadingPairs>
  <TitlesOfParts>
    <vt:vector size="21" baseType="lpstr">
      <vt:lpstr>Inspection Report</vt:lpstr>
      <vt:lpstr>SOR Tracker</vt:lpstr>
      <vt:lpstr>Cover Sheet</vt:lpstr>
      <vt:lpstr>Cover Note</vt:lpstr>
      <vt:lpstr>Data</vt:lpstr>
      <vt:lpstr>BritishStandard</vt:lpstr>
      <vt:lpstr>BS</vt:lpstr>
      <vt:lpstr>BS_7671</vt:lpstr>
      <vt:lpstr>Call_Out</vt:lpstr>
      <vt:lpstr>Callout</vt:lpstr>
      <vt:lpstr>Full_Inspection</vt:lpstr>
      <vt:lpstr>MEW</vt:lpstr>
      <vt:lpstr>Military</vt:lpstr>
      <vt:lpstr>NEC</vt:lpstr>
      <vt:lpstr>No</vt:lpstr>
      <vt:lpstr>O_M_Provider</vt:lpstr>
      <vt:lpstr>'Inspection Report'!Print_Area</vt:lpstr>
      <vt:lpstr>Re_Inspection</vt:lpstr>
      <vt:lpstr>Reference</vt:lpstr>
      <vt:lpstr>Task_Force_SAFE</vt:lpstr>
      <vt:lpstr>Yes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NSMith</dc:creator>
  <cp:keywords/>
  <dc:description/>
  <cp:lastModifiedBy>Thompson, Glenn  [JOR - CON]</cp:lastModifiedBy>
  <cp:revision/>
  <dcterms:created xsi:type="dcterms:W3CDTF">2020-07-28T23:45:25Z</dcterms:created>
  <dcterms:modified xsi:type="dcterms:W3CDTF">2025-12-19T18:26:37Z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0x010100F9ACEC63CB888C46AFDA654D3D4F46BA</vt:lpwstr>
  </property>
  <property fmtid="{D5CDD505-2E9C-101B-9397-08002B2CF9AE}" pid="3" name="WorkbookGuid">
    <vt:lpwstr>45094d69-9e28-42c1-b567-ecc124581fb4</vt:lpwstr>
  </property>
  <property fmtid="{D5CDD505-2E9C-101B-9397-08002B2CF9AE}" pid="4" name="MediaServiceImageTags">
    <vt:lpwstr/>
  </property>
</Properties>
</file>