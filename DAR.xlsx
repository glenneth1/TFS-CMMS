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/>
  <mc:AlternateContent xmlns:mc="http://schemas.openxmlformats.org/markup-compatibility/2006">
    <mc:Choice Requires="x15">
      <x15ac:absPath xmlns:x15ac="http://schemas.microsoft.com/office/spreadsheetml/2010/11/ac" url="C:\Users\GThompson\Downloads\"/>
    </mc:Choice>
  </mc:AlternateContent>
  <xr:revisionPtr revIDLastSave="9" documentId="13_ncr:1_{7D01A929-5867-4D52-85EA-912A4D8CB717}" xr6:coauthVersionLast="47" xr6:coauthVersionMax="47" xr10:uidLastSave="{B8FFF226-3240-4938-AB51-17FB8B8722C6}"/>
  <bookViews>
    <workbookView xWindow="14370" yWindow="435" windowWidth="14370" windowHeight="14985" tabRatio="500" xr2:uid="{00000000-000D-0000-FFFF-FFFF00000000}"/>
  </bookViews>
  <sheets>
    <sheet name="Activity" sheetId="1" r:id="rId1"/>
    <sheet name="Materials" sheetId="2" r:id="rId2"/>
    <sheet name="DATA" sheetId="3" state="hidden" r:id="rId3"/>
  </sheets>
  <definedNames>
    <definedName name="_xlnm.Print_Area" localSheetId="0">Activity!$A$1:$H$70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" i="2" l="1"/>
  <c r="E2" i="2"/>
  <c r="E1" i="2"/>
  <c r="H60" i="1"/>
  <c r="D56" i="1"/>
  <c r="D55" i="1"/>
  <c r="C6" i="1"/>
  <c r="F56" i="1" s="1"/>
</calcChain>
</file>

<file path=xl/sharedStrings.xml><?xml version="1.0" encoding="utf-8"?>
<sst xmlns="http://schemas.openxmlformats.org/spreadsheetml/2006/main" count="222" uniqueCount="172">
  <si>
    <t>TaskForce SAFE CENTCOM</t>
  </si>
  <si>
    <t>Daily Activity Report</t>
  </si>
  <si>
    <t>Date:</t>
  </si>
  <si>
    <t>Camp / Location:</t>
  </si>
  <si>
    <t>Green Village</t>
  </si>
  <si>
    <t>Team Member Name:</t>
  </si>
  <si>
    <t>Chris Duprey</t>
  </si>
  <si>
    <t>Team#:</t>
  </si>
  <si>
    <t>Team Mate Name:</t>
  </si>
  <si>
    <t>Jamie McGuire</t>
  </si>
  <si>
    <t>Toolbox Topic (title):</t>
  </si>
  <si>
    <t>Weekly wrap-up for fall protection</t>
  </si>
  <si>
    <t>Attend Daily         Safety Brief?</t>
  </si>
  <si>
    <t>Yes</t>
  </si>
  <si>
    <t>Site Lead:</t>
  </si>
  <si>
    <t>Activity Record:</t>
  </si>
  <si>
    <t>TIME</t>
  </si>
  <si>
    <t>Activity:</t>
  </si>
  <si>
    <t>Notes:</t>
  </si>
  <si>
    <t>Safety</t>
  </si>
  <si>
    <t xml:space="preserve">HECP Package Submitted to Site Lead </t>
  </si>
  <si>
    <t>Report(s) Submitted To QA/QC</t>
  </si>
  <si>
    <t>Completed Reports Submitted to QA/QC</t>
  </si>
  <si>
    <t>Report TAG ID</t>
  </si>
  <si>
    <t>Submitted</t>
  </si>
  <si>
    <t>Full Name:</t>
  </si>
  <si>
    <t>Date</t>
  </si>
  <si>
    <t>By entering my full name and date above; I hereby acknowledge that the information contained on this form is complete and accurate.</t>
  </si>
  <si>
    <t xml:space="preserve">    </t>
  </si>
  <si>
    <t>IMMEDIATE REPAIR PACKAGE - INVENTORY</t>
  </si>
  <si>
    <t>SITE:</t>
  </si>
  <si>
    <t>INVENTORY BY:</t>
  </si>
  <si>
    <t>INVENTORY DATE:</t>
  </si>
  <si>
    <t>ITEM DESCRIPTION</t>
  </si>
  <si>
    <t>MAKE</t>
  </si>
  <si>
    <t>PART NUMBER</t>
  </si>
  <si>
    <t>UOM</t>
  </si>
  <si>
    <t>STD ISSUE QTY</t>
  </si>
  <si>
    <t>ISSUED QTY</t>
  </si>
  <si>
    <t>CURRENT QTY ON HAND</t>
  </si>
  <si>
    <t>WIRE CONNECTOR, TWISTER, 18-6 AWG, GRAY, 50EA/BOX</t>
  </si>
  <si>
    <t>IDEAL</t>
  </si>
  <si>
    <t>30-342</t>
  </si>
  <si>
    <t>BOX</t>
  </si>
  <si>
    <t>WIRE CONNECTOR, WING-NUT, 18-8 AWG, RED, 100EA/BOX</t>
  </si>
  <si>
    <t>30-452</t>
  </si>
  <si>
    <t>WIRE CONNECTOR, WING-NUT, 18-10 AWG, YELLOW, 100EA/BOX</t>
  </si>
  <si>
    <t>30-451</t>
  </si>
  <si>
    <t>TAPE, VINYL ELECTRICAL COLOR CODING, BROWN, 3/4" x 66'</t>
  </si>
  <si>
    <t>3M</t>
  </si>
  <si>
    <t>35 BROWN</t>
  </si>
  <si>
    <t>EA</t>
  </si>
  <si>
    <t>TAPE, VINYL ELECTRICAL COLOR CODING, BLUE, 3/4" x 66'</t>
  </si>
  <si>
    <t>35 BLUE</t>
  </si>
  <si>
    <t>TAPE, VINYL ELECTRICAL COLOR CODING, GRAY, 3/4" x 66'</t>
  </si>
  <si>
    <t>35 GRAY</t>
  </si>
  <si>
    <t>TAPE, VINYL ELECTRICAL COLOR CODING, SUPER 33+ BLACK, 3/4" x 66'</t>
  </si>
  <si>
    <t>SUPER 33+</t>
  </si>
  <si>
    <t>CABLE TIE, BLACK, 18", 50EA/PK</t>
  </si>
  <si>
    <t>THOMAS &amp; BETTS</t>
  </si>
  <si>
    <t>TY5275MX</t>
  </si>
  <si>
    <t>PK</t>
  </si>
  <si>
    <t>SCREW, MACHINE FLAT COUNTERSUNK SLOT, #6-32 x 1-1/2, 2FE13, 100EA/PK</t>
  </si>
  <si>
    <t>FABORY</t>
  </si>
  <si>
    <t>U24540.013.0150</t>
  </si>
  <si>
    <t>BRASS PINS M4 x 25MM, 100EA/PK</t>
  </si>
  <si>
    <t>FINE LITE</t>
  </si>
  <si>
    <t>CF-BPIN25</t>
  </si>
  <si>
    <t>SWITCH SOCKET, 13A 250V 2G DP</t>
  </si>
  <si>
    <t>MK</t>
  </si>
  <si>
    <t>K2747WHI</t>
  </si>
  <si>
    <t>SOCKET, RCD PROTECTED SINGLE SWITCHED</t>
  </si>
  <si>
    <t>SCHNEIDER ELECTRIC</t>
  </si>
  <si>
    <t>VT1108</t>
  </si>
  <si>
    <t>PLATE SWITCH, 10A 2G SP 2 WAY</t>
  </si>
  <si>
    <t>K4872WHI</t>
  </si>
  <si>
    <t>SWITCH, 1-GANG 1 WAY</t>
  </si>
  <si>
    <t>WIRING EXCEL ACCESSORIES</t>
  </si>
  <si>
    <t>EXW11S</t>
  </si>
  <si>
    <t>FIXING WOOD SCREW 100PCS/PK</t>
  </si>
  <si>
    <t>RING TERMINAL CONNECTOR, #10, 12-10 AWG, 50EA/BT</t>
  </si>
  <si>
    <t>RC10-10</t>
  </si>
  <si>
    <t>PRESSURE TERMINAL CONNECTOR, FORK TERMINAL, #10, 12-10 AWG CU, YELLOW, 100EA/BT</t>
  </si>
  <si>
    <t>RC10-10F</t>
  </si>
  <si>
    <t>SINGLE CABLE, 2.5MM, GREEN YELLOW, 100M</t>
  </si>
  <si>
    <t>ELAND CABLES LTD</t>
  </si>
  <si>
    <t>A2XGY0025-100</t>
  </si>
  <si>
    <t>RL</t>
  </si>
  <si>
    <t>CIRCUIT BREAKER, MINIATURE, 20A 1P C, 230/400V</t>
  </si>
  <si>
    <t>A9F79120</t>
  </si>
  <si>
    <t>CIRCUIT BREAKER, MINIATURE, 32A 1P C, 230/400V</t>
  </si>
  <si>
    <t>A9F89132</t>
  </si>
  <si>
    <t>PIPE GROUND CLAMP, 10-2 AWG, 1/2" - 1"</t>
  </si>
  <si>
    <t>ERITECH</t>
  </si>
  <si>
    <t>CWP1JU</t>
  </si>
  <si>
    <t>ELECTRICAL KNOCKOUT HOLE PLUGS, 1"</t>
  </si>
  <si>
    <t>STIMPSON</t>
  </si>
  <si>
    <t>D3833</t>
  </si>
  <si>
    <t>ELECTRICAL KNOCKOUT HOLE PLUGS, 1/2"</t>
  </si>
  <si>
    <t>D3683</t>
  </si>
  <si>
    <t>TAPE, VINYL ELECTRICAL COLOR CODING, YELLOW/GREEN, 3/4" x 66'</t>
  </si>
  <si>
    <t>35 YELLOW/GREEN</t>
  </si>
  <si>
    <t>GLANDS, COMPRESSION 20MM, 10/PK</t>
  </si>
  <si>
    <t>30 AMP TERMINAL BLOCK STRIP CONNECTOR WIRE JOINER</t>
  </si>
  <si>
    <t>BLANKING PLATE FOR CIRCUIT BREAKER</t>
  </si>
  <si>
    <t>SCHNEIDER</t>
  </si>
  <si>
    <t>1 GANG 13AMP SWITCHED SCOKET METAL</t>
  </si>
  <si>
    <t>2 GANG 13AMP SWITCHED SOCKET METAL</t>
  </si>
  <si>
    <t>1 GANG LIGHTSWITCH METAL</t>
  </si>
  <si>
    <t>2 GANG LIGHTSWITCH METAL</t>
  </si>
  <si>
    <t>SINGLE CABLE, 4MM, GREEN YELLOW, 100M</t>
  </si>
  <si>
    <t>A2XGY0040-100</t>
  </si>
  <si>
    <t>SINGLE CABLE, 6MM, GREEN YELLOW, 100M</t>
  </si>
  <si>
    <t>A2XGY0060-100</t>
  </si>
  <si>
    <t>CIRCUIT BREAKER, MINIATURE, 16A 1P B, 230/400V</t>
  </si>
  <si>
    <t>A9F88116</t>
  </si>
  <si>
    <t>GROMMET PUSH-IN, RUBBER 20MM, 10/PK</t>
  </si>
  <si>
    <t>DANGER 400 VOLTS - SAFETY LABELS - 50 X 25MM - ROLL OF 250</t>
  </si>
  <si>
    <t>WIRING COLOURS TO TWO VERSION OF BS7671 - HARMONISATION WARNING LABELS 76X51 (50 LABELS)</t>
  </si>
  <si>
    <t xml:space="preserve">  </t>
  </si>
  <si>
    <t>Base</t>
  </si>
  <si>
    <t>AL ASAD</t>
  </si>
  <si>
    <t>No</t>
  </si>
  <si>
    <t>AL DHAFRA AB</t>
  </si>
  <si>
    <t>AL QA'IM</t>
  </si>
  <si>
    <t>AL RIFFA AB</t>
  </si>
  <si>
    <t>AL UDEID AB</t>
  </si>
  <si>
    <t>ALI AL SALEM AB</t>
  </si>
  <si>
    <t>ARIFJAN</t>
  </si>
  <si>
    <t>AR RIYAN</t>
  </si>
  <si>
    <t>ATG</t>
  </si>
  <si>
    <t>AZRAQ AB</t>
  </si>
  <si>
    <t>BADGER</t>
  </si>
  <si>
    <t>BDSC</t>
  </si>
  <si>
    <t>BESMAYA</t>
  </si>
  <si>
    <t>BUEHRING</t>
  </si>
  <si>
    <t>CAMP NARVIK</t>
  </si>
  <si>
    <t>CAMP OWEN</t>
  </si>
  <si>
    <t>CAMP PONGO</t>
  </si>
  <si>
    <t>CAMP XIPHOS</t>
  </si>
  <si>
    <t>CAS</t>
  </si>
  <si>
    <t>CAS-SOUTH</t>
  </si>
  <si>
    <t>ERBIL</t>
  </si>
  <si>
    <t>FOB-NORTH</t>
  </si>
  <si>
    <t>GREEN VILLAGE</t>
  </si>
  <si>
    <t>H-5</t>
  </si>
  <si>
    <t>ISA AB</t>
  </si>
  <si>
    <t>JTC</t>
  </si>
  <si>
    <t>K1</t>
  </si>
  <si>
    <t>KA2AB</t>
  </si>
  <si>
    <t>KASOTC</t>
  </si>
  <si>
    <t>KFAB</t>
  </si>
  <si>
    <t>KNB</t>
  </si>
  <si>
    <t>MANION-TQ</t>
  </si>
  <si>
    <t>MFO-SOUTH</t>
  </si>
  <si>
    <t>MONSABERT</t>
  </si>
  <si>
    <t>MSAB</t>
  </si>
  <si>
    <t>MTH</t>
  </si>
  <si>
    <t>NOC-E</t>
  </si>
  <si>
    <t>PHRB</t>
  </si>
  <si>
    <t>Q-WEST</t>
  </si>
  <si>
    <t>REDLEG</t>
  </si>
  <si>
    <t>REMOTE SITE 6</t>
  </si>
  <si>
    <t>SAN AS NIKHIL</t>
  </si>
  <si>
    <t>SHADDADI</t>
  </si>
  <si>
    <t>SHARURAH</t>
  </si>
  <si>
    <t>SIM CENTER</t>
  </si>
  <si>
    <t>TA1</t>
  </si>
  <si>
    <t>TAJI</t>
  </si>
  <si>
    <t>TITIN</t>
  </si>
  <si>
    <t>TOWER 22</t>
  </si>
  <si>
    <t>UNION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</si>
</sst>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h:mm;@"/>
    <numFmt numFmtId="166" formatCode="[$-409]d\-mmm\-yy;@"/>
  </numFmts>
  <fonts count="20">
    <font>
      <sz val="11"/>
      <color theme="1"/>
      <name val="Calibri"/>
      <family val="2"/>
      <charset val="1"/>
    </font>
    <font>
      <sz val="10"/>
      <color rgb="FF000000"/>
      <name val="Times New Roman"/>
      <family val="1"/>
      <charset val="1"/>
    </font>
    <font>
      <sz val="2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/>
      <i/>
      <sz val="11"/>
      <color theme="1"/>
      <name val="Calibri"/>
      <family val="2"/>
      <charset val="1"/>
    </font>
    <font>
      <b/>
      <sz val="8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6"/>
      <color theme="1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1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/>
        <bgColor rgb="FFF2F2F2"/>
      </patternFill>
    </fill>
  </fills>
  <borders count="21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</borders>
  <cellStyleXfs count="20"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9" fontId="19" fillId="0" borderId="0" applyBorder="0" applyProtection="0"/>
  </cellStyleXfs>
  <cellXfs count="9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164" fontId="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 applyProtection="1">
      <alignment horizontal="left" vertical="top"/>
      <protection locked="0"/>
    </xf>
    <xf numFmtId="0" fontId="4" fillId="0" borderId="0" xfId="0" applyFont="1" applyAlignment="1">
      <alignment horizontal="right" vertical="center" wrapText="1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left" vertical="center"/>
      <protection locked="0"/>
    </xf>
    <xf numFmtId="0" fontId="3" fillId="0" borderId="0" xfId="0" applyFont="1"/>
    <xf numFmtId="0" fontId="0" fillId="0" borderId="0" xfId="0" applyAlignment="1">
      <alignment horizontal="left" vertical="top"/>
    </xf>
    <xf numFmtId="0" fontId="4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3" xfId="0" applyFont="1" applyBorder="1" applyAlignment="1">
      <alignment horizontal="center"/>
    </xf>
    <xf numFmtId="165" fontId="0" fillId="3" borderId="3" xfId="0" applyNumberFormat="1" applyFill="1" applyBorder="1" applyAlignment="1" applyProtection="1">
      <alignment horizontal="left" vertical="top"/>
      <protection locked="0"/>
    </xf>
    <xf numFmtId="165" fontId="0" fillId="0" borderId="0" xfId="0" applyNumberFormat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" fillId="0" borderId="3" xfId="0" applyFont="1" applyBorder="1" applyAlignment="1">
      <alignment horizontal="right" vertical="center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7" fillId="0" borderId="0" xfId="0" applyFont="1" applyProtection="1">
      <protection locked="0" hidden="1"/>
    </xf>
    <xf numFmtId="0" fontId="3" fillId="4" borderId="0" xfId="0" applyFont="1" applyFill="1" applyAlignment="1" applyProtection="1">
      <alignment horizontal="center" vertical="center"/>
      <protection locked="0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4" xfId="0" applyFont="1" applyBorder="1" applyAlignment="1">
      <alignment horizontal="center" vertical="top"/>
    </xf>
    <xf numFmtId="0" fontId="8" fillId="0" borderId="5" xfId="0" applyFont="1" applyBorder="1" applyAlignment="1">
      <alignment horizontal="center" vertical="top"/>
    </xf>
    <xf numFmtId="0" fontId="0" fillId="2" borderId="9" xfId="0" applyFill="1" applyBorder="1" applyAlignment="1">
      <alignment horizontal="left" vertical="top"/>
    </xf>
    <xf numFmtId="0" fontId="7" fillId="0" borderId="0" xfId="0" applyFont="1"/>
    <xf numFmtId="0" fontId="12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1" fontId="14" fillId="0" borderId="12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center" wrapText="1"/>
    </xf>
    <xf numFmtId="1" fontId="12" fillId="0" borderId="13" xfId="0" applyNumberFormat="1" applyFont="1" applyBorder="1" applyAlignment="1">
      <alignment horizontal="left" vertical="center" wrapText="1"/>
    </xf>
    <xf numFmtId="0" fontId="12" fillId="0" borderId="13" xfId="0" applyFont="1" applyBorder="1" applyAlignment="1" applyProtection="1">
      <alignment horizontal="center" vertical="center"/>
      <protection locked="0"/>
    </xf>
    <xf numFmtId="0" fontId="14" fillId="0" borderId="13" xfId="0" applyFont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12" fillId="0" borderId="15" xfId="0" applyFont="1" applyBorder="1" applyAlignment="1">
      <alignment horizontal="left" vertical="center" wrapText="1"/>
    </xf>
    <xf numFmtId="1" fontId="12" fillId="0" borderId="15" xfId="0" applyNumberFormat="1" applyFont="1" applyBorder="1" applyAlignment="1">
      <alignment horizontal="left" vertical="center" wrapText="1"/>
    </xf>
    <xf numFmtId="0" fontId="12" fillId="0" borderId="15" xfId="0" applyFont="1" applyBorder="1" applyAlignment="1" applyProtection="1">
      <alignment horizontal="center" vertical="center"/>
      <protection locked="0"/>
    </xf>
    <xf numFmtId="0" fontId="14" fillId="0" borderId="15" xfId="0" applyFont="1" applyBorder="1" applyAlignment="1">
      <alignment horizontal="center" vertical="center"/>
    </xf>
    <xf numFmtId="0" fontId="3" fillId="0" borderId="16" xfId="0" applyFont="1" applyBorder="1" applyAlignment="1" applyProtection="1">
      <alignment horizontal="center" vertical="center"/>
      <protection locked="0"/>
    </xf>
    <xf numFmtId="0" fontId="15" fillId="0" borderId="16" xfId="0" applyFont="1" applyBorder="1" applyAlignment="1" applyProtection="1">
      <alignment horizontal="center" vertical="center"/>
      <protection locked="0"/>
    </xf>
    <xf numFmtId="0" fontId="12" fillId="0" borderId="15" xfId="0" applyFont="1" applyBorder="1" applyAlignment="1">
      <alignment horizontal="center" vertical="center"/>
    </xf>
    <xf numFmtId="0" fontId="16" fillId="0" borderId="15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/>
      <protection locked="0"/>
    </xf>
    <xf numFmtId="1" fontId="12" fillId="0" borderId="15" xfId="0" applyNumberFormat="1" applyFont="1" applyBorder="1" applyAlignment="1">
      <alignment horizontal="left" vertical="center"/>
    </xf>
    <xf numFmtId="0" fontId="12" fillId="0" borderId="15" xfId="0" applyFont="1" applyBorder="1" applyAlignment="1">
      <alignment horizontal="center"/>
    </xf>
    <xf numFmtId="0" fontId="0" fillId="0" borderId="15" xfId="0" applyBorder="1"/>
    <xf numFmtId="0" fontId="16" fillId="0" borderId="15" xfId="0" applyFont="1" applyBorder="1" applyAlignment="1">
      <alignment horizontal="center"/>
    </xf>
    <xf numFmtId="0" fontId="12" fillId="0" borderId="17" xfId="0" applyFont="1" applyBorder="1" applyAlignment="1">
      <alignment horizontal="left" vertical="center" wrapText="1"/>
    </xf>
    <xf numFmtId="0" fontId="0" fillId="0" borderId="17" xfId="0" applyBorder="1"/>
    <xf numFmtId="0" fontId="12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 applyProtection="1">
      <alignment horizontal="center" vertical="center"/>
      <protection locked="0"/>
    </xf>
    <xf numFmtId="0" fontId="17" fillId="0" borderId="0" xfId="18" applyFont="1" applyAlignment="1">
      <alignment horizontal="left" vertical="top"/>
    </xf>
    <xf numFmtId="0" fontId="18" fillId="0" borderId="0" xfId="18" applyFont="1" applyAlignment="1">
      <alignment horizontal="left" vertical="top"/>
    </xf>
    <xf numFmtId="0" fontId="18" fillId="0" borderId="0" xfId="18" applyFont="1" applyAlignment="1">
      <alignment horizontal="left"/>
    </xf>
    <xf numFmtId="0" fontId="3" fillId="0" borderId="6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Protection="1">
      <protection locked="0" hidden="1"/>
    </xf>
    <xf numFmtId="0" fontId="0" fillId="3" borderId="3" xfId="0" applyFill="1" applyBorder="1" applyAlignment="1" applyProtection="1">
      <alignment horizontal="left" vertical="top" wrapText="1"/>
      <protection locked="0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 applyProtection="1">
      <alignment horizontal="left" vertical="top"/>
      <protection locked="0"/>
    </xf>
    <xf numFmtId="0" fontId="3" fillId="0" borderId="0" xfId="0" applyFont="1" applyAlignment="1">
      <alignment horizontal="right" vertical="top"/>
    </xf>
    <xf numFmtId="0" fontId="5" fillId="3" borderId="3" xfId="0" applyFont="1" applyFill="1" applyBorder="1" applyAlignment="1" applyProtection="1">
      <alignment horizontal="left" vertical="top" wrapText="1"/>
      <protection locked="0"/>
    </xf>
    <xf numFmtId="0" fontId="6" fillId="0" borderId="3" xfId="0" applyFont="1" applyBorder="1" applyAlignment="1">
      <alignment horizontal="center"/>
    </xf>
    <xf numFmtId="0" fontId="0" fillId="2" borderId="3" xfId="0" applyFill="1" applyBorder="1" applyAlignment="1" applyProtection="1">
      <alignment horizontal="left" vertical="top"/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left" vertical="top"/>
      <protection locked="0"/>
    </xf>
    <xf numFmtId="0" fontId="0" fillId="3" borderId="7" xfId="0" applyFill="1" applyBorder="1" applyAlignment="1" applyProtection="1">
      <alignment horizont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3" fillId="3" borderId="20" xfId="0" applyFont="1" applyFill="1" applyBorder="1" applyAlignment="1" applyProtection="1">
      <alignment horizontal="center" vertic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0" borderId="8" xfId="0" applyBorder="1" applyAlignment="1">
      <alignment horizontal="center"/>
    </xf>
    <xf numFmtId="166" fontId="0" fillId="2" borderId="9" xfId="0" applyNumberFormat="1" applyFill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vertical="top"/>
    </xf>
    <xf numFmtId="0" fontId="11" fillId="0" borderId="10" xfId="0" applyFont="1" applyBorder="1" applyAlignment="1">
      <alignment horizontal="left"/>
    </xf>
    <xf numFmtId="0" fontId="13" fillId="0" borderId="0" xfId="0" applyFont="1" applyAlignment="1">
      <alignment horizontal="right"/>
    </xf>
    <xf numFmtId="0" fontId="14" fillId="0" borderId="10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15" fontId="14" fillId="0" borderId="6" xfId="0" applyNumberFormat="1" applyFont="1" applyBorder="1" applyAlignment="1">
      <alignment horizontal="center" vertical="center"/>
    </xf>
  </cellXfs>
  <cellStyles count="20">
    <cellStyle name="Normal" xfId="0" builtinId="0"/>
    <cellStyle name="Normal 2" xfId="1" xr:uid="{00000000-0005-0000-0000-000006000000}"/>
    <cellStyle name="Normal 2 2" xfId="2" xr:uid="{00000000-0005-0000-0000-000007000000}"/>
    <cellStyle name="Normal 2 2 2" xfId="3" xr:uid="{00000000-0005-0000-0000-000008000000}"/>
    <cellStyle name="Normal 2 2 2 2" xfId="4" xr:uid="{00000000-0005-0000-0000-000009000000}"/>
    <cellStyle name="Normal 2 2 3" xfId="5" xr:uid="{00000000-0005-0000-0000-00000A000000}"/>
    <cellStyle name="Normal 2 3" xfId="6" xr:uid="{00000000-0005-0000-0000-00000B000000}"/>
    <cellStyle name="Normal 2 3 2" xfId="7" xr:uid="{00000000-0005-0000-0000-00000C000000}"/>
    <cellStyle name="Normal 2 4" xfId="8" xr:uid="{00000000-0005-0000-0000-00000D000000}"/>
    <cellStyle name="Normal 3" xfId="9" xr:uid="{00000000-0005-0000-0000-00000E000000}"/>
    <cellStyle name="Normal 3 2" xfId="10" xr:uid="{00000000-0005-0000-0000-00000F000000}"/>
    <cellStyle name="Normal 3 2 2" xfId="11" xr:uid="{00000000-0005-0000-0000-000010000000}"/>
    <cellStyle name="Normal 3 2 2 2" xfId="12" xr:uid="{00000000-0005-0000-0000-000011000000}"/>
    <cellStyle name="Normal 3 2 3" xfId="13" xr:uid="{00000000-0005-0000-0000-000012000000}"/>
    <cellStyle name="Normal 3 3" xfId="14" xr:uid="{00000000-0005-0000-0000-000013000000}"/>
    <cellStyle name="Normal 3 3 2" xfId="15" xr:uid="{00000000-0005-0000-0000-000014000000}"/>
    <cellStyle name="Normal 3 4" xfId="16" xr:uid="{00000000-0005-0000-0000-000015000000}"/>
    <cellStyle name="Normal 4" xfId="17" xr:uid="{00000000-0005-0000-0000-000016000000}"/>
    <cellStyle name="Normal 5" xfId="18" xr:uid="{00000000-0005-0000-0000-000017000000}"/>
    <cellStyle name="Percent 2" xfId="19" xr:uid="{00000000-0005-0000-0000-000018000000}"/>
  </cellStyles>
  <dxfs count="1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fmlaLink="Activity!$G$43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fmlaLink="Activity!$G$43" lockText="1" noThreeD="1"/>
</file>

<file path=xl/ctrlProps/ctrlProp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124560</xdr:colOff>
      <xdr:row>0</xdr:row>
      <xdr:rowOff>109440</xdr:rowOff>
    </xdr:from>
    <xdr:to>
      <xdr:col>6</xdr:col>
      <xdr:colOff>290160</xdr:colOff>
      <xdr:row>4</xdr:row>
      <xdr:rowOff>161640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10285" y="109440"/>
          <a:ext cx="5556750" cy="985650"/>
          <a:chOff x="215280" y="109440"/>
          <a:chExt cx="5864040" cy="985680"/>
        </a:xfrm>
      </xdr:grpSpPr>
      <xdr:pic>
        <xdr:nvPicPr>
          <xdr:cNvPr id="3" name="Picture 3" descr="C:\Users\nicholas.salcido\Desktop\Big logo.jp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/>
        </xdr:blipFill>
        <xdr:spPr>
          <a:xfrm>
            <a:off x="215280" y="131760"/>
            <a:ext cx="559080" cy="905040"/>
          </a:xfrm>
          <a:prstGeom prst="rect">
            <a:avLst/>
          </a:prstGeom>
          <a:ln w="9525">
            <a:noFill/>
          </a:ln>
        </xdr:spPr>
      </xdr:pic>
      <xdr:pic>
        <xdr:nvPicPr>
          <xdr:cNvPr id="4" name="Pictur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/>
        </xdr:nvPicPr>
        <xdr:blipFill>
          <a:blip xmlns:r="http://schemas.openxmlformats.org/officeDocument/2006/relationships" r:embed="rId2"/>
          <a:stretch/>
        </xdr:blipFill>
        <xdr:spPr>
          <a:xfrm>
            <a:off x="837360" y="143640"/>
            <a:ext cx="1081440" cy="871920"/>
          </a:xfrm>
          <a:prstGeom prst="rect">
            <a:avLst/>
          </a:prstGeom>
          <a:ln w="0">
            <a:noFill/>
          </a:ln>
        </xdr:spPr>
      </xdr:pic>
      <xdr:pic>
        <xdr:nvPicPr>
          <xdr:cNvPr id="5" name="Picture 2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3"/>
          <a:stretch/>
        </xdr:blipFill>
        <xdr:spPr>
          <a:xfrm>
            <a:off x="5325120" y="109440"/>
            <a:ext cx="754200" cy="985680"/>
          </a:xfrm>
          <a:prstGeom prst="rect">
            <a:avLst/>
          </a:prstGeom>
          <a:ln w="0">
            <a:noFill/>
          </a:ln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1006" name="Check Box 212" descr="Submitted" hidden="1">
              <a:extLst>
                <a:ext uri="{63B3BB69-23CF-44E3-9099-C40C66FF867C}">
                  <a14:compatExt spid="_x0000_s1006"/>
                </a:ext>
                <a:ext uri="{FF2B5EF4-FFF2-40B4-BE49-F238E27FC236}">
                  <a16:creationId xmlns:a16="http://schemas.microsoft.com/office/drawing/2014/main" id="{00000000-0008-0000-0000-0000EE0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Submitted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42</xdr:row>
          <xdr:rowOff>38100</xdr:rowOff>
        </xdr:from>
        <xdr:to>
          <xdr:col>5</xdr:col>
          <xdr:colOff>371475</xdr:colOff>
          <xdr:row>42</xdr:row>
          <xdr:rowOff>133350</xdr:rowOff>
        </xdr:to>
        <xdr:sp macro="" textlink="">
          <xdr:nvSpPr>
            <xdr:cNvPr id="1005" name="Check Box 201" descr="Submitted" hidden="1">
              <a:extLst>
                <a:ext uri="{63B3BB69-23CF-44E3-9099-C40C66FF867C}">
                  <a14:compatExt spid="_x0000_s1005"/>
                </a:ext>
                <a:ext uri="{FF2B5EF4-FFF2-40B4-BE49-F238E27FC236}">
                  <a16:creationId xmlns:a16="http://schemas.microsoft.com/office/drawing/2014/main" id="{00000000-0008-0000-0000-0000ED0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Submitted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48</xdr:row>
          <xdr:rowOff>9525</xdr:rowOff>
        </xdr:from>
        <xdr:to>
          <xdr:col>6</xdr:col>
          <xdr:colOff>600075</xdr:colOff>
          <xdr:row>48</xdr:row>
          <xdr:rowOff>161925</xdr:rowOff>
        </xdr:to>
        <xdr:sp macro="" textlink="">
          <xdr:nvSpPr>
            <xdr:cNvPr id="1035" name="Check Box 11" descr="Submitted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Submitted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49</xdr:row>
          <xdr:rowOff>9525</xdr:rowOff>
        </xdr:from>
        <xdr:to>
          <xdr:col>6</xdr:col>
          <xdr:colOff>600075</xdr:colOff>
          <xdr:row>49</xdr:row>
          <xdr:rowOff>161925</xdr:rowOff>
        </xdr:to>
        <xdr:sp macro="" textlink="">
          <xdr:nvSpPr>
            <xdr:cNvPr id="1036" name="Check Box 12" descr="Submitted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Submitted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50</xdr:row>
          <xdr:rowOff>9525</xdr:rowOff>
        </xdr:from>
        <xdr:to>
          <xdr:col>6</xdr:col>
          <xdr:colOff>600075</xdr:colOff>
          <xdr:row>50</xdr:row>
          <xdr:rowOff>161925</xdr:rowOff>
        </xdr:to>
        <xdr:sp macro="" textlink="">
          <xdr:nvSpPr>
            <xdr:cNvPr id="1037" name="Check Box 13" descr="Submitted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Submitted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51</xdr:row>
          <xdr:rowOff>9525</xdr:rowOff>
        </xdr:from>
        <xdr:to>
          <xdr:col>6</xdr:col>
          <xdr:colOff>600075</xdr:colOff>
          <xdr:row>51</xdr:row>
          <xdr:rowOff>161925</xdr:rowOff>
        </xdr:to>
        <xdr:sp macro="" textlink="">
          <xdr:nvSpPr>
            <xdr:cNvPr id="1038" name="Check Box 14" descr="Submitted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Submitted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1039" name="Check Box 15" descr="Submitted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Submitted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42</xdr:row>
          <xdr:rowOff>9525</xdr:rowOff>
        </xdr:from>
        <xdr:to>
          <xdr:col>6</xdr:col>
          <xdr:colOff>47625</xdr:colOff>
          <xdr:row>42</xdr:row>
          <xdr:rowOff>161925</xdr:rowOff>
        </xdr:to>
        <xdr:sp macro="" textlink="">
          <xdr:nvSpPr>
            <xdr:cNvPr id="1043" name="Check Box 19" descr="Submitted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Submitted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44</xdr:row>
          <xdr:rowOff>9525</xdr:rowOff>
        </xdr:from>
        <xdr:to>
          <xdr:col>6</xdr:col>
          <xdr:colOff>47625</xdr:colOff>
          <xdr:row>44</xdr:row>
          <xdr:rowOff>161925</xdr:rowOff>
        </xdr:to>
        <xdr:sp macro="" textlink="">
          <xdr:nvSpPr>
            <xdr:cNvPr id="1044" name="Check Box 20" descr="Submitted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Submitted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42</xdr:row>
          <xdr:rowOff>38100</xdr:rowOff>
        </xdr:from>
        <xdr:to>
          <xdr:col>5</xdr:col>
          <xdr:colOff>371475</xdr:colOff>
          <xdr:row>42</xdr:row>
          <xdr:rowOff>133350</xdr:rowOff>
        </xdr:to>
        <xdr:sp macro="" textlink="">
          <xdr:nvSpPr>
            <xdr:cNvPr id="1046" name="Check Box 201" descr="Submitted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Submitted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1045" name="Check Box 212" descr="Submitted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Submitted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966600</xdr:colOff>
      <xdr:row>2</xdr:row>
      <xdr:rowOff>298080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966600" cy="1231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85"/>
  <sheetViews>
    <sheetView tabSelected="1" zoomScale="120" zoomScaleNormal="120" zoomScalePageLayoutView="180" workbookViewId="0">
      <selection activeCell="C19" sqref="C19:D19"/>
    </sheetView>
  </sheetViews>
  <sheetFormatPr defaultColWidth="0" defaultRowHeight="15" zeroHeight="1"/>
  <cols>
    <col min="1" max="1" width="1.28515625" customWidth="1"/>
    <col min="2" max="2" width="9"/>
    <col min="3" max="3" width="10.85546875" customWidth="1"/>
    <col min="4" max="4" width="45.5703125" customWidth="1"/>
    <col min="5" max="6" width="7.7109375" customWidth="1"/>
    <col min="7" max="7" width="9.28515625" customWidth="1"/>
    <col min="8" max="8" width="1.28515625" customWidth="1"/>
    <col min="9" max="16384" width="9" hidden="1"/>
  </cols>
  <sheetData>
    <row r="1" spans="2:7"/>
    <row r="2" spans="2:7" ht="28.5">
      <c r="D2" s="74" t="s">
        <v>0</v>
      </c>
      <c r="E2" s="74"/>
    </row>
    <row r="3" spans="2:7" ht="15" customHeight="1">
      <c r="D3" s="75" t="s">
        <v>1</v>
      </c>
      <c r="E3" s="75"/>
    </row>
    <row r="4" spans="2:7" ht="15" customHeight="1"/>
    <row r="5" spans="2:7" ht="15" customHeight="1"/>
    <row r="6" spans="2:7" ht="15" customHeight="1">
      <c r="B6" s="3" t="s">
        <v>2</v>
      </c>
      <c r="C6" s="4">
        <f ca="1">TODAY()</f>
        <v>45925</v>
      </c>
      <c r="D6" s="2" t="s">
        <v>3</v>
      </c>
      <c r="E6" s="76" t="s">
        <v>4</v>
      </c>
      <c r="F6" s="76"/>
      <c r="G6" s="76"/>
    </row>
    <row r="7" spans="2:7" ht="15" customHeight="1"/>
    <row r="8" spans="2:7" ht="15" customHeight="1">
      <c r="B8" s="77" t="s">
        <v>5</v>
      </c>
      <c r="C8" s="77"/>
      <c r="D8" s="5" t="s">
        <v>6</v>
      </c>
      <c r="F8" s="6" t="s">
        <v>7</v>
      </c>
      <c r="G8" s="7">
        <v>140</v>
      </c>
    </row>
    <row r="9" spans="2:7" ht="15" customHeight="1">
      <c r="B9" s="77" t="s">
        <v>8</v>
      </c>
      <c r="C9" s="77"/>
      <c r="D9" s="8" t="s">
        <v>9</v>
      </c>
      <c r="E9" s="9"/>
      <c r="F9" s="1"/>
      <c r="G9" s="1"/>
    </row>
    <row r="10" spans="2:7" ht="15" customHeight="1">
      <c r="D10" s="10"/>
      <c r="E10" s="10"/>
      <c r="F10" s="10"/>
      <c r="G10" s="10"/>
    </row>
    <row r="11" spans="2:7" ht="15" customHeight="1">
      <c r="B11" s="69" t="s">
        <v>10</v>
      </c>
      <c r="C11" s="69"/>
      <c r="D11" s="5" t="s">
        <v>11</v>
      </c>
      <c r="E11" s="70" t="s">
        <v>12</v>
      </c>
      <c r="F11" s="70"/>
    </row>
    <row r="12" spans="2:7" ht="15" customHeight="1">
      <c r="E12" s="70"/>
      <c r="F12" s="70"/>
      <c r="G12" s="7" t="s">
        <v>13</v>
      </c>
    </row>
    <row r="13" spans="2:7" ht="15" customHeight="1">
      <c r="B13" s="71" t="s">
        <v>14</v>
      </c>
      <c r="C13" s="71"/>
      <c r="D13" s="5"/>
      <c r="E13" s="11"/>
      <c r="F13" s="11"/>
    </row>
    <row r="14" spans="2:7" ht="15" customHeight="1">
      <c r="B14" s="72"/>
      <c r="C14" s="72"/>
    </row>
    <row r="15" spans="2:7" ht="15" customHeight="1">
      <c r="B15" s="12" t="s">
        <v>15</v>
      </c>
      <c r="C15" s="12"/>
      <c r="D15" s="13"/>
    </row>
    <row r="16" spans="2:7">
      <c r="B16" s="14" t="s">
        <v>16</v>
      </c>
      <c r="C16" s="73" t="s">
        <v>17</v>
      </c>
      <c r="D16" s="73"/>
      <c r="E16" s="73" t="s">
        <v>18</v>
      </c>
      <c r="F16" s="73"/>
      <c r="G16" s="73"/>
    </row>
    <row r="17" spans="2:7" ht="15" customHeight="1">
      <c r="B17" s="15"/>
      <c r="C17" s="68"/>
      <c r="D17" s="68"/>
      <c r="E17" s="68"/>
      <c r="F17" s="68"/>
      <c r="G17" s="68"/>
    </row>
    <row r="18" spans="2:7" ht="15" customHeight="1">
      <c r="B18" s="15"/>
      <c r="C18" s="68"/>
      <c r="D18" s="68"/>
      <c r="E18" s="68"/>
      <c r="F18" s="68"/>
      <c r="G18" s="68"/>
    </row>
    <row r="19" spans="2:7" ht="15" customHeight="1">
      <c r="B19" s="15"/>
      <c r="C19" s="68"/>
      <c r="D19" s="68"/>
      <c r="E19" s="68"/>
      <c r="F19" s="68"/>
      <c r="G19" s="68"/>
    </row>
    <row r="20" spans="2:7" ht="15" customHeight="1">
      <c r="B20" s="15"/>
      <c r="C20" s="68"/>
      <c r="D20" s="68"/>
      <c r="E20" s="68"/>
      <c r="F20" s="68"/>
      <c r="G20" s="68"/>
    </row>
    <row r="21" spans="2:7" ht="15" customHeight="1">
      <c r="B21" s="15"/>
      <c r="C21" s="68"/>
      <c r="D21" s="68"/>
      <c r="E21" s="68"/>
      <c r="F21" s="68"/>
      <c r="G21" s="68"/>
    </row>
    <row r="22" spans="2:7" ht="15" customHeight="1">
      <c r="B22" s="15"/>
      <c r="C22" s="68"/>
      <c r="D22" s="68"/>
      <c r="E22" s="68"/>
      <c r="F22" s="68"/>
      <c r="G22" s="68"/>
    </row>
    <row r="23" spans="2:7" ht="15" customHeight="1">
      <c r="B23" s="15"/>
      <c r="C23" s="68"/>
      <c r="D23" s="68"/>
      <c r="E23" s="68"/>
      <c r="F23" s="68"/>
      <c r="G23" s="68"/>
    </row>
    <row r="24" spans="2:7" ht="15" customHeight="1">
      <c r="B24" s="15"/>
      <c r="C24" s="68"/>
      <c r="D24" s="68"/>
      <c r="E24" s="68"/>
      <c r="F24" s="68"/>
      <c r="G24" s="68"/>
    </row>
    <row r="25" spans="2:7" ht="15" customHeight="1">
      <c r="B25" s="15"/>
      <c r="C25" s="68"/>
      <c r="D25" s="68"/>
      <c r="E25" s="68"/>
      <c r="F25" s="68"/>
      <c r="G25" s="68"/>
    </row>
    <row r="26" spans="2:7" ht="15" customHeight="1">
      <c r="B26" s="15"/>
      <c r="C26" s="68"/>
      <c r="D26" s="68"/>
      <c r="E26" s="68"/>
      <c r="F26" s="68"/>
      <c r="G26" s="68"/>
    </row>
    <row r="27" spans="2:7" ht="15" customHeight="1">
      <c r="B27" s="15"/>
      <c r="C27" s="68"/>
      <c r="D27" s="68"/>
      <c r="E27" s="68"/>
      <c r="F27" s="68"/>
      <c r="G27" s="68"/>
    </row>
    <row r="28" spans="2:7" ht="15" customHeight="1">
      <c r="B28" s="15"/>
      <c r="C28" s="68"/>
      <c r="D28" s="68"/>
      <c r="E28" s="68"/>
      <c r="F28" s="68"/>
      <c r="G28" s="68"/>
    </row>
    <row r="29" spans="2:7" ht="15" customHeight="1">
      <c r="B29" s="15"/>
      <c r="C29" s="68"/>
      <c r="D29" s="68"/>
      <c r="E29" s="68"/>
      <c r="F29" s="68"/>
      <c r="G29" s="68"/>
    </row>
    <row r="30" spans="2:7" ht="15" customHeight="1">
      <c r="B30" s="15"/>
      <c r="C30" s="68"/>
      <c r="D30" s="68"/>
      <c r="E30" s="68"/>
      <c r="F30" s="68"/>
      <c r="G30" s="68"/>
    </row>
    <row r="31" spans="2:7" ht="15" customHeight="1">
      <c r="B31" s="15"/>
      <c r="C31" s="68"/>
      <c r="D31" s="68"/>
      <c r="E31" s="68"/>
      <c r="F31" s="68"/>
      <c r="G31" s="68"/>
    </row>
    <row r="32" spans="2:7" ht="15" customHeight="1">
      <c r="B32" s="15"/>
      <c r="C32" s="68"/>
      <c r="D32" s="68"/>
      <c r="E32" s="68"/>
      <c r="F32" s="68"/>
      <c r="G32" s="68"/>
    </row>
    <row r="33" spans="2:7" ht="15" customHeight="1">
      <c r="B33" s="15"/>
      <c r="C33" s="68"/>
      <c r="D33" s="68"/>
      <c r="E33" s="68"/>
      <c r="F33" s="68"/>
      <c r="G33" s="68"/>
    </row>
    <row r="34" spans="2:7" ht="15" customHeight="1">
      <c r="B34" s="15"/>
      <c r="C34" s="68"/>
      <c r="D34" s="68"/>
      <c r="E34" s="68"/>
      <c r="F34" s="68"/>
      <c r="G34" s="68"/>
    </row>
    <row r="35" spans="2:7" ht="15" customHeight="1">
      <c r="B35" s="15"/>
      <c r="C35" s="68"/>
      <c r="D35" s="68"/>
      <c r="E35" s="68"/>
      <c r="F35" s="68"/>
      <c r="G35" s="68"/>
    </row>
    <row r="36" spans="2:7" ht="15" customHeight="1">
      <c r="B36" s="15"/>
      <c r="C36" s="78"/>
      <c r="D36" s="78"/>
      <c r="E36" s="68"/>
      <c r="F36" s="68"/>
      <c r="G36" s="68"/>
    </row>
    <row r="37" spans="2:7" ht="15" customHeight="1">
      <c r="B37" s="15"/>
      <c r="C37" s="68"/>
      <c r="D37" s="68"/>
      <c r="E37" s="68"/>
      <c r="F37" s="68"/>
      <c r="G37" s="68"/>
    </row>
    <row r="38" spans="2:7" ht="15" customHeight="1">
      <c r="B38" s="15"/>
      <c r="C38" s="68"/>
      <c r="D38" s="68"/>
      <c r="E38" s="68"/>
      <c r="F38" s="68"/>
      <c r="G38" s="68"/>
    </row>
    <row r="39" spans="2:7" ht="15" customHeight="1">
      <c r="B39" s="15"/>
      <c r="C39" s="68"/>
      <c r="D39" s="68"/>
      <c r="E39" s="68"/>
      <c r="F39" s="68"/>
      <c r="G39" s="68"/>
    </row>
    <row r="40" spans="2:7">
      <c r="B40" s="16"/>
      <c r="C40" s="17"/>
      <c r="D40" s="17"/>
      <c r="E40" s="17"/>
      <c r="F40" s="17"/>
      <c r="G40" s="17"/>
    </row>
    <row r="41" spans="2:7">
      <c r="F41" s="18"/>
    </row>
    <row r="42" spans="2:7" ht="21">
      <c r="B42" s="79" t="s">
        <v>19</v>
      </c>
      <c r="C42" s="79"/>
      <c r="D42" s="79"/>
      <c r="E42" s="79"/>
      <c r="F42" s="79"/>
      <c r="G42" s="79"/>
    </row>
    <row r="43" spans="2:7" ht="15.75" thickBot="1">
      <c r="B43" s="19"/>
      <c r="C43" s="19"/>
      <c r="D43" s="20" t="s">
        <v>20</v>
      </c>
      <c r="E43" s="21"/>
      <c r="F43" s="22"/>
      <c r="G43" s="23" t="b">
        <v>0</v>
      </c>
    </row>
    <row r="44" spans="2:7" ht="7.5" customHeight="1" thickBot="1">
      <c r="B44" s="19"/>
      <c r="C44" s="19"/>
      <c r="D44" s="2"/>
      <c r="E44" s="24"/>
      <c r="F44" s="66"/>
      <c r="G44" s="67"/>
    </row>
    <row r="45" spans="2:7" ht="15.75" thickBot="1">
      <c r="B45" s="19"/>
      <c r="C45" s="19"/>
      <c r="D45" s="20" t="s">
        <v>21</v>
      </c>
      <c r="E45" s="84"/>
      <c r="F45" s="85"/>
      <c r="G45" s="23"/>
    </row>
    <row r="46" spans="2:7" ht="15.75" thickBot="1"/>
    <row r="47" spans="2:7" ht="21">
      <c r="B47" s="79" t="s">
        <v>22</v>
      </c>
      <c r="C47" s="79"/>
      <c r="D47" s="79"/>
      <c r="E47" s="79"/>
      <c r="F47" s="79"/>
      <c r="G47" s="79"/>
    </row>
    <row r="48" spans="2:7">
      <c r="B48" s="25" t="s">
        <v>23</v>
      </c>
      <c r="C48" s="26"/>
      <c r="D48" s="26"/>
      <c r="E48" s="27"/>
      <c r="F48" s="28" t="s">
        <v>24</v>
      </c>
      <c r="G48" s="29"/>
    </row>
    <row r="49" spans="2:8">
      <c r="B49" s="80"/>
      <c r="C49" s="80"/>
      <c r="D49" s="80"/>
      <c r="E49" s="80"/>
      <c r="F49" s="81"/>
      <c r="G49" s="81"/>
    </row>
    <row r="50" spans="2:8" ht="15.75" thickBot="1">
      <c r="B50" s="82"/>
      <c r="C50" s="82"/>
      <c r="D50" s="82"/>
      <c r="E50" s="82"/>
      <c r="F50" s="83"/>
      <c r="G50" s="83"/>
    </row>
    <row r="51" spans="2:8" ht="15.75" thickBot="1">
      <c r="B51" s="80"/>
      <c r="C51" s="80"/>
      <c r="D51" s="80"/>
      <c r="E51" s="80"/>
      <c r="F51" s="86"/>
      <c r="G51" s="87"/>
    </row>
    <row r="52" spans="2:8" ht="15.75" thickBot="1">
      <c r="B52" s="82"/>
      <c r="C52" s="82"/>
      <c r="D52" s="82"/>
      <c r="E52" s="82"/>
      <c r="F52" s="88"/>
      <c r="G52" s="88"/>
    </row>
    <row r="53" spans="2:8" ht="15" customHeight="1">
      <c r="F53" s="89"/>
      <c r="G53" s="89"/>
    </row>
    <row r="54" spans="2:8" ht="6.75" customHeight="1"/>
    <row r="55" spans="2:8" ht="15" customHeight="1">
      <c r="B55" s="77" t="s">
        <v>25</v>
      </c>
      <c r="C55" s="77"/>
      <c r="D55" s="30" t="str">
        <f>D8</f>
        <v>Chris Duprey</v>
      </c>
    </row>
    <row r="56" spans="2:8" ht="12" customHeight="1">
      <c r="B56" s="77" t="s">
        <v>25</v>
      </c>
      <c r="C56" s="77"/>
      <c r="D56" s="30" t="str">
        <f>D9</f>
        <v>Jamie McGuire</v>
      </c>
      <c r="E56" s="3" t="s">
        <v>26</v>
      </c>
      <c r="F56" s="90">
        <f ca="1">IF(C6="","",C6)</f>
        <v>45925</v>
      </c>
      <c r="G56" s="90"/>
    </row>
    <row r="57" spans="2:8" ht="15" customHeight="1">
      <c r="B57" s="91" t="s">
        <v>27</v>
      </c>
      <c r="C57" s="91"/>
      <c r="D57" s="91"/>
      <c r="E57" s="91"/>
      <c r="F57" s="91"/>
      <c r="G57" s="91"/>
    </row>
    <row r="58" spans="2:8">
      <c r="B58" s="91"/>
      <c r="C58" s="91"/>
      <c r="D58" s="91"/>
      <c r="E58" s="91"/>
      <c r="F58" s="91"/>
      <c r="G58" s="91"/>
      <c r="H58" s="31"/>
    </row>
    <row r="59" spans="2:8">
      <c r="H59" s="23" t="b">
        <v>0</v>
      </c>
    </row>
    <row r="60" spans="2:8">
      <c r="H60" s="23" t="b">
        <f>FALSE()</f>
        <v>0</v>
      </c>
    </row>
    <row r="61" spans="2:8" ht="15" customHeight="1">
      <c r="H61" s="23" t="b">
        <v>0</v>
      </c>
    </row>
    <row r="62" spans="2:8" ht="15" customHeight="1">
      <c r="H62" s="23" t="b">
        <v>0</v>
      </c>
    </row>
    <row r="63" spans="2:8" ht="16.5" customHeight="1"/>
    <row r="64" spans="2:8" ht="6" customHeight="1"/>
    <row r="65" spans="4:7"/>
    <row r="66" spans="4:7" ht="15" customHeight="1"/>
    <row r="67" spans="4:7" ht="15" customHeight="1"/>
    <row r="68" spans="4:7" ht="15" customHeight="1"/>
    <row r="69" spans="4:7" ht="25.5" customHeight="1"/>
    <row r="70" spans="4:7" ht="14.25" hidden="1" customHeight="1"/>
    <row r="71" spans="4:7" hidden="1">
      <c r="D71" t="s">
        <v>28</v>
      </c>
      <c r="E71" s="92"/>
      <c r="F71" s="92"/>
      <c r="G71" s="92"/>
    </row>
    <row r="81" customFormat="1" hidden="1"/>
    <row r="82" customFormat="1" hidden="1"/>
    <row r="83" customFormat="1" hidden="1"/>
    <row r="84" customFormat="1" hidden="1"/>
    <row r="85" customFormat="1" hidden="1"/>
    <row r="86" customFormat="1" hidden="1"/>
    <row r="87" customFormat="1" hidden="1"/>
    <row r="88" customFormat="1" hidden="1"/>
    <row r="89" customFormat="1" hidden="1"/>
    <row r="90" customFormat="1" hidden="1"/>
    <row r="91" customFormat="1" hidden="1"/>
    <row r="92" customFormat="1" hidden="1"/>
    <row r="93" customFormat="1" hidden="1"/>
    <row r="94" customFormat="1" hidden="1"/>
    <row r="95" customFormat="1" hidden="1"/>
    <row r="96" customFormat="1" hidden="1"/>
    <row r="97" customFormat="1" hidden="1"/>
    <row r="98" customFormat="1" hidden="1"/>
    <row r="99" customFormat="1" hidden="1"/>
    <row r="100" customFormat="1" hidden="1"/>
    <row r="101" customFormat="1" hidden="1"/>
    <row r="102" customFormat="1" hidden="1"/>
    <row r="103" customFormat="1" hidden="1"/>
    <row r="104" customFormat="1" hidden="1"/>
    <row r="105" customFormat="1" hidden="1"/>
    <row r="106" customFormat="1" hidden="1"/>
    <row r="107" customFormat="1" hidden="1"/>
    <row r="108" customFormat="1" hidden="1"/>
    <row r="109" customFormat="1" hidden="1"/>
    <row r="110" customFormat="1" hidden="1"/>
    <row r="111" customFormat="1" hidden="1"/>
    <row r="112" customFormat="1" hidden="1"/>
    <row r="113" customFormat="1" hidden="1"/>
    <row r="114" customFormat="1" hidden="1"/>
    <row r="115" customFormat="1" hidden="1"/>
    <row r="116" customFormat="1" hidden="1"/>
    <row r="117" customFormat="1" hidden="1"/>
    <row r="118" customFormat="1" hidden="1"/>
    <row r="119" customFormat="1" hidden="1"/>
    <row r="120" customFormat="1" hidden="1"/>
    <row r="121" customFormat="1" hidden="1"/>
    <row r="122" customFormat="1" hidden="1"/>
    <row r="123" customFormat="1" hidden="1"/>
    <row r="124" customFormat="1" hidden="1"/>
    <row r="125" customFormat="1" hidden="1"/>
    <row r="126" customFormat="1" hidden="1"/>
    <row r="127" customFormat="1" hidden="1"/>
    <row r="128" customFormat="1" hidden="1"/>
    <row r="129" customFormat="1" hidden="1"/>
    <row r="130" customFormat="1" hidden="1"/>
    <row r="131" customFormat="1" hidden="1"/>
    <row r="132" customFormat="1" hidden="1"/>
    <row r="133" customFormat="1" hidden="1"/>
    <row r="134" customFormat="1" hidden="1"/>
    <row r="135" customFormat="1" hidden="1"/>
    <row r="136" customFormat="1" hidden="1"/>
    <row r="137" customFormat="1" hidden="1"/>
    <row r="138" customFormat="1" hidden="1"/>
    <row r="139" customFormat="1" hidden="1"/>
    <row r="140" customFormat="1" hidden="1"/>
    <row r="141" customFormat="1" hidden="1"/>
    <row r="142" customFormat="1" hidden="1"/>
    <row r="143" customFormat="1" hidden="1"/>
    <row r="144" customFormat="1" hidden="1"/>
    <row r="145" customFormat="1" hidden="1"/>
    <row r="146" customFormat="1" hidden="1"/>
    <row r="147" customFormat="1" hidden="1"/>
    <row r="148" customFormat="1" hidden="1"/>
    <row r="149" customFormat="1" hidden="1"/>
    <row r="150" customFormat="1" hidden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/>
    <row r="174"/>
    <row r="175"/>
    <row r="176"/>
    <row r="177"/>
    <row r="178"/>
    <row r="179"/>
    <row r="180"/>
    <row r="181"/>
    <row r="182"/>
    <row r="183"/>
    <row r="184"/>
    <row r="185"/>
  </sheetData>
  <sheetProtection insertRows="0" selectLockedCells="1"/>
  <mergeCells count="74">
    <mergeCell ref="B55:C55"/>
    <mergeCell ref="B56:C56"/>
    <mergeCell ref="F56:G56"/>
    <mergeCell ref="B57:G58"/>
    <mergeCell ref="E71:G71"/>
    <mergeCell ref="B51:E51"/>
    <mergeCell ref="F51:G51"/>
    <mergeCell ref="B52:E52"/>
    <mergeCell ref="F52:G52"/>
    <mergeCell ref="F53:G53"/>
    <mergeCell ref="B42:G42"/>
    <mergeCell ref="B47:G47"/>
    <mergeCell ref="B49:E49"/>
    <mergeCell ref="F49:G49"/>
    <mergeCell ref="B50:E50"/>
    <mergeCell ref="F50:G50"/>
    <mergeCell ref="E45:F45"/>
    <mergeCell ref="C37:D37"/>
    <mergeCell ref="E37:G37"/>
    <mergeCell ref="C38:D38"/>
    <mergeCell ref="E38:G38"/>
    <mergeCell ref="C39:D39"/>
    <mergeCell ref="E39:G39"/>
    <mergeCell ref="C34:D34"/>
    <mergeCell ref="E34:G34"/>
    <mergeCell ref="C35:D35"/>
    <mergeCell ref="E35:G35"/>
    <mergeCell ref="C36:D36"/>
    <mergeCell ref="E36:G36"/>
    <mergeCell ref="C31:D31"/>
    <mergeCell ref="E31:G31"/>
    <mergeCell ref="C32:D32"/>
    <mergeCell ref="E32:G32"/>
    <mergeCell ref="C33:D33"/>
    <mergeCell ref="E33:G33"/>
    <mergeCell ref="C28:D28"/>
    <mergeCell ref="E28:G28"/>
    <mergeCell ref="C29:D29"/>
    <mergeCell ref="E29:G29"/>
    <mergeCell ref="C30:D30"/>
    <mergeCell ref="E30:G30"/>
    <mergeCell ref="C25:D25"/>
    <mergeCell ref="E25:G25"/>
    <mergeCell ref="C26:D26"/>
    <mergeCell ref="E26:G26"/>
    <mergeCell ref="C27:D27"/>
    <mergeCell ref="E27:G27"/>
    <mergeCell ref="C22:D22"/>
    <mergeCell ref="E22:G22"/>
    <mergeCell ref="C23:D23"/>
    <mergeCell ref="E23:G23"/>
    <mergeCell ref="C24:D24"/>
    <mergeCell ref="E24:G24"/>
    <mergeCell ref="C19:D19"/>
    <mergeCell ref="E19:G19"/>
    <mergeCell ref="C20:D20"/>
    <mergeCell ref="E20:G20"/>
    <mergeCell ref="C21:D21"/>
    <mergeCell ref="E21:G21"/>
    <mergeCell ref="D2:E2"/>
    <mergeCell ref="D3:E3"/>
    <mergeCell ref="E6:G6"/>
    <mergeCell ref="B8:C8"/>
    <mergeCell ref="B9:C9"/>
    <mergeCell ref="C17:D17"/>
    <mergeCell ref="E17:G17"/>
    <mergeCell ref="C18:D18"/>
    <mergeCell ref="E18:G18"/>
    <mergeCell ref="B11:C11"/>
    <mergeCell ref="E11:F12"/>
    <mergeCell ref="B13:C13"/>
    <mergeCell ref="B14:C14"/>
    <mergeCell ref="C16:D16"/>
    <mergeCell ref="E16:G16"/>
  </mergeCells>
  <pageMargins left="0.7" right="0.7" top="0.75" bottom="0.75" header="0.511811023622047" footer="0.3"/>
  <pageSetup scale="97" fitToHeight="0" orientation="portrait" horizontalDpi="300" verticalDpi="300" r:id="rId1"/>
  <headerFooter>
    <oddFooter>&amp;LTask Force SAFE 'Daily Activity Report'&amp;RDAR_TEMPLATE_Version: 02_05/02/2020</oddFooter>
  </headerFooter>
  <colBreaks count="1" manualBreakCount="1">
    <brk id="1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6" r:id="rId4" name="Check Box 212">
              <controlPr defaultSize="0" autoFill="0" autoLine="0" autoPict="0" altText="Submitted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5" name="Check Box 201">
              <controlPr defaultSize="0" autoFill="0" autoLine="0" autoPict="0" altText="Submitted">
                <anchor moveWithCells="1">
                  <from>
                    <xdr:col>4</xdr:col>
                    <xdr:colOff>219075</xdr:colOff>
                    <xdr:row>42</xdr:row>
                    <xdr:rowOff>38100</xdr:rowOff>
                  </from>
                  <to>
                    <xdr:col>5</xdr:col>
                    <xdr:colOff>371475</xdr:colOff>
                    <xdr:row>42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 altText="Submitted">
                <anchor moveWithCells="1">
                  <from>
                    <xdr:col>5</xdr:col>
                    <xdr:colOff>47625</xdr:colOff>
                    <xdr:row>48</xdr:row>
                    <xdr:rowOff>9525</xdr:rowOff>
                  </from>
                  <to>
                    <xdr:col>6</xdr:col>
                    <xdr:colOff>600075</xdr:colOff>
                    <xdr:row>48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 altText="Submitted">
                <anchor moveWithCells="1">
                  <from>
                    <xdr:col>5</xdr:col>
                    <xdr:colOff>47625</xdr:colOff>
                    <xdr:row>49</xdr:row>
                    <xdr:rowOff>9525</xdr:rowOff>
                  </from>
                  <to>
                    <xdr:col>6</xdr:col>
                    <xdr:colOff>600075</xdr:colOff>
                    <xdr:row>49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8" name="Check Box 13">
              <controlPr defaultSize="0" autoFill="0" autoLine="0" autoPict="0" altText="Submitted">
                <anchor moveWithCells="1">
                  <from>
                    <xdr:col>5</xdr:col>
                    <xdr:colOff>47625</xdr:colOff>
                    <xdr:row>50</xdr:row>
                    <xdr:rowOff>9525</xdr:rowOff>
                  </from>
                  <to>
                    <xdr:col>6</xdr:col>
                    <xdr:colOff>600075</xdr:colOff>
                    <xdr:row>50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9" name="Check Box 14">
              <controlPr defaultSize="0" autoFill="0" autoLine="0" autoPict="0" altText="Submitted">
                <anchor moveWithCells="1">
                  <from>
                    <xdr:col>5</xdr:col>
                    <xdr:colOff>47625</xdr:colOff>
                    <xdr:row>51</xdr:row>
                    <xdr:rowOff>9525</xdr:rowOff>
                  </from>
                  <to>
                    <xdr:col>6</xdr:col>
                    <xdr:colOff>600075</xdr:colOff>
                    <xdr:row>51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0" name="Check Box 15">
              <controlPr defaultSize="0" autoFill="0" autoLine="0" autoPict="0" altText="Submitted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1" name="Check Box 19">
              <controlPr defaultSize="0" autoFill="0" autoLine="0" autoPict="0" altText="Submitted">
                <anchor moveWithCells="1">
                  <from>
                    <xdr:col>4</xdr:col>
                    <xdr:colOff>47625</xdr:colOff>
                    <xdr:row>42</xdr:row>
                    <xdr:rowOff>9525</xdr:rowOff>
                  </from>
                  <to>
                    <xdr:col>6</xdr:col>
                    <xdr:colOff>47625</xdr:colOff>
                    <xdr:row>42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2" name="Check Box 20">
              <controlPr defaultSize="0" autoFill="0" autoLine="0" autoPict="0" altText="Submitted">
                <anchor moveWithCells="1">
                  <from>
                    <xdr:col>4</xdr:col>
                    <xdr:colOff>47625</xdr:colOff>
                    <xdr:row>44</xdr:row>
                    <xdr:rowOff>9525</xdr:rowOff>
                  </from>
                  <to>
                    <xdr:col>6</xdr:col>
                    <xdr:colOff>47625</xdr:colOff>
                    <xdr:row>44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3" name="Check Box 201">
              <controlPr defaultSize="0" autoFill="0" autoLine="0" autoPict="0" altText="Submitted">
                <anchor moveWithCells="1">
                  <from>
                    <xdr:col>4</xdr:col>
                    <xdr:colOff>219075</xdr:colOff>
                    <xdr:row>42</xdr:row>
                    <xdr:rowOff>38100</xdr:rowOff>
                  </from>
                  <to>
                    <xdr:col>5</xdr:col>
                    <xdr:colOff>371475</xdr:colOff>
                    <xdr:row>42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4" name="Check Box 212">
              <controlPr defaultSize="0" autoFill="0" autoLine="0" autoPict="0" altText="Submitted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0000000-0002-0000-0000-000000000000}">
          <x14:formula1>
            <xm:f>DATA!$B$2:$B$4</xm:f>
          </x14:formula1>
          <x14:formula2>
            <xm:f>0</xm:f>
          </x14:formula2>
          <xm:sqref>G12</xm:sqref>
        </x14:dataValidation>
        <x14:dataValidation type="list" allowBlank="1" showInputMessage="1" showErrorMessage="1" xr:uid="{00000000-0002-0000-0000-000001000000}">
          <x14:formula1>
            <xm:f>DATA!$C$3:$C$52</xm:f>
          </x14:formula1>
          <x14:formula2>
            <xm:f>0</xm:f>
          </x14:formula2>
          <xm:sqref>E6:G6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zoomScaleNormal="100" workbookViewId="0">
      <selection activeCell="G6" activeCellId="1" sqref="B17:B32 G6"/>
    </sheetView>
  </sheetViews>
  <sheetFormatPr defaultColWidth="8.7109375" defaultRowHeight="15"/>
  <cols>
    <col min="1" max="1" width="64.28515625" customWidth="1"/>
    <col min="2" max="2" width="15.42578125" customWidth="1"/>
    <col min="3" max="3" width="16.5703125" customWidth="1"/>
    <col min="5" max="5" width="11" customWidth="1"/>
    <col min="6" max="6" width="10.140625" customWidth="1"/>
    <col min="7" max="7" width="13.5703125" customWidth="1"/>
  </cols>
  <sheetData>
    <row r="1" spans="1:7" ht="42" customHeight="1">
      <c r="A1" s="93" t="s">
        <v>29</v>
      </c>
      <c r="B1" s="32"/>
      <c r="C1" s="94" t="s">
        <v>30</v>
      </c>
      <c r="D1" s="94"/>
      <c r="E1" s="95" t="str">
        <f>Activity!E6</f>
        <v>Green Village</v>
      </c>
      <c r="F1" s="95"/>
      <c r="G1" s="95"/>
    </row>
    <row r="2" spans="1:7" ht="31.5" customHeight="1">
      <c r="A2" s="93"/>
      <c r="B2" s="33"/>
      <c r="C2" s="94" t="s">
        <v>31</v>
      </c>
      <c r="D2" s="94"/>
      <c r="E2" s="96" t="str">
        <f>"Team "&amp;Activity!G8</f>
        <v>Team 140</v>
      </c>
      <c r="F2" s="96"/>
      <c r="G2" s="96"/>
    </row>
    <row r="3" spans="1:7" ht="25.5" customHeight="1">
      <c r="A3" s="93"/>
      <c r="B3" s="32"/>
      <c r="C3" s="94" t="s">
        <v>32</v>
      </c>
      <c r="D3" s="94"/>
      <c r="E3" s="97">
        <f ca="1">TODAY()</f>
        <v>45925</v>
      </c>
      <c r="F3" s="97"/>
      <c r="G3" s="97"/>
    </row>
    <row r="4" spans="1:7" ht="22.5" customHeight="1">
      <c r="A4" s="93"/>
      <c r="B4" s="32"/>
      <c r="C4" s="32"/>
      <c r="D4" s="34"/>
      <c r="E4" s="35"/>
      <c r="F4" s="35"/>
      <c r="G4" s="36"/>
    </row>
    <row r="5" spans="1:7" ht="38.25">
      <c r="A5" s="37" t="s">
        <v>33</v>
      </c>
      <c r="B5" s="38" t="s">
        <v>34</v>
      </c>
      <c r="C5" s="39" t="s">
        <v>35</v>
      </c>
      <c r="D5" s="38" t="s">
        <v>36</v>
      </c>
      <c r="E5" s="38" t="s">
        <v>37</v>
      </c>
      <c r="F5" s="38" t="s">
        <v>38</v>
      </c>
      <c r="G5" s="38" t="s">
        <v>39</v>
      </c>
    </row>
    <row r="6" spans="1:7">
      <c r="A6" s="40" t="s">
        <v>40</v>
      </c>
      <c r="B6" s="40" t="s">
        <v>41</v>
      </c>
      <c r="C6" s="41" t="s">
        <v>42</v>
      </c>
      <c r="D6" s="42" t="s">
        <v>43</v>
      </c>
      <c r="E6" s="43">
        <v>2</v>
      </c>
      <c r="F6" s="43">
        <v>2</v>
      </c>
      <c r="G6" s="44">
        <v>2</v>
      </c>
    </row>
    <row r="7" spans="1:7">
      <c r="A7" s="45" t="s">
        <v>44</v>
      </c>
      <c r="B7" s="45" t="s">
        <v>41</v>
      </c>
      <c r="C7" s="46" t="s">
        <v>45</v>
      </c>
      <c r="D7" s="47" t="s">
        <v>43</v>
      </c>
      <c r="E7" s="48">
        <v>2</v>
      </c>
      <c r="F7" s="48">
        <v>2</v>
      </c>
      <c r="G7" s="49">
        <v>2</v>
      </c>
    </row>
    <row r="8" spans="1:7">
      <c r="A8" s="45" t="s">
        <v>46</v>
      </c>
      <c r="B8" s="45" t="s">
        <v>41</v>
      </c>
      <c r="C8" s="46" t="s">
        <v>47</v>
      </c>
      <c r="D8" s="47" t="s">
        <v>43</v>
      </c>
      <c r="E8" s="48">
        <v>2</v>
      </c>
      <c r="F8" s="48">
        <v>2</v>
      </c>
      <c r="G8" s="49">
        <v>2</v>
      </c>
    </row>
    <row r="9" spans="1:7">
      <c r="A9" s="45" t="s">
        <v>48</v>
      </c>
      <c r="B9" s="45" t="s">
        <v>49</v>
      </c>
      <c r="C9" s="46" t="s">
        <v>50</v>
      </c>
      <c r="D9" s="47" t="s">
        <v>51</v>
      </c>
      <c r="E9" s="48">
        <v>4</v>
      </c>
      <c r="F9" s="48">
        <v>4</v>
      </c>
      <c r="G9" s="49">
        <v>4</v>
      </c>
    </row>
    <row r="10" spans="1:7">
      <c r="A10" s="45" t="s">
        <v>52</v>
      </c>
      <c r="B10" s="45" t="s">
        <v>49</v>
      </c>
      <c r="C10" s="46" t="s">
        <v>53</v>
      </c>
      <c r="D10" s="47" t="s">
        <v>51</v>
      </c>
      <c r="E10" s="48">
        <v>4</v>
      </c>
      <c r="F10" s="48">
        <v>4</v>
      </c>
      <c r="G10" s="49">
        <v>4</v>
      </c>
    </row>
    <row r="11" spans="1:7">
      <c r="A11" s="45" t="s">
        <v>54</v>
      </c>
      <c r="B11" s="45" t="s">
        <v>49</v>
      </c>
      <c r="C11" s="46" t="s">
        <v>55</v>
      </c>
      <c r="D11" s="47" t="s">
        <v>51</v>
      </c>
      <c r="E11" s="48">
        <v>4</v>
      </c>
      <c r="F11" s="48">
        <v>4</v>
      </c>
      <c r="G11" s="49">
        <v>4</v>
      </c>
    </row>
    <row r="12" spans="1:7" ht="25.5">
      <c r="A12" s="45" t="s">
        <v>56</v>
      </c>
      <c r="B12" s="45" t="s">
        <v>49</v>
      </c>
      <c r="C12" s="46" t="s">
        <v>57</v>
      </c>
      <c r="D12" s="47" t="s">
        <v>51</v>
      </c>
      <c r="E12" s="48">
        <v>4</v>
      </c>
      <c r="F12" s="48">
        <v>4</v>
      </c>
      <c r="G12" s="49">
        <v>4</v>
      </c>
    </row>
    <row r="13" spans="1:7" ht="25.5">
      <c r="A13" s="45" t="s">
        <v>58</v>
      </c>
      <c r="B13" s="45" t="s">
        <v>59</v>
      </c>
      <c r="C13" s="46" t="s">
        <v>60</v>
      </c>
      <c r="D13" s="47" t="s">
        <v>61</v>
      </c>
      <c r="E13" s="48">
        <v>4</v>
      </c>
      <c r="F13" s="48">
        <v>4</v>
      </c>
      <c r="G13" s="50">
        <v>2</v>
      </c>
    </row>
    <row r="14" spans="1:7" ht="25.5">
      <c r="A14" s="45" t="s">
        <v>62</v>
      </c>
      <c r="B14" s="45" t="s">
        <v>63</v>
      </c>
      <c r="C14" s="46" t="s">
        <v>64</v>
      </c>
      <c r="D14" s="47" t="s">
        <v>61</v>
      </c>
      <c r="E14" s="48">
        <v>2</v>
      </c>
      <c r="F14" s="48">
        <v>2</v>
      </c>
      <c r="G14" s="50">
        <v>2</v>
      </c>
    </row>
    <row r="15" spans="1:7">
      <c r="A15" s="45" t="s">
        <v>65</v>
      </c>
      <c r="B15" s="45" t="s">
        <v>66</v>
      </c>
      <c r="C15" s="46" t="s">
        <v>67</v>
      </c>
      <c r="D15" s="47" t="s">
        <v>61</v>
      </c>
      <c r="E15" s="48">
        <v>2</v>
      </c>
      <c r="F15" s="48">
        <v>2</v>
      </c>
      <c r="G15" s="50">
        <v>2</v>
      </c>
    </row>
    <row r="16" spans="1:7">
      <c r="A16" s="45" t="s">
        <v>68</v>
      </c>
      <c r="B16" s="45" t="s">
        <v>69</v>
      </c>
      <c r="C16" s="46" t="s">
        <v>70</v>
      </c>
      <c r="D16" s="47" t="s">
        <v>51</v>
      </c>
      <c r="E16" s="48">
        <v>10</v>
      </c>
      <c r="F16" s="48">
        <v>10</v>
      </c>
      <c r="G16" s="50">
        <v>10</v>
      </c>
    </row>
    <row r="17" spans="1:7" ht="25.5">
      <c r="A17" s="45" t="s">
        <v>71</v>
      </c>
      <c r="B17" s="45" t="s">
        <v>72</v>
      </c>
      <c r="C17" s="46" t="s">
        <v>73</v>
      </c>
      <c r="D17" s="47" t="s">
        <v>51</v>
      </c>
      <c r="E17" s="48">
        <v>10</v>
      </c>
      <c r="F17" s="48">
        <v>10</v>
      </c>
      <c r="G17" s="50">
        <v>10</v>
      </c>
    </row>
    <row r="18" spans="1:7">
      <c r="A18" s="45" t="s">
        <v>74</v>
      </c>
      <c r="B18" s="45" t="s">
        <v>69</v>
      </c>
      <c r="C18" s="46" t="s">
        <v>75</v>
      </c>
      <c r="D18" s="47" t="s">
        <v>51</v>
      </c>
      <c r="E18" s="48">
        <v>10</v>
      </c>
      <c r="F18" s="48">
        <v>10</v>
      </c>
      <c r="G18" s="50">
        <v>10</v>
      </c>
    </row>
    <row r="19" spans="1:7" ht="25.5">
      <c r="A19" s="45" t="s">
        <v>76</v>
      </c>
      <c r="B19" s="45" t="s">
        <v>77</v>
      </c>
      <c r="C19" s="46" t="s">
        <v>78</v>
      </c>
      <c r="D19" s="47" t="s">
        <v>51</v>
      </c>
      <c r="E19" s="48">
        <v>10</v>
      </c>
      <c r="F19" s="48">
        <v>10</v>
      </c>
      <c r="G19" s="50">
        <v>10</v>
      </c>
    </row>
    <row r="20" spans="1:7">
      <c r="A20" s="45" t="s">
        <v>79</v>
      </c>
      <c r="B20" s="45"/>
      <c r="C20" s="46"/>
      <c r="D20" s="51" t="s">
        <v>61</v>
      </c>
      <c r="E20" s="48">
        <v>1</v>
      </c>
      <c r="F20" s="48">
        <v>1</v>
      </c>
      <c r="G20" s="50">
        <v>1</v>
      </c>
    </row>
    <row r="21" spans="1:7" ht="25.5">
      <c r="A21" s="45" t="s">
        <v>80</v>
      </c>
      <c r="B21" s="45" t="s">
        <v>59</v>
      </c>
      <c r="C21" s="46" t="s">
        <v>81</v>
      </c>
      <c r="D21" s="51" t="s">
        <v>43</v>
      </c>
      <c r="E21" s="48">
        <v>2</v>
      </c>
      <c r="F21" s="48">
        <v>2</v>
      </c>
      <c r="G21" s="50">
        <v>2</v>
      </c>
    </row>
    <row r="22" spans="1:7" ht="25.5">
      <c r="A22" s="45" t="s">
        <v>82</v>
      </c>
      <c r="B22" s="45" t="s">
        <v>59</v>
      </c>
      <c r="C22" s="46" t="s">
        <v>83</v>
      </c>
      <c r="D22" s="51" t="s">
        <v>43</v>
      </c>
      <c r="E22" s="48">
        <v>2</v>
      </c>
      <c r="F22" s="48">
        <v>2</v>
      </c>
      <c r="G22" s="50">
        <v>2</v>
      </c>
    </row>
    <row r="23" spans="1:7" ht="25.5">
      <c r="A23" s="45" t="s">
        <v>84</v>
      </c>
      <c r="B23" s="45" t="s">
        <v>85</v>
      </c>
      <c r="C23" s="46" t="s">
        <v>86</v>
      </c>
      <c r="D23" s="51" t="s">
        <v>87</v>
      </c>
      <c r="E23" s="48">
        <v>1</v>
      </c>
      <c r="F23" s="48">
        <v>1</v>
      </c>
      <c r="G23" s="50">
        <v>1</v>
      </c>
    </row>
    <row r="24" spans="1:7" ht="25.5">
      <c r="A24" s="45" t="s">
        <v>88</v>
      </c>
      <c r="B24" s="45" t="s">
        <v>72</v>
      </c>
      <c r="C24" s="46" t="s">
        <v>89</v>
      </c>
      <c r="D24" s="51" t="s">
        <v>51</v>
      </c>
      <c r="E24" s="48">
        <v>10</v>
      </c>
      <c r="F24" s="48">
        <v>10</v>
      </c>
      <c r="G24" s="50">
        <v>10</v>
      </c>
    </row>
    <row r="25" spans="1:7" ht="25.5">
      <c r="A25" s="45" t="s">
        <v>90</v>
      </c>
      <c r="B25" s="45" t="s">
        <v>72</v>
      </c>
      <c r="C25" s="46" t="s">
        <v>91</v>
      </c>
      <c r="D25" s="51" t="s">
        <v>51</v>
      </c>
      <c r="E25" s="48">
        <v>10</v>
      </c>
      <c r="F25" s="48">
        <v>10</v>
      </c>
      <c r="G25" s="50">
        <v>10</v>
      </c>
    </row>
    <row r="26" spans="1:7">
      <c r="A26" s="45" t="s">
        <v>92</v>
      </c>
      <c r="B26" s="45" t="s">
        <v>93</v>
      </c>
      <c r="C26" s="46" t="s">
        <v>94</v>
      </c>
      <c r="D26" s="51" t="s">
        <v>51</v>
      </c>
      <c r="E26" s="48">
        <v>25</v>
      </c>
      <c r="F26" s="48">
        <v>25</v>
      </c>
      <c r="G26" s="50">
        <v>18</v>
      </c>
    </row>
    <row r="27" spans="1:7">
      <c r="A27" s="45" t="s">
        <v>95</v>
      </c>
      <c r="B27" s="45" t="s">
        <v>96</v>
      </c>
      <c r="C27" s="46" t="s">
        <v>97</v>
      </c>
      <c r="D27" s="51" t="s">
        <v>51</v>
      </c>
      <c r="E27" s="48">
        <v>50</v>
      </c>
      <c r="F27" s="48">
        <v>50</v>
      </c>
      <c r="G27" s="50">
        <v>33</v>
      </c>
    </row>
    <row r="28" spans="1:7">
      <c r="A28" s="45" t="s">
        <v>98</v>
      </c>
      <c r="B28" s="45" t="s">
        <v>96</v>
      </c>
      <c r="C28" s="46" t="s">
        <v>99</v>
      </c>
      <c r="D28" s="51" t="s">
        <v>51</v>
      </c>
      <c r="E28" s="48">
        <v>50</v>
      </c>
      <c r="F28" s="48">
        <v>50</v>
      </c>
      <c r="G28" s="50">
        <v>50</v>
      </c>
    </row>
    <row r="29" spans="1:7" ht="25.5">
      <c r="A29" s="45" t="s">
        <v>100</v>
      </c>
      <c r="B29" s="45" t="s">
        <v>49</v>
      </c>
      <c r="C29" s="46" t="s">
        <v>101</v>
      </c>
      <c r="D29" s="47" t="s">
        <v>51</v>
      </c>
      <c r="E29" s="51">
        <v>4</v>
      </c>
      <c r="F29" s="52">
        <v>0</v>
      </c>
      <c r="G29" s="53">
        <v>0</v>
      </c>
    </row>
    <row r="30" spans="1:7">
      <c r="A30" s="45" t="s">
        <v>102</v>
      </c>
      <c r="B30" s="45"/>
      <c r="C30" s="46"/>
      <c r="D30" s="47" t="s">
        <v>51</v>
      </c>
      <c r="E30" s="51">
        <v>4</v>
      </c>
      <c r="F30" s="52">
        <v>0</v>
      </c>
      <c r="G30" s="53">
        <v>0</v>
      </c>
    </row>
    <row r="31" spans="1:7">
      <c r="A31" s="45" t="s">
        <v>103</v>
      </c>
      <c r="B31" s="45"/>
      <c r="C31" s="46"/>
      <c r="D31" s="47" t="s">
        <v>51</v>
      </c>
      <c r="E31" s="51">
        <v>5</v>
      </c>
      <c r="F31" s="52">
        <v>0</v>
      </c>
      <c r="G31" s="53">
        <v>0</v>
      </c>
    </row>
    <row r="32" spans="1:7">
      <c r="A32" s="45" t="s">
        <v>104</v>
      </c>
      <c r="B32" s="45" t="s">
        <v>105</v>
      </c>
      <c r="C32" s="46">
        <v>13940</v>
      </c>
      <c r="D32" s="47" t="s">
        <v>43</v>
      </c>
      <c r="E32" s="51">
        <v>1</v>
      </c>
      <c r="F32" s="52">
        <v>0</v>
      </c>
      <c r="G32" s="53">
        <v>0</v>
      </c>
    </row>
    <row r="33" spans="1:7">
      <c r="A33" s="45" t="s">
        <v>106</v>
      </c>
      <c r="B33" s="45"/>
      <c r="C33" s="46"/>
      <c r="D33" s="47" t="s">
        <v>51</v>
      </c>
      <c r="E33" s="51">
        <v>2</v>
      </c>
      <c r="F33" s="52">
        <v>0</v>
      </c>
      <c r="G33" s="53">
        <v>0</v>
      </c>
    </row>
    <row r="34" spans="1:7">
      <c r="A34" s="45" t="s">
        <v>107</v>
      </c>
      <c r="B34" s="45"/>
      <c r="C34" s="46"/>
      <c r="D34" s="51" t="s">
        <v>51</v>
      </c>
      <c r="E34" s="51">
        <v>2</v>
      </c>
      <c r="F34" s="52">
        <v>0</v>
      </c>
      <c r="G34" s="53">
        <v>0</v>
      </c>
    </row>
    <row r="35" spans="1:7">
      <c r="A35" s="45" t="s">
        <v>108</v>
      </c>
      <c r="B35" s="45"/>
      <c r="C35" s="46"/>
      <c r="D35" s="47" t="s">
        <v>51</v>
      </c>
      <c r="E35" s="51">
        <v>2</v>
      </c>
      <c r="F35" s="52">
        <v>0</v>
      </c>
      <c r="G35" s="53">
        <v>0</v>
      </c>
    </row>
    <row r="36" spans="1:7">
      <c r="A36" s="45" t="s">
        <v>109</v>
      </c>
      <c r="B36" s="45"/>
      <c r="C36" s="46"/>
      <c r="D36" s="47" t="s">
        <v>51</v>
      </c>
      <c r="E36" s="51">
        <v>2</v>
      </c>
      <c r="F36" s="52">
        <v>0</v>
      </c>
      <c r="G36" s="53">
        <v>0</v>
      </c>
    </row>
    <row r="37" spans="1:7" ht="25.5">
      <c r="A37" s="45" t="s">
        <v>110</v>
      </c>
      <c r="B37" s="45" t="s">
        <v>85</v>
      </c>
      <c r="C37" s="54" t="s">
        <v>111</v>
      </c>
      <c r="D37" s="55" t="s">
        <v>87</v>
      </c>
      <c r="E37" s="55">
        <v>1</v>
      </c>
      <c r="F37" s="52">
        <v>0</v>
      </c>
      <c r="G37" s="53">
        <v>0</v>
      </c>
    </row>
    <row r="38" spans="1:7" ht="25.5">
      <c r="A38" s="45" t="s">
        <v>112</v>
      </c>
      <c r="B38" s="45" t="s">
        <v>85</v>
      </c>
      <c r="C38" s="54" t="s">
        <v>113</v>
      </c>
      <c r="D38" s="55" t="s">
        <v>87</v>
      </c>
      <c r="E38" s="55">
        <v>1</v>
      </c>
      <c r="F38" s="52">
        <v>0</v>
      </c>
      <c r="G38" s="53">
        <v>0</v>
      </c>
    </row>
    <row r="39" spans="1:7" ht="25.5">
      <c r="A39" s="45" t="s">
        <v>114</v>
      </c>
      <c r="B39" s="45" t="s">
        <v>72</v>
      </c>
      <c r="C39" s="54" t="s">
        <v>115</v>
      </c>
      <c r="D39" s="55" t="s">
        <v>51</v>
      </c>
      <c r="E39" s="55">
        <v>10</v>
      </c>
      <c r="F39" s="52">
        <v>0</v>
      </c>
      <c r="G39" s="53">
        <v>0</v>
      </c>
    </row>
    <row r="40" spans="1:7">
      <c r="A40" s="45" t="s">
        <v>116</v>
      </c>
      <c r="B40" s="45"/>
      <c r="C40" s="46"/>
      <c r="D40" s="55" t="s">
        <v>51</v>
      </c>
      <c r="E40" s="55">
        <v>2</v>
      </c>
      <c r="F40" s="52">
        <v>0</v>
      </c>
      <c r="G40" s="53">
        <v>0</v>
      </c>
    </row>
    <row r="41" spans="1:7">
      <c r="A41" s="45" t="s">
        <v>117</v>
      </c>
      <c r="B41" s="56"/>
      <c r="C41" s="56"/>
      <c r="D41" s="55" t="s">
        <v>87</v>
      </c>
      <c r="E41" s="55">
        <v>1</v>
      </c>
      <c r="F41" s="57">
        <v>0</v>
      </c>
      <c r="G41" s="53">
        <v>0</v>
      </c>
    </row>
    <row r="42" spans="1:7" ht="25.5">
      <c r="A42" s="58" t="s">
        <v>118</v>
      </c>
      <c r="B42" s="59"/>
      <c r="C42" s="59"/>
      <c r="D42" s="60" t="s">
        <v>61</v>
      </c>
      <c r="E42" s="60">
        <v>1</v>
      </c>
      <c r="F42" s="61">
        <v>0</v>
      </c>
      <c r="G42" s="62">
        <v>0</v>
      </c>
    </row>
  </sheetData>
  <sheetProtection algorithmName="SHA-512" hashValue="phMhpPTr8GKdcwkLkkWe16CyUH63K9Lt0qPT5ZQkxvU4d+eo2/Pl2t9iDRdkEFCi8N6YRbqhwThskX18pv60kA==" saltValue="ahQ4GDLxNBsMnjkVSdJ6Qg==" spinCount="100000" sheet="1" objects="1" scenarios="1" insertRows="0" selectLockedCells="1"/>
  <mergeCells count="7">
    <mergeCell ref="A1:A4"/>
    <mergeCell ref="C1:D1"/>
    <mergeCell ref="E1:G1"/>
    <mergeCell ref="C2:D2"/>
    <mergeCell ref="E2:G2"/>
    <mergeCell ref="C3:D3"/>
    <mergeCell ref="E3:G3"/>
  </mergeCells>
  <conditionalFormatting sqref="C5">
    <cfRule type="duplicateValues" dxfId="157" priority="156"/>
    <cfRule type="duplicateValues" dxfId="156" priority="157"/>
    <cfRule type="duplicateValues" dxfId="155" priority="158"/>
    <cfRule type="duplicateValues" dxfId="154" priority="159"/>
  </conditionalFormatting>
  <conditionalFormatting sqref="C6">
    <cfRule type="duplicateValues" dxfId="153" priority="104"/>
    <cfRule type="duplicateValues" dxfId="152" priority="105"/>
    <cfRule type="duplicateValues" dxfId="151" priority="106"/>
    <cfRule type="duplicateValues" dxfId="150" priority="107"/>
  </conditionalFormatting>
  <conditionalFormatting sqref="C7">
    <cfRule type="duplicateValues" dxfId="149" priority="100"/>
    <cfRule type="duplicateValues" dxfId="148" priority="101"/>
    <cfRule type="duplicateValues" dxfId="147" priority="102"/>
    <cfRule type="duplicateValues" dxfId="146" priority="103"/>
  </conditionalFormatting>
  <conditionalFormatting sqref="C7:C8">
    <cfRule type="duplicateValues" dxfId="145" priority="152"/>
    <cfRule type="duplicateValues" dxfId="144" priority="153"/>
    <cfRule type="duplicateValues" dxfId="143" priority="154"/>
    <cfRule type="duplicateValues" dxfId="142" priority="155"/>
  </conditionalFormatting>
  <conditionalFormatting sqref="C8">
    <cfRule type="duplicateValues" dxfId="141" priority="96"/>
    <cfRule type="duplicateValues" dxfId="140" priority="97"/>
    <cfRule type="duplicateValues" dxfId="139" priority="98"/>
    <cfRule type="duplicateValues" dxfId="138" priority="99"/>
  </conditionalFormatting>
  <conditionalFormatting sqref="C9">
    <cfRule type="duplicateValues" dxfId="137" priority="124"/>
    <cfRule type="duplicateValues" dxfId="136" priority="125"/>
    <cfRule type="duplicateValues" dxfId="135" priority="126"/>
    <cfRule type="duplicateValues" dxfId="134" priority="127"/>
  </conditionalFormatting>
  <conditionalFormatting sqref="C10">
    <cfRule type="duplicateValues" dxfId="133" priority="148"/>
    <cfRule type="duplicateValues" dxfId="132" priority="149"/>
    <cfRule type="duplicateValues" dxfId="131" priority="150"/>
    <cfRule type="duplicateValues" dxfId="130" priority="151"/>
  </conditionalFormatting>
  <conditionalFormatting sqref="C11">
    <cfRule type="duplicateValues" dxfId="129" priority="144"/>
    <cfRule type="duplicateValues" dxfId="128" priority="145"/>
    <cfRule type="duplicateValues" dxfId="127" priority="146"/>
    <cfRule type="duplicateValues" dxfId="126" priority="147"/>
  </conditionalFormatting>
  <conditionalFormatting sqref="C12">
    <cfRule type="duplicateValues" dxfId="125" priority="140"/>
    <cfRule type="duplicateValues" dxfId="124" priority="141"/>
    <cfRule type="duplicateValues" dxfId="123" priority="142"/>
    <cfRule type="duplicateValues" dxfId="122" priority="143"/>
  </conditionalFormatting>
  <conditionalFormatting sqref="C13">
    <cfRule type="duplicateValues" dxfId="121" priority="120"/>
    <cfRule type="duplicateValues" dxfId="120" priority="121"/>
    <cfRule type="duplicateValues" dxfId="119" priority="122"/>
    <cfRule type="duplicateValues" dxfId="118" priority="123"/>
  </conditionalFormatting>
  <conditionalFormatting sqref="C14">
    <cfRule type="duplicateValues" dxfId="117" priority="136"/>
    <cfRule type="duplicateValues" dxfId="116" priority="137"/>
    <cfRule type="duplicateValues" dxfId="115" priority="138"/>
    <cfRule type="duplicateValues" dxfId="114" priority="139"/>
  </conditionalFormatting>
  <conditionalFormatting sqref="C15">
    <cfRule type="duplicateValues" dxfId="113" priority="116"/>
    <cfRule type="duplicateValues" dxfId="112" priority="117"/>
    <cfRule type="duplicateValues" dxfId="111" priority="118"/>
    <cfRule type="duplicateValues" dxfId="110" priority="119"/>
  </conditionalFormatting>
  <conditionalFormatting sqref="C16">
    <cfRule type="duplicateValues" dxfId="109" priority="112"/>
    <cfRule type="duplicateValues" dxfId="108" priority="113"/>
    <cfRule type="duplicateValues" dxfId="107" priority="114"/>
    <cfRule type="duplicateValues" dxfId="106" priority="115"/>
  </conditionalFormatting>
  <conditionalFormatting sqref="C17">
    <cfRule type="duplicateValues" dxfId="105" priority="132"/>
    <cfRule type="duplicateValues" dxfId="104" priority="133"/>
    <cfRule type="duplicateValues" dxfId="103" priority="134"/>
    <cfRule type="duplicateValues" dxfId="102" priority="135"/>
  </conditionalFormatting>
  <conditionalFormatting sqref="C18">
    <cfRule type="duplicateValues" dxfId="101" priority="108"/>
    <cfRule type="duplicateValues" dxfId="100" priority="109"/>
    <cfRule type="duplicateValues" dxfId="99" priority="110"/>
    <cfRule type="duplicateValues" dxfId="98" priority="111"/>
  </conditionalFormatting>
  <conditionalFormatting sqref="C19">
    <cfRule type="duplicateValues" dxfId="97" priority="128"/>
    <cfRule type="duplicateValues" dxfId="96" priority="129"/>
    <cfRule type="duplicateValues" dxfId="95" priority="130"/>
    <cfRule type="duplicateValues" dxfId="94" priority="131"/>
  </conditionalFormatting>
  <conditionalFormatting sqref="C20">
    <cfRule type="duplicateValues" dxfId="93" priority="60"/>
    <cfRule type="duplicateValues" dxfId="92" priority="61"/>
    <cfRule type="duplicateValues" dxfId="91" priority="62"/>
    <cfRule type="duplicateValues" dxfId="90" priority="63"/>
  </conditionalFormatting>
  <conditionalFormatting sqref="C21">
    <cfRule type="duplicateValues" dxfId="89" priority="92"/>
    <cfRule type="duplicateValues" dxfId="88" priority="93"/>
    <cfRule type="duplicateValues" dxfId="87" priority="94"/>
    <cfRule type="duplicateValues" dxfId="86" priority="95"/>
  </conditionalFormatting>
  <conditionalFormatting sqref="C22">
    <cfRule type="duplicateValues" dxfId="85" priority="88"/>
    <cfRule type="duplicateValues" dxfId="84" priority="89"/>
    <cfRule type="duplicateValues" dxfId="83" priority="90"/>
    <cfRule type="duplicateValues" dxfId="82" priority="91"/>
  </conditionalFormatting>
  <conditionalFormatting sqref="C23">
    <cfRule type="duplicateValues" dxfId="81" priority="84"/>
    <cfRule type="duplicateValues" dxfId="80" priority="85"/>
    <cfRule type="duplicateValues" dxfId="79" priority="86"/>
    <cfRule type="duplicateValues" dxfId="78" priority="87"/>
  </conditionalFormatting>
  <conditionalFormatting sqref="C24">
    <cfRule type="duplicateValues" dxfId="77" priority="80"/>
    <cfRule type="duplicateValues" dxfId="76" priority="81"/>
    <cfRule type="duplicateValues" dxfId="75" priority="82"/>
    <cfRule type="duplicateValues" dxfId="74" priority="83"/>
  </conditionalFormatting>
  <conditionalFormatting sqref="C25">
    <cfRule type="duplicateValues" dxfId="73" priority="76"/>
    <cfRule type="duplicateValues" dxfId="72" priority="77"/>
    <cfRule type="duplicateValues" dxfId="71" priority="78"/>
    <cfRule type="duplicateValues" dxfId="70" priority="79"/>
  </conditionalFormatting>
  <conditionalFormatting sqref="C26">
    <cfRule type="duplicateValues" dxfId="69" priority="72"/>
    <cfRule type="duplicateValues" dxfId="68" priority="73"/>
    <cfRule type="duplicateValues" dxfId="67" priority="74"/>
    <cfRule type="duplicateValues" dxfId="66" priority="75"/>
  </conditionalFormatting>
  <conditionalFormatting sqref="C27">
    <cfRule type="duplicateValues" dxfId="65" priority="68"/>
    <cfRule type="duplicateValues" dxfId="64" priority="69"/>
    <cfRule type="duplicateValues" dxfId="63" priority="70"/>
    <cfRule type="duplicateValues" dxfId="62" priority="71"/>
  </conditionalFormatting>
  <conditionalFormatting sqref="C28">
    <cfRule type="duplicateValues" dxfId="61" priority="64"/>
    <cfRule type="duplicateValues" dxfId="60" priority="65"/>
    <cfRule type="duplicateValues" dxfId="59" priority="66"/>
    <cfRule type="duplicateValues" dxfId="58" priority="67"/>
  </conditionalFormatting>
  <conditionalFormatting sqref="C29">
    <cfRule type="duplicateValues" dxfId="57" priority="36"/>
    <cfRule type="duplicateValues" dxfId="56" priority="37"/>
    <cfRule type="duplicateValues" dxfId="55" priority="38"/>
    <cfRule type="duplicateValues" dxfId="54" priority="39"/>
  </conditionalFormatting>
  <conditionalFormatting sqref="C30">
    <cfRule type="duplicateValues" dxfId="53" priority="32"/>
    <cfRule type="duplicateValues" dxfId="52" priority="33"/>
    <cfRule type="duplicateValues" dxfId="51" priority="34"/>
    <cfRule type="duplicateValues" dxfId="50" priority="35"/>
  </conditionalFormatting>
  <conditionalFormatting sqref="C31">
    <cfRule type="duplicateValues" dxfId="49" priority="56"/>
    <cfRule type="duplicateValues" dxfId="48" priority="57"/>
    <cfRule type="duplicateValues" dxfId="47" priority="58"/>
    <cfRule type="duplicateValues" dxfId="46" priority="59"/>
  </conditionalFormatting>
  <conditionalFormatting sqref="C32">
    <cfRule type="duplicateValues" dxfId="45" priority="52"/>
    <cfRule type="duplicateValues" dxfId="44" priority="53"/>
    <cfRule type="duplicateValues" dxfId="43" priority="54"/>
    <cfRule type="duplicateValues" dxfId="42" priority="55"/>
  </conditionalFormatting>
  <conditionalFormatting sqref="C33">
    <cfRule type="duplicateValues" dxfId="41" priority="48"/>
    <cfRule type="duplicateValues" dxfId="40" priority="49"/>
    <cfRule type="duplicateValues" dxfId="39" priority="50"/>
    <cfRule type="duplicateValues" dxfId="38" priority="51"/>
  </conditionalFormatting>
  <conditionalFormatting sqref="C34">
    <cfRule type="duplicateValues" dxfId="37" priority="28"/>
    <cfRule type="duplicateValues" dxfId="36" priority="29"/>
    <cfRule type="duplicateValues" dxfId="35" priority="30"/>
    <cfRule type="duplicateValues" dxfId="34" priority="31"/>
  </conditionalFormatting>
  <conditionalFormatting sqref="C35">
    <cfRule type="duplicateValues" dxfId="33" priority="40"/>
    <cfRule type="duplicateValues" dxfId="32" priority="41"/>
    <cfRule type="duplicateValues" dxfId="31" priority="42"/>
    <cfRule type="duplicateValues" dxfId="30" priority="43"/>
  </conditionalFormatting>
  <conditionalFormatting sqref="C36">
    <cfRule type="duplicateValues" dxfId="29" priority="44"/>
    <cfRule type="duplicateValues" dxfId="28" priority="45"/>
    <cfRule type="duplicateValues" dxfId="27" priority="46"/>
    <cfRule type="duplicateValues" dxfId="26" priority="47"/>
  </conditionalFormatting>
  <conditionalFormatting sqref="C37">
    <cfRule type="duplicateValues" dxfId="25" priority="7"/>
    <cfRule type="duplicateValues" dxfId="24" priority="8"/>
    <cfRule type="duplicateValues" dxfId="23" priority="9"/>
    <cfRule type="duplicateValues" dxfId="22" priority="10"/>
    <cfRule type="duplicateValues" dxfId="21" priority="11"/>
    <cfRule type="duplicateValues" dxfId="20" priority="24"/>
    <cfRule type="duplicateValues" dxfId="19" priority="25"/>
    <cfRule type="duplicateValues" dxfId="18" priority="26"/>
    <cfRule type="duplicateValues" dxfId="17" priority="27"/>
  </conditionalFormatting>
  <conditionalFormatting sqref="C38">
    <cfRule type="duplicateValues" dxfId="16" priority="2"/>
    <cfRule type="duplicateValues" dxfId="15" priority="3"/>
    <cfRule type="duplicateValues" dxfId="14" priority="4"/>
    <cfRule type="duplicateValues" dxfId="13" priority="5"/>
    <cfRule type="duplicateValues" dxfId="12" priority="6"/>
    <cfRule type="duplicateValues" dxfId="11" priority="20"/>
    <cfRule type="duplicateValues" dxfId="10" priority="21"/>
    <cfRule type="duplicateValues" dxfId="9" priority="22"/>
    <cfRule type="duplicateValues" dxfId="8" priority="23"/>
  </conditionalFormatting>
  <conditionalFormatting sqref="C39">
    <cfRule type="duplicateValues" dxfId="7" priority="12"/>
    <cfRule type="duplicateValues" dxfId="6" priority="13"/>
    <cfRule type="duplicateValues" dxfId="5" priority="14"/>
    <cfRule type="duplicateValues" dxfId="4" priority="15"/>
  </conditionalFormatting>
  <conditionalFormatting sqref="C40">
    <cfRule type="duplicateValues" dxfId="3" priority="16"/>
    <cfRule type="duplicateValues" dxfId="2" priority="17"/>
    <cfRule type="duplicateValues" dxfId="1" priority="18"/>
    <cfRule type="duplicateValues" dxfId="0" priority="19"/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52"/>
  <sheetViews>
    <sheetView topLeftCell="A18" zoomScaleNormal="100" workbookViewId="0">
      <selection activeCell="C44" sqref="C44"/>
    </sheetView>
  </sheetViews>
  <sheetFormatPr defaultColWidth="8.7109375" defaultRowHeight="15"/>
  <cols>
    <col min="3" max="3" width="18.28515625" customWidth="1"/>
  </cols>
  <sheetData>
    <row r="2" spans="2:3">
      <c r="B2" t="s">
        <v>119</v>
      </c>
      <c r="C2" s="63" t="s">
        <v>120</v>
      </c>
    </row>
    <row r="3" spans="2:3">
      <c r="B3" t="s">
        <v>13</v>
      </c>
      <c r="C3" s="64" t="s">
        <v>121</v>
      </c>
    </row>
    <row r="4" spans="2:3">
      <c r="B4" t="s">
        <v>122</v>
      </c>
      <c r="C4" s="65" t="s">
        <v>123</v>
      </c>
    </row>
    <row r="5" spans="2:3">
      <c r="C5" s="65" t="s">
        <v>124</v>
      </c>
    </row>
    <row r="6" spans="2:3">
      <c r="C6" s="65" t="s">
        <v>125</v>
      </c>
    </row>
    <row r="7" spans="2:3">
      <c r="C7" s="64" t="s">
        <v>126</v>
      </c>
    </row>
    <row r="8" spans="2:3">
      <c r="C8" s="65" t="s">
        <v>127</v>
      </c>
    </row>
    <row r="9" spans="2:3">
      <c r="C9" s="65" t="s">
        <v>128</v>
      </c>
    </row>
    <row r="10" spans="2:3">
      <c r="C10" s="65" t="s">
        <v>129</v>
      </c>
    </row>
    <row r="11" spans="2:3">
      <c r="C11" s="65" t="s">
        <v>130</v>
      </c>
    </row>
    <row r="12" spans="2:3">
      <c r="C12" s="65" t="s">
        <v>131</v>
      </c>
    </row>
    <row r="13" spans="2:3">
      <c r="C13" s="65" t="s">
        <v>132</v>
      </c>
    </row>
    <row r="14" spans="2:3">
      <c r="C14" s="65" t="s">
        <v>133</v>
      </c>
    </row>
    <row r="15" spans="2:3">
      <c r="C15" s="65" t="s">
        <v>134</v>
      </c>
    </row>
    <row r="16" spans="2:3">
      <c r="C16" s="65" t="s">
        <v>135</v>
      </c>
    </row>
    <row r="17" spans="3:3">
      <c r="C17" s="65" t="s">
        <v>136</v>
      </c>
    </row>
    <row r="18" spans="3:3">
      <c r="C18" s="65" t="s">
        <v>137</v>
      </c>
    </row>
    <row r="19" spans="3:3">
      <c r="C19" s="65" t="s">
        <v>138</v>
      </c>
    </row>
    <row r="20" spans="3:3">
      <c r="C20" s="65" t="s">
        <v>139</v>
      </c>
    </row>
    <row r="21" spans="3:3">
      <c r="C21" s="65" t="s">
        <v>140</v>
      </c>
    </row>
    <row r="22" spans="3:3">
      <c r="C22" s="65" t="s">
        <v>141</v>
      </c>
    </row>
    <row r="23" spans="3:3">
      <c r="C23" s="65" t="s">
        <v>142</v>
      </c>
    </row>
    <row r="24" spans="3:3">
      <c r="C24" s="65" t="s">
        <v>143</v>
      </c>
    </row>
    <row r="25" spans="3:3">
      <c r="C25" s="65" t="s">
        <v>144</v>
      </c>
    </row>
    <row r="26" spans="3:3">
      <c r="C26" s="65" t="s">
        <v>145</v>
      </c>
    </row>
    <row r="27" spans="3:3">
      <c r="C27" s="65" t="s">
        <v>146</v>
      </c>
    </row>
    <row r="28" spans="3:3">
      <c r="C28" s="65" t="s">
        <v>147</v>
      </c>
    </row>
    <row r="29" spans="3:3">
      <c r="C29" s="65" t="s">
        <v>148</v>
      </c>
    </row>
    <row r="30" spans="3:3">
      <c r="C30" s="65" t="s">
        <v>149</v>
      </c>
    </row>
    <row r="31" spans="3:3">
      <c r="C31" s="65" t="s">
        <v>150</v>
      </c>
    </row>
    <row r="32" spans="3:3">
      <c r="C32" s="65" t="s">
        <v>151</v>
      </c>
    </row>
    <row r="33" spans="3:3">
      <c r="C33" s="65" t="s">
        <v>152</v>
      </c>
    </row>
    <row r="34" spans="3:3">
      <c r="C34" s="65" t="s">
        <v>153</v>
      </c>
    </row>
    <row r="35" spans="3:3">
      <c r="C35" s="65" t="s">
        <v>154</v>
      </c>
    </row>
    <row r="36" spans="3:3">
      <c r="C36" s="65" t="s">
        <v>155</v>
      </c>
    </row>
    <row r="37" spans="3:3">
      <c r="C37" s="65" t="s">
        <v>156</v>
      </c>
    </row>
    <row r="38" spans="3:3">
      <c r="C38" s="65" t="s">
        <v>157</v>
      </c>
    </row>
    <row r="39" spans="3:3">
      <c r="C39" s="65" t="s">
        <v>158</v>
      </c>
    </row>
    <row r="40" spans="3:3">
      <c r="C40" s="65" t="s">
        <v>159</v>
      </c>
    </row>
    <row r="41" spans="3:3">
      <c r="C41" s="65" t="s">
        <v>160</v>
      </c>
    </row>
    <row r="42" spans="3:3">
      <c r="C42" s="65" t="s">
        <v>161</v>
      </c>
    </row>
    <row r="43" spans="3:3">
      <c r="C43" s="65" t="s">
        <v>162</v>
      </c>
    </row>
    <row r="44" spans="3:3">
      <c r="C44" s="65" t="s">
        <v>163</v>
      </c>
    </row>
    <row r="45" spans="3:3">
      <c r="C45" s="65" t="s">
        <v>164</v>
      </c>
    </row>
    <row r="46" spans="3:3">
      <c r="C46" s="65" t="s">
        <v>165</v>
      </c>
    </row>
    <row r="47" spans="3:3">
      <c r="C47" s="65" t="s">
        <v>166</v>
      </c>
    </row>
    <row r="48" spans="3:3">
      <c r="C48" s="65" t="s">
        <v>167</v>
      </c>
    </row>
    <row r="49" spans="3:3">
      <c r="C49" s="65" t="s">
        <v>168</v>
      </c>
    </row>
    <row r="50" spans="3:3">
      <c r="C50" s="65" t="s">
        <v>169</v>
      </c>
    </row>
    <row r="51" spans="3:3">
      <c r="C51" s="65" t="s">
        <v>170</v>
      </c>
    </row>
    <row r="52" spans="3:3">
      <c r="C52" s="65" t="s">
        <v>171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4b7a12-8e9f-4b7c-a6b9-a8bb2ddbabf4" xsi:nil="true"/>
    <lcf76f155ced4ddcb4097134ff3c332f xmlns="47518eb9-eb9f-43e2-8f62-0ac5b1467e79">
      <Terms xmlns="http://schemas.microsoft.com/office/infopath/2007/PartnerControls"/>
    </lcf76f155ced4ddcb4097134ff3c332f>
    <SharedWithUsers xmlns="c64b7a12-8e9f-4b7c-a6b9-a8bb2ddbabf4">
      <UserInfo>
        <DisplayName>Gipson, Dwayne  [KWT - EMP]</DisplayName>
        <AccountId>29</AccountId>
        <AccountType/>
      </UserInfo>
      <UserInfo>
        <DisplayName>Drury, Dale [JOR - EMP]</DisplayName>
        <AccountId>146</AccountId>
        <AccountType/>
      </UserInfo>
      <UserInfo>
        <DisplayName>Whalley, Craig  [JOR - CON]</DisplayName>
        <AccountId>132</AccountId>
        <AccountType/>
      </UserInfo>
      <UserInfo>
        <DisplayName>Munoz, Salomon  [IRQ - EMP]</DisplayName>
        <AccountId>100</AccountId>
        <AccountType/>
      </UserInfo>
      <UserInfo>
        <DisplayName>Maidment, Lewis [JOR - CON]</DisplayName>
        <AccountId>159</AccountId>
        <AccountType/>
      </UserInfo>
      <UserInfo>
        <DisplayName>Warner, Ben [IRQ - CON]</DisplayName>
        <AccountId>101</AccountId>
        <AccountType/>
      </UserInfo>
      <UserInfo>
        <DisplayName>Wallace, John  [JOR - CON]</DisplayName>
        <AccountId>130</AccountId>
        <AccountType/>
      </UserInfo>
      <UserInfo>
        <DisplayName>Teanby, James [IRQ - CON]</DisplayName>
        <AccountId>102</AccountId>
        <AccountType/>
      </UserInfo>
      <UserInfo>
        <DisplayName>Lugton, Stephen [JOR - CON]</DisplayName>
        <AccountId>144</AccountId>
        <AccountType/>
      </UserInfo>
      <UserInfo>
        <DisplayName>Wells, Samuel  [IRQ - CON]</DisplayName>
        <AccountId>126</AccountId>
        <AccountType/>
      </UserInfo>
      <UserInfo>
        <DisplayName>Brooks, Donald [IRQ - EMP]</DisplayName>
        <AccountId>112</AccountId>
        <AccountType/>
      </UserInfo>
      <UserInfo>
        <DisplayName>Anderson, David  [IRQ - CON]</DisplayName>
        <AccountId>113</AccountId>
        <AccountType/>
      </UserInfo>
      <UserInfo>
        <DisplayName>McDaniel, Carl [USA - EMP]</DisplayName>
        <AccountId>73</AccountId>
        <AccountType/>
      </UserInfo>
      <UserInfo>
        <DisplayName>Picard, Justin  [IRQ - CON]</DisplayName>
        <AccountId>140</AccountId>
        <AccountType/>
      </UserInfo>
      <UserInfo>
        <DisplayName>Marshall, Craig  [IRQ - CON]</DisplayName>
        <AccountId>165</AccountId>
        <AccountType/>
      </UserInfo>
      <UserInfo>
        <DisplayName>Vincent-Edwards, Giles [JOR - CON]</DisplayName>
        <AccountId>135</AccountId>
        <AccountType/>
      </UserInfo>
      <UserInfo>
        <DisplayName>Regan, Kieran [IRQ - CON]</DisplayName>
        <AccountId>166</AccountId>
        <AccountType/>
      </UserInfo>
      <UserInfo>
        <DisplayName>Roberts, Steve [JOR - CON]</DisplayName>
        <AccountId>131</AccountId>
        <AccountType/>
      </UserInfo>
      <UserInfo>
        <DisplayName>Kramer, Matthew  [IRQ - EMP]</DisplayName>
        <AccountId>121</AccountId>
        <AccountType/>
      </UserInfo>
      <UserInfo>
        <DisplayName>Pearson, Craig [JOR - CON]</DisplayName>
        <AccountId>139</AccountId>
        <AccountType/>
      </UserInfo>
      <UserInfo>
        <DisplayName>Sharp, Jonathan [IRQ - CON]</DisplayName>
        <AccountId>99</AccountId>
        <AccountType/>
      </UserInfo>
      <UserInfo>
        <DisplayName>Gaines, Antonia [JOR- EMP]</DisplayName>
        <AccountId>163</AccountId>
        <AccountType/>
      </UserInfo>
      <UserInfo>
        <DisplayName>Boyce, Steven [JOR - CON]</DisplayName>
        <AccountId>1467</AccountId>
        <AccountType/>
      </UserInfo>
      <UserInfo>
        <DisplayName>Thompson, Glenn  [JOR - CON]</DisplayName>
        <AccountId>19</AccountId>
        <AccountType/>
      </UserInfo>
      <UserInfo>
        <DisplayName>McKenna, Lee [IRQ - CON]</DisplayName>
        <AccountId>3093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ACEC63CB888C46AFDA654D3D4F46BA" ma:contentTypeVersion="18" ma:contentTypeDescription="Create a new document." ma:contentTypeScope="" ma:versionID="fc2f919f550181b0cf36a6133e64b9a4">
  <xsd:schema xmlns:xsd="http://www.w3.org/2001/XMLSchema" xmlns:xs="http://www.w3.org/2001/XMLSchema" xmlns:p="http://schemas.microsoft.com/office/2006/metadata/properties" xmlns:ns2="c64b7a12-8e9f-4b7c-a6b9-a8bb2ddbabf4" xmlns:ns3="47518eb9-eb9f-43e2-8f62-0ac5b1467e79" targetNamespace="http://schemas.microsoft.com/office/2006/metadata/properties" ma:root="true" ma:fieldsID="fae585c5711bad6903f07d2af61191bc" ns2:_="" ns3:_="">
    <xsd:import namespace="c64b7a12-8e9f-4b7c-a6b9-a8bb2ddbabf4"/>
    <xsd:import namespace="47518eb9-eb9f-43e2-8f62-0ac5b1467e7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b7a12-8e9f-4b7c-a6b9-a8bb2ddbabf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305eb37-9868-4b71-ba3e-7ef1dcacb238}" ma:internalName="TaxCatchAll" ma:showField="CatchAllData" ma:web="c64b7a12-8e9f-4b7c-a6b9-a8bb2ddbab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18eb9-eb9f-43e2-8f62-0ac5b1467e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48dc39e-9fbb-4a44-bda7-f8dbd564b1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B7B28A-3040-45F2-A922-B6A022912AB4}"/>
</file>

<file path=customXml/itemProps2.xml><?xml version="1.0" encoding="utf-8"?>
<ds:datastoreItem xmlns:ds="http://schemas.openxmlformats.org/officeDocument/2006/customXml" ds:itemID="{8FB99642-59FD-47CE-A352-16AE11AB4157}"/>
</file>

<file path=customXml/itemProps3.xml><?xml version="1.0" encoding="utf-8"?>
<ds:datastoreItem xmlns:ds="http://schemas.openxmlformats.org/officeDocument/2006/customXml" ds:itemID="{F6D6E77B-6C5F-4570-8498-4F6853DD3A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Jones</dc:creator>
  <cp:keywords/>
  <dc:description/>
  <cp:lastModifiedBy>Smith, Bryan [KWT - EMP]</cp:lastModifiedBy>
  <cp:revision>2</cp:revision>
  <dcterms:created xsi:type="dcterms:W3CDTF">2018-02-01T12:00:48Z</dcterms:created>
  <dcterms:modified xsi:type="dcterms:W3CDTF">2025-09-25T15:29:00Z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0x010100F9ACEC63CB888C46AFDA654D3D4F46BA</vt:lpwstr>
  </property>
  <property fmtid="{D5CDD505-2E9C-101B-9397-08002B2CF9AE}" pid="3" name="MSIP_Label_2de06a0e-5aa3-4e01-a9a6-a73061fc0401_ActionId">
    <vt:lpwstr>fefeba23-429f-4f25-a39b-0000e9d66c81</vt:lpwstr>
  </property>
  <property fmtid="{D5CDD505-2E9C-101B-9397-08002B2CF9AE}" pid="4" name="MSIP_Label_2de06a0e-5aa3-4e01-a9a6-a73061fc0401_Enabled">
    <vt:lpwstr>true</vt:lpwstr>
  </property>
  <property fmtid="{D5CDD505-2E9C-101B-9397-08002B2CF9AE}" pid="5" name="MSIP_Label_2de06a0e-5aa3-4e01-a9a6-a73061fc0401_Method">
    <vt:lpwstr>Standard</vt:lpwstr>
  </property>
  <property fmtid="{D5CDD505-2E9C-101B-9397-08002B2CF9AE}" pid="6" name="MSIP_Label_2de06a0e-5aa3-4e01-a9a6-a73061fc0401_Name">
    <vt:lpwstr>General</vt:lpwstr>
  </property>
  <property fmtid="{D5CDD505-2E9C-101B-9397-08002B2CF9AE}" pid="7" name="MSIP_Label_2de06a0e-5aa3-4e01-a9a6-a73061fc0401_SetDate">
    <vt:lpwstr>2021-02-13T00:36:55Z</vt:lpwstr>
  </property>
  <property fmtid="{D5CDD505-2E9C-101B-9397-08002B2CF9AE}" pid="8" name="MSIP_Label_2de06a0e-5aa3-4e01-a9a6-a73061fc0401_SiteId">
    <vt:lpwstr>596dff88-54fc-4855-94b0-415cd9876a47</vt:lpwstr>
  </property>
  <property fmtid="{D5CDD505-2E9C-101B-9397-08002B2CF9AE}" pid="9" name="MediaServiceImageTags">
    <vt:lpwstr/>
  </property>
  <property fmtid="{D5CDD505-2E9C-101B-9397-08002B2CF9AE}" pid="10" name="WorkbookGuid">
    <vt:lpwstr>97925fb6-7050-4a6d-91b7-3f0cc6152b0a</vt:lpwstr>
  </property>
</Properties>
</file>